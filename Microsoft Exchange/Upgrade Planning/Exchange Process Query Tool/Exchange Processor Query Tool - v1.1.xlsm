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240" yWindow="525" windowWidth="16080" windowHeight="8880"/>
  </bookViews>
  <sheets>
    <sheet name="Input" sheetId="1" r:id="rId1"/>
    <sheet name="Change Control" sheetId="2" r:id="rId2"/>
    <sheet name="Data" sheetId="3" state="hidden" r:id="rId3"/>
  </sheets>
  <definedNames>
    <definedName name="Num_proc">Data!$A$2:$A$9</definedName>
  </definedNames>
  <calcPr calcId="145621"/>
</workbook>
</file>

<file path=xl/calcChain.xml><?xml version="1.0" encoding="utf-8"?>
<calcChain xmlns="http://schemas.openxmlformats.org/spreadsheetml/2006/main">
  <c r="G57" i="1" l="1"/>
  <c r="G61" i="1" l="1"/>
  <c r="G64" i="1" s="1"/>
  <c r="A2" i="3" l="1"/>
  <c r="A8" i="3" s="1"/>
  <c r="D45" i="1"/>
  <c r="A3" i="3" l="1"/>
  <c r="A7" i="3"/>
  <c r="A5" i="3"/>
  <c r="A9" i="3"/>
  <c r="A4" i="3"/>
  <c r="A6" i="3"/>
</calcChain>
</file>

<file path=xl/comments1.xml><?xml version="1.0" encoding="utf-8"?>
<comments xmlns="http://schemas.openxmlformats.org/spreadsheetml/2006/main">
  <authors>
    <author>Scott Alexander (MCS)</author>
  </authors>
  <commentList>
    <comment ref="A31" authorId="0">
      <text>
        <r>
          <rPr>
            <sz val="8"/>
            <color indexed="81"/>
            <rFont val="Tahoma"/>
            <family val="2"/>
          </rPr>
          <t xml:space="preserve">The processor model is a 4 or 5 character string that uniquely identifes the processor's speed, number of cores, socket type, and cache.  Server manufacturers usually list the processor model in their server configuration specs.
It is recommended that you limit your query to a single processor model to minimize the size of the dataset returned and to prevent the average result calculation  from becoming skewed.  If you are considering different processors for your deployment execute a separate query for each model and note the results independently.
For example, the Intel X5470 is a 3.33GHz quad-core processor with an LGA771 socket and 12MB L2 cache.
The Intel W5590 is also a 3.33GHz quad-core but has an LGA1366 socket type, 4x256KB L2 cache plus an 8MB L3 cache.  Even though both  are 3.33GHz quad-core processors, because of the differences in cache, they will yield very different Spec.org test results and therefore very different megacycle numbers.
</t>
        </r>
      </text>
    </comment>
    <comment ref="D45" authorId="0">
      <text>
        <r>
          <rPr>
            <sz val="8"/>
            <color indexed="81"/>
            <rFont val="Tahoma"/>
            <family val="2"/>
          </rPr>
          <t xml:space="preserve"> The average result is an average of all test results within the returned data that match the total processor cores specified in Step 4.  For example, if you specify 8 processor cores in step 4 the average number calculated here is the average of only the 8 core systems listed in the data.
If the Average Result shows "No Data Available" that means that SpecInt.org did not test any systems that match your selected processor and total core combination.</t>
        </r>
        <r>
          <rPr>
            <b/>
            <sz val="9"/>
            <color indexed="81"/>
            <rFont val="Tahoma"/>
            <family val="2"/>
          </rPr>
          <t xml:space="preserve">
</t>
        </r>
        <r>
          <rPr>
            <sz val="9"/>
            <color indexed="81"/>
            <rFont val="Tahoma"/>
            <family val="2"/>
          </rPr>
          <t xml:space="preserve">
</t>
        </r>
      </text>
    </comment>
    <comment ref="G56" authorId="0">
      <text>
        <r>
          <rPr>
            <sz val="8"/>
            <color indexed="81"/>
            <rFont val="Tahoma"/>
            <family val="2"/>
          </rPr>
          <t>Follow steps 1 through 5 above to calculate the SPECint 2006 Rate Value of the physical host servers you will be deploying.
Enter the SPECint value for your physical host servers here.</t>
        </r>
      </text>
    </comment>
    <comment ref="G58" authorId="0">
      <text>
        <r>
          <rPr>
            <sz val="8"/>
            <color indexed="81"/>
            <rFont val="Tahoma"/>
            <family val="2"/>
          </rPr>
          <t xml:space="preserve">Exchange supports a virtual processor-to-logical processor ratio no greater than 2:1. 
For example, a dual processor system using quad core processors contains a total of 8 logical processors in the host system. On a system with this configuration, don't allocate more than a total of 16 virtual processors to all guest virtual machines combined.
</t>
        </r>
      </text>
    </comment>
  </commentList>
</comments>
</file>

<file path=xl/sharedStrings.xml><?xml version="1.0" encoding="utf-8"?>
<sst xmlns="http://schemas.openxmlformats.org/spreadsheetml/2006/main" count="59" uniqueCount="52">
  <si>
    <t>http://technet.microsoft.com/en-us/library/ee712771.aspx</t>
  </si>
  <si>
    <t>Instructions</t>
  </si>
  <si>
    <t xml:space="preserve">Average Result = </t>
  </si>
  <si>
    <t>Exchange 2010 Processor Query Tool</t>
  </si>
  <si>
    <t>scottal@microsoft.com</t>
  </si>
  <si>
    <t>Author:</t>
  </si>
  <si>
    <t>Scott Alexander</t>
  </si>
  <si>
    <r>
      <rPr>
        <b/>
        <sz val="10"/>
        <color theme="1"/>
        <rFont val="Calibri"/>
        <family val="2"/>
        <scheme val="minor"/>
      </rPr>
      <t>Contributors:</t>
    </r>
    <r>
      <rPr>
        <sz val="10"/>
        <color theme="1"/>
        <rFont val="Calibri"/>
        <family val="2"/>
        <scheme val="minor"/>
      </rPr>
      <t xml:space="preserve"> </t>
    </r>
  </si>
  <si>
    <t>Ross Smith IV; Ramon B. Infante</t>
  </si>
  <si>
    <t xml:space="preserve">Questions: </t>
  </si>
  <si>
    <t>Additional Information and Links:</t>
  </si>
  <si>
    <t>Latest Exchange Mailbox Requirements Calculator:</t>
  </si>
  <si>
    <r>
      <rPr>
        <b/>
        <sz val="12"/>
        <color theme="1"/>
        <rFont val="Calibri"/>
        <family val="2"/>
        <scheme val="minor"/>
      </rPr>
      <t>Step 1:</t>
    </r>
    <r>
      <rPr>
        <sz val="11"/>
        <color theme="1"/>
        <rFont val="Calibri"/>
        <family val="2"/>
        <scheme val="minor"/>
      </rPr>
      <t xml:space="preserve"> </t>
    </r>
    <r>
      <rPr>
        <sz val="10"/>
        <color theme="1"/>
        <rFont val="Calibri"/>
        <family val="2"/>
        <scheme val="minor"/>
      </rPr>
      <t>Read and understand the Mailbox Server Processor Capacity Planning article linked above.</t>
    </r>
  </si>
  <si>
    <t>Description</t>
  </si>
  <si>
    <t>Mailbox Server Processor Capacity Planning:</t>
  </si>
  <si>
    <t>http://msexchangeteam.com/archive/2009/11/09/453117.aspx</t>
  </si>
  <si>
    <t>Version Number</t>
  </si>
  <si>
    <t>Change Description</t>
  </si>
  <si>
    <t xml:space="preserve">Editor </t>
  </si>
  <si>
    <t>http://www.spec.org</t>
  </si>
  <si>
    <t>Standard Performance Evaluation Corporation:</t>
  </si>
  <si>
    <r>
      <rPr>
        <b/>
        <sz val="12"/>
        <color theme="1"/>
        <rFont val="Calibri"/>
        <family val="2"/>
        <scheme val="minor"/>
      </rPr>
      <t>Step 2:</t>
    </r>
    <r>
      <rPr>
        <sz val="11"/>
        <color theme="1"/>
        <rFont val="Calibri"/>
        <family val="2"/>
        <scheme val="minor"/>
      </rPr>
      <t xml:space="preserve"> </t>
    </r>
    <r>
      <rPr>
        <sz val="10"/>
        <color theme="1"/>
        <rFont val="Calibri"/>
        <family val="2"/>
        <scheme val="minor"/>
      </rPr>
      <t>Enter the processor model number to be queried (e.g. X5470).</t>
    </r>
  </si>
  <si>
    <r>
      <rPr>
        <b/>
        <sz val="12"/>
        <rFont val="Calibri"/>
        <family val="2"/>
        <scheme val="minor"/>
      </rPr>
      <t>Step 5:</t>
    </r>
    <r>
      <rPr>
        <sz val="11"/>
        <rFont val="Calibri"/>
        <family val="2"/>
        <scheme val="minor"/>
      </rPr>
      <t xml:space="preserve"> </t>
    </r>
    <r>
      <rPr>
        <sz val="10"/>
        <rFont val="Calibri"/>
        <family val="2"/>
        <scheme val="minor"/>
      </rPr>
      <t xml:space="preserve">Examine the data returned by the web query and locate the server model you are planning to use for your Exchange 2010 deployment.  </t>
    </r>
  </si>
  <si>
    <t>This tool automates the manual steps, described in the Mailbox Server Processor Capacity Planning TechNet article, to determine your planned processor's SPECint 2006 Rate Value.  To run this tool you must be connected to the Internet.  The tool will take your planned processor model as input and execute a web query against the spec.org website returning all test result data for that particular processor model.    The tool will also calculate an average SPECint 2006 Rate Value based on the number of processors planned to be used in each mailbox server.  Once you complete the steps below you can plug the result value for your planned processor, into the megacycles per core field in step 5 of the input range in the Mailbox Role Calculator to assist in your Exchange 2010 server planning.  If your particular server model is not listed in the dataset returned by the web query you can use the calculated average value and input that number into the megacycles per core field.</t>
  </si>
  <si>
    <t>Initial tool functionality created to integrate with v12.8 Mailbox Role Calculator</t>
  </si>
  <si>
    <t>Changes to data calculations and addition of average result calculation based on number of processors used in mailbox server</t>
  </si>
  <si>
    <t>Tool formalization and documentation additions</t>
  </si>
  <si>
    <t xml:space="preserve">Note the SPECint 2006 Rate Value for your planned server model which can be found in the highlighted Result column.  If you can't locate the exact server model planned for your deployment, use the average result value listed below.  </t>
  </si>
  <si>
    <t># of Processors</t>
  </si>
  <si>
    <r>
      <rPr>
        <b/>
        <sz val="12"/>
        <color theme="1"/>
        <rFont val="Calibri"/>
        <family val="2"/>
        <scheme val="minor"/>
      </rPr>
      <t>Step 3:</t>
    </r>
    <r>
      <rPr>
        <sz val="11"/>
        <color theme="1"/>
        <rFont val="Calibri"/>
        <family val="2"/>
        <scheme val="minor"/>
      </rPr>
      <t xml:space="preserve"> </t>
    </r>
    <r>
      <rPr>
        <sz val="10"/>
        <color theme="1"/>
        <rFont val="Calibri"/>
        <family val="2"/>
        <scheme val="minor"/>
      </rPr>
      <t>Click the button to query the Spec.Org website and obtain       the data for the planned processor model.</t>
    </r>
  </si>
  <si>
    <t>Added processor number drop-down list and step 6 instructions</t>
  </si>
  <si>
    <r>
      <rPr>
        <b/>
        <sz val="12"/>
        <color theme="1"/>
        <rFont val="Calibri"/>
        <family val="2"/>
        <scheme val="minor"/>
      </rPr>
      <t>Step 4:</t>
    </r>
    <r>
      <rPr>
        <sz val="11"/>
        <color theme="1"/>
        <rFont val="Calibri"/>
        <family val="2"/>
        <scheme val="minor"/>
      </rPr>
      <t xml:space="preserve"> </t>
    </r>
    <r>
      <rPr>
        <sz val="10"/>
        <color theme="1"/>
        <rFont val="Calibri"/>
        <family val="2"/>
        <scheme val="minor"/>
      </rPr>
      <t>Choose the total number of processor cores that will be utilized in your planned mailbox server configuration.</t>
    </r>
  </si>
  <si>
    <t xml:space="preserve"> Modify Step 4 for total processor cores instead of processor sockets. </t>
  </si>
  <si>
    <t>Finalized by Scott</t>
  </si>
  <si>
    <t>Ross Smith IV</t>
  </si>
  <si>
    <t>Ramon Infante</t>
  </si>
  <si>
    <t>Download URL Added</t>
  </si>
  <si>
    <t>Latest version available at: http://msexchangeteam.com/files/12/attachments/entry456737.aspx</t>
  </si>
  <si>
    <r>
      <rPr>
        <b/>
        <sz val="12"/>
        <rFont val="Calibri"/>
        <family val="2"/>
        <scheme val="minor"/>
      </rPr>
      <t>Step 6:</t>
    </r>
    <r>
      <rPr>
        <sz val="11"/>
        <rFont val="Calibri"/>
        <family val="2"/>
        <scheme val="minor"/>
      </rPr>
      <t xml:space="preserve"> </t>
    </r>
    <r>
      <rPr>
        <sz val="10"/>
        <rFont val="Calibri"/>
        <family val="2"/>
        <scheme val="minor"/>
      </rPr>
      <t>Will you be deploying virtualized mailbox servers?   If no, proceed to Step 8.  If yes, follow the instructions in Step 7 to calculate the SPECint 2006 rate value of your virtual mailbox role servers.</t>
    </r>
  </si>
  <si>
    <r>
      <rPr>
        <b/>
        <sz val="12"/>
        <color theme="1"/>
        <rFont val="Calibri"/>
        <family val="2"/>
        <scheme val="minor"/>
      </rPr>
      <t>Step 8:</t>
    </r>
    <r>
      <rPr>
        <sz val="10"/>
        <color theme="1"/>
        <rFont val="Calibri"/>
        <family val="2"/>
        <scheme val="minor"/>
      </rPr>
      <t xml:space="preserve"> Go to the latest version of the Mailbox Role Calculator and on the </t>
    </r>
    <r>
      <rPr>
        <b/>
        <sz val="10"/>
        <color theme="1"/>
        <rFont val="Calibri"/>
        <family val="2"/>
        <scheme val="minor"/>
      </rPr>
      <t>Input</t>
    </r>
    <r>
      <rPr>
        <sz val="10"/>
        <color theme="1"/>
        <rFont val="Calibri"/>
        <family val="2"/>
        <scheme val="minor"/>
      </rPr>
      <t xml:space="preserve"> tab under </t>
    </r>
    <r>
      <rPr>
        <b/>
        <sz val="10"/>
        <color theme="1"/>
        <rFont val="Calibri"/>
        <family val="2"/>
        <scheme val="minor"/>
      </rPr>
      <t>"Role Requirements Input Factors - Processor Configuration"</t>
    </r>
    <r>
      <rPr>
        <sz val="10"/>
        <color theme="1"/>
        <rFont val="Calibri"/>
        <family val="2"/>
        <scheme val="minor"/>
      </rPr>
      <t xml:space="preserve"> enter the SPECint2006 Rate Value for your planned mailbox server to determine the adjusted megacycle calculation.</t>
    </r>
  </si>
  <si>
    <r>
      <rPr>
        <sz val="10"/>
        <rFont val="Calibri"/>
        <family val="2"/>
      </rPr>
      <t>•</t>
    </r>
    <r>
      <rPr>
        <sz val="10"/>
        <rFont val="Calibri"/>
        <family val="2"/>
        <scheme val="minor"/>
      </rPr>
      <t>Enter the SPECint 2006 Rate Value of your physical host servers</t>
    </r>
  </si>
  <si>
    <t>Enter 1 if you will be deploying 1:1 virtual processor-to-physical processor on the host</t>
  </si>
  <si>
    <t>Enter 2 if you will be deploying 2:1 virtual processor-to-physical processor on the host</t>
  </si>
  <si>
    <t>•Enter the virtual processor ratio that you  will use:</t>
  </si>
  <si>
    <t>•Number of physical cores in the host server (from step 4 above)</t>
  </si>
  <si>
    <t>http://technet.microsoft.com/en-us/library/aa996719.aspx</t>
  </si>
  <si>
    <t xml:space="preserve">Step 7: Virtualized Mailbox Role Servers  </t>
  </si>
  <si>
    <t>Read and understand the System Requirements and support stance for Hardware Virtualization</t>
  </si>
  <si>
    <t>•Enter the number of virtual processors to be allocated to each server</t>
  </si>
  <si>
    <t>Virtual Mailbox Server SPECint 2006 Rate Value</t>
  </si>
  <si>
    <t>Per Virtual processor SPECint 2006 Rate Value =</t>
  </si>
  <si>
    <t>Added step to calculate SPECint rate value for virtual workloads</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</si>
</sst>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1"/>
      <color theme="1"/>
      <name val="Calibri"/>
      <family val="2"/>
      <scheme val="minor"/>
    </font>
    <font>
      <u/>
      <sz val="11"/>
      <color theme="10"/>
      <name val="Calibri"/>
      <family val="2"/>
      <scheme val="minor"/>
    </font>
    <font>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sz val="10"/>
      <name val="Calibri"/>
      <family val="2"/>
      <scheme val="minor"/>
    </font>
    <font>
      <b/>
      <sz val="11"/>
      <color theme="1"/>
      <name val="Calibri"/>
      <family val="2"/>
      <scheme val="minor"/>
    </font>
    <font>
      <sz val="11"/>
      <name val="Calibri"/>
      <family val="2"/>
      <scheme val="minor"/>
    </font>
    <font>
      <u/>
      <sz val="10"/>
      <color theme="10"/>
      <name val="Calibri"/>
      <family val="2"/>
      <scheme val="minor"/>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u/>
      <sz val="8.5"/>
      <color theme="10"/>
      <name val="Calibri"/>
      <family val="2"/>
    </font>
    <font>
      <sz val="8"/>
      <color theme="1"/>
      <name val="Calibri"/>
      <family val="2"/>
      <scheme val="minor"/>
    </font>
    <font>
      <b/>
      <sz val="12"/>
      <name val="Calibri"/>
      <family val="2"/>
      <scheme val="minor"/>
    </font>
    <font>
      <b/>
      <sz val="10"/>
      <color theme="1"/>
      <name val="Arial"/>
      <family val="2"/>
    </font>
    <font>
      <b/>
      <sz val="12"/>
      <color rgb="FFFFFFFF"/>
      <name val="Arial"/>
      <family val="2"/>
    </font>
    <font>
      <b/>
      <sz val="12"/>
      <color theme="0"/>
      <name val="Arial"/>
      <family val="2"/>
    </font>
    <font>
      <sz val="10"/>
      <name val="Calibri"/>
      <family val="2"/>
    </font>
    <font>
      <sz val="8"/>
      <color indexed="81"/>
      <name val="Tahoma"/>
      <family val="2"/>
    </font>
    <font>
      <sz val="9"/>
      <color indexed="81"/>
      <name val="Tahoma"/>
      <family val="2"/>
    </font>
    <font>
      <b/>
      <sz val="9"/>
      <color indexed="81"/>
      <name val="Tahoma"/>
      <family val="2"/>
    </font>
    <font>
      <b/>
      <sz val="11"/>
      <name val="Calibri"/>
      <family val="2"/>
      <scheme val="minor"/>
    </font>
  </fonts>
  <fills count="30">
    <fill>
      <patternFill patternType="none"/>
    </fill>
    <fill>
      <patternFill patternType="gray125"/>
    </fill>
    <fill>
      <patternFill patternType="solid">
        <fgColor theme="4" tint="0.39997558519241921"/>
        <bgColor indexed="64"/>
      </patternFill>
    </fill>
    <fill>
      <patternFill patternType="solid">
        <fgColor theme="4" tint="0.79998168889431442"/>
        <bgColor indexed="64"/>
      </patternFill>
    </fill>
    <fill>
      <patternFill patternType="solid">
        <fgColor theme="4"/>
        <bgColor indexed="64"/>
      </patternFill>
    </fill>
    <fill>
      <patternFill patternType="solid">
        <fgColor rgb="FFFFD961"/>
        <bgColor indexed="64"/>
      </patternFill>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theme="1"/>
        <bgColor indexed="64"/>
      </patternFill>
    </fill>
    <fill>
      <patternFill patternType="solid">
        <fgColor theme="0" tint="-0.14999847407452621"/>
        <bgColor indexed="64"/>
      </patternFill>
    </fill>
    <fill>
      <patternFill patternType="solid">
        <fgColor theme="0"/>
        <bgColor indexed="64"/>
      </patternFill>
    </fill>
    <fill>
      <patternFill patternType="solid">
        <fgColor rgb="FFFFC000"/>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right/>
      <top/>
      <bottom style="medium">
        <color auto="1"/>
      </bottom>
      <diagonal/>
    </border>
    <border>
      <left/>
      <right/>
      <top style="medium">
        <color auto="1"/>
      </top>
      <bottom style="medium">
        <color auto="1"/>
      </bottom>
      <diagonal/>
    </border>
    <border>
      <left style="medium">
        <color indexed="64"/>
      </left>
      <right style="medium">
        <color indexed="64"/>
      </right>
      <top/>
      <bottom/>
      <diagonal/>
    </border>
    <border>
      <left style="medium">
        <color indexed="64"/>
      </left>
      <right style="medium">
        <color indexed="64"/>
      </right>
      <top/>
      <bottom style="medium">
        <color auto="1"/>
      </bottom>
      <diagonal/>
    </border>
    <border>
      <left/>
      <right style="thin">
        <color indexed="64"/>
      </right>
      <top/>
      <bottom style="thin">
        <color indexed="64"/>
      </bottom>
      <diagonal/>
    </border>
    <border>
      <left/>
      <right/>
      <top/>
      <bottom style="thin">
        <color indexed="64"/>
      </bottom>
      <diagonal/>
    </border>
  </borders>
  <cellStyleXfs count="50">
    <xf numFmtId="0" fontId="0" fillId="0" borderId="0"/>
    <xf numFmtId="0" fontId="1" fillId="0" borderId="0" applyNumberFormat="0" applyFill="0" applyBorder="0" applyAlignment="0" applyProtection="0"/>
    <xf numFmtId="0" fontId="10" fillId="0" borderId="0"/>
    <xf numFmtId="0" fontId="21" fillId="8" borderId="0" applyNumberFormat="0" applyBorder="0" applyAlignment="0" applyProtection="0"/>
    <xf numFmtId="0" fontId="24" fillId="9" borderId="0" applyNumberFormat="0" applyBorder="0" applyAlignment="0" applyProtection="0"/>
    <xf numFmtId="0" fontId="24" fillId="9"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4" fillId="12" borderId="0" applyNumberFormat="0" applyBorder="0" applyAlignment="0" applyProtection="0"/>
    <xf numFmtId="0" fontId="24" fillId="13"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4" fillId="12" borderId="0" applyNumberFormat="0" applyBorder="0" applyAlignment="0" applyProtection="0"/>
    <xf numFmtId="0" fontId="24" fillId="15" borderId="0" applyNumberFormat="0" applyBorder="0" applyAlignment="0" applyProtection="0"/>
    <xf numFmtId="0" fontId="21" fillId="13" borderId="0" applyNumberFormat="0" applyBorder="0" applyAlignment="0" applyProtection="0"/>
    <xf numFmtId="0" fontId="21" fillId="8" borderId="0" applyNumberFormat="0" applyBorder="0" applyAlignment="0" applyProtection="0"/>
    <xf numFmtId="0" fontId="24" fillId="9" borderId="0" applyNumberFormat="0" applyBorder="0" applyAlignment="0" applyProtection="0"/>
    <xf numFmtId="0" fontId="24" fillId="13" borderId="0" applyNumberFormat="0" applyBorder="0" applyAlignment="0" applyProtection="0"/>
    <xf numFmtId="0" fontId="21" fillId="13" borderId="0" applyNumberFormat="0" applyBorder="0" applyAlignment="0" applyProtection="0"/>
    <xf numFmtId="0" fontId="21" fillId="16" borderId="0" applyNumberFormat="0" applyBorder="0" applyAlignment="0" applyProtection="0"/>
    <xf numFmtId="0" fontId="24" fillId="17" borderId="0" applyNumberFormat="0" applyBorder="0" applyAlignment="0" applyProtection="0"/>
    <xf numFmtId="0" fontId="24" fillId="9" borderId="0" applyNumberFormat="0" applyBorder="0" applyAlignment="0" applyProtection="0"/>
    <xf numFmtId="0" fontId="21" fillId="10" borderId="0" applyNumberFormat="0" applyBorder="0" applyAlignment="0" applyProtection="0"/>
    <xf numFmtId="0" fontId="21" fillId="18" borderId="0" applyNumberFormat="0" applyBorder="0" applyAlignment="0" applyProtection="0"/>
    <xf numFmtId="0" fontId="24" fillId="12" borderId="0" applyNumberFormat="0" applyBorder="0" applyAlignment="0" applyProtection="0"/>
    <xf numFmtId="0" fontId="24" fillId="19" borderId="0" applyNumberFormat="0" applyBorder="0" applyAlignment="0" applyProtection="0"/>
    <xf numFmtId="0" fontId="21" fillId="19" borderId="0" applyNumberFormat="0" applyBorder="0" applyAlignment="0" applyProtection="0"/>
    <xf numFmtId="0" fontId="16" fillId="20" borderId="0" applyNumberFormat="0" applyBorder="0" applyAlignment="0" applyProtection="0"/>
    <xf numFmtId="0" fontId="21" fillId="7" borderId="6" applyNumberFormat="0" applyAlignment="0" applyProtection="0"/>
    <xf numFmtId="0" fontId="22" fillId="0" borderId="0" applyNumberFormat="0" applyFill="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5" fillId="15" borderId="0" applyNumberFormat="0" applyBorder="0" applyAlignment="0" applyProtection="0"/>
    <xf numFmtId="0" fontId="12" fillId="0" borderId="7" applyNumberFormat="0" applyFill="0" applyAlignment="0" applyProtection="0"/>
    <xf numFmtId="0" fontId="13" fillId="0" borderId="8" applyNumberFormat="0" applyFill="0" applyAlignment="0" applyProtection="0"/>
    <xf numFmtId="0" fontId="14" fillId="0" borderId="9" applyNumberFormat="0" applyFill="0" applyAlignment="0" applyProtection="0"/>
    <xf numFmtId="0" fontId="14" fillId="0" borderId="0" applyNumberFormat="0" applyFill="0" applyBorder="0" applyAlignment="0" applyProtection="0"/>
    <xf numFmtId="0" fontId="19" fillId="6" borderId="10" applyNumberFormat="0" applyAlignment="0" applyProtection="0"/>
    <xf numFmtId="0" fontId="10" fillId="24" borderId="11" applyNumberFormat="0" applyFont="0" applyAlignment="0" applyProtection="0"/>
    <xf numFmtId="0" fontId="17" fillId="24" borderId="0" applyNumberFormat="0" applyBorder="0" applyAlignment="0" applyProtection="0"/>
    <xf numFmtId="0" fontId="10" fillId="12" borderId="12" applyNumberFormat="0" applyFont="0" applyAlignment="0" applyProtection="0"/>
    <xf numFmtId="0" fontId="20" fillId="25" borderId="13" applyNumberFormat="0" applyAlignment="0" applyProtection="0"/>
    <xf numFmtId="0" fontId="11" fillId="0" borderId="0" applyNumberFormat="0" applyFill="0" applyBorder="0" applyAlignment="0" applyProtection="0"/>
    <xf numFmtId="0" fontId="18" fillId="0" borderId="14" applyNumberFormat="0" applyFill="0" applyAlignment="0" applyProtection="0"/>
    <xf numFmtId="0" fontId="23" fillId="0" borderId="0" applyNumberFormat="0" applyFill="0" applyBorder="0" applyAlignment="0" applyProtection="0"/>
    <xf numFmtId="9" fontId="10" fillId="0" borderId="0" applyFont="0" applyFill="0" applyBorder="0" applyAlignment="0" applyProtection="0"/>
    <xf numFmtId="0" fontId="25" fillId="0" borderId="0" applyNumberFormat="0" applyFill="0" applyBorder="0" applyAlignment="0" applyProtection="0">
      <alignment vertical="top"/>
      <protection locked="0"/>
    </xf>
    <xf numFmtId="9" fontId="10" fillId="0" borderId="0" applyFont="0" applyFill="0" applyBorder="0" applyAlignment="0" applyProtection="0"/>
    <xf numFmtId="0" fontId="31" fillId="0" borderId="0"/>
  </cellStyleXfs>
  <cellXfs count="107">
    <xf numFmtId="0" fontId="0" fillId="0" borderId="0" xfId="0"/>
    <xf numFmtId="0" fontId="2" fillId="0" borderId="0" xfId="0" applyFont="1"/>
    <xf numFmtId="0" fontId="3" fillId="0" borderId="0" xfId="0" applyFont="1"/>
    <xf numFmtId="0" fontId="3" fillId="0" borderId="0" xfId="0" applyFont="1" applyFill="1"/>
    <xf numFmtId="0" fontId="0" fillId="0" borderId="0" xfId="0" applyFont="1" applyFill="1"/>
    <xf numFmtId="0" fontId="2" fillId="0" borderId="0" xfId="0" applyFont="1" applyFill="1"/>
    <xf numFmtId="0" fontId="0" fillId="0" borderId="0" xfId="0" applyFont="1"/>
    <xf numFmtId="0" fontId="3" fillId="2" borderId="5" xfId="0" applyFont="1" applyFill="1" applyBorder="1" applyAlignment="1">
      <alignment horizontal="left" wrapText="1"/>
    </xf>
    <xf numFmtId="0" fontId="0" fillId="2" borderId="0" xfId="0" applyFont="1" applyFill="1" applyBorder="1" applyAlignment="1">
      <alignment horizontal="left" wrapText="1"/>
    </xf>
    <xf numFmtId="0" fontId="3" fillId="2" borderId="0" xfId="0" applyFont="1" applyFill="1" applyBorder="1" applyAlignment="1">
      <alignment horizontal="left" wrapText="1"/>
    </xf>
    <xf numFmtId="0" fontId="3" fillId="2" borderId="5" xfId="0" applyFont="1" applyFill="1" applyBorder="1"/>
    <xf numFmtId="0" fontId="2" fillId="3" borderId="5" xfId="0" applyFont="1" applyFill="1" applyBorder="1" applyAlignment="1">
      <alignment horizontal="left" wrapText="1"/>
    </xf>
    <xf numFmtId="0" fontId="0" fillId="2" borderId="5" xfId="0" applyFont="1" applyFill="1" applyBorder="1" applyAlignment="1">
      <alignment horizontal="left" wrapText="1"/>
    </xf>
    <xf numFmtId="0" fontId="2" fillId="3" borderId="0" xfId="0" applyFont="1" applyFill="1" applyBorder="1" applyAlignment="1">
      <alignment horizontal="left" wrapText="1"/>
    </xf>
    <xf numFmtId="0" fontId="4" fillId="27" borderId="0" xfId="0" applyFont="1" applyFill="1" applyBorder="1"/>
    <xf numFmtId="0" fontId="3" fillId="27" borderId="0" xfId="0" applyFont="1" applyFill="1" applyBorder="1"/>
    <xf numFmtId="0" fontId="3" fillId="27" borderId="5" xfId="0" applyFont="1" applyFill="1" applyBorder="1"/>
    <xf numFmtId="0" fontId="26" fillId="0" borderId="17" xfId="0" applyFont="1" applyFill="1" applyBorder="1"/>
    <xf numFmtId="0" fontId="26" fillId="0" borderId="17" xfId="0" applyFont="1" applyBorder="1"/>
    <xf numFmtId="0" fontId="3" fillId="27" borderId="20" xfId="0" applyFont="1" applyFill="1" applyBorder="1"/>
    <xf numFmtId="0" fontId="3" fillId="27" borderId="19" xfId="0" applyFont="1" applyFill="1" applyBorder="1"/>
    <xf numFmtId="0" fontId="26" fillId="0" borderId="18" xfId="0" applyFont="1" applyBorder="1"/>
    <xf numFmtId="0" fontId="26" fillId="0" borderId="0" xfId="0" applyFont="1" applyAlignment="1">
      <alignment wrapText="1"/>
    </xf>
    <xf numFmtId="0" fontId="26" fillId="0" borderId="0" xfId="0" applyFont="1"/>
    <xf numFmtId="0" fontId="26" fillId="0" borderId="16" xfId="0" applyFont="1" applyBorder="1" applyAlignment="1">
      <alignment wrapText="1"/>
    </xf>
    <xf numFmtId="0" fontId="26" fillId="0" borderId="0" xfId="0" applyFont="1" applyBorder="1"/>
    <xf numFmtId="0" fontId="26" fillId="0" borderId="1" xfId="0" applyFont="1" applyBorder="1" applyAlignment="1">
      <alignment wrapText="1"/>
    </xf>
    <xf numFmtId="0" fontId="26" fillId="0" borderId="15" xfId="0" applyFont="1" applyBorder="1"/>
    <xf numFmtId="0" fontId="26" fillId="0" borderId="0" xfId="0" applyFont="1" applyFill="1" applyBorder="1"/>
    <xf numFmtId="0" fontId="9" fillId="27" borderId="0" xfId="1" applyFont="1" applyFill="1" applyBorder="1"/>
    <xf numFmtId="0" fontId="0" fillId="0" borderId="1" xfId="0" applyBorder="1" applyAlignment="1">
      <alignment horizontal="center" vertical="center"/>
    </xf>
    <xf numFmtId="0" fontId="2" fillId="3" borderId="0" xfId="0" applyFont="1" applyFill="1" applyBorder="1" applyAlignment="1">
      <alignment horizontal="left" wrapText="1"/>
    </xf>
    <xf numFmtId="0" fontId="2" fillId="3" borderId="5" xfId="0" applyFont="1" applyFill="1" applyBorder="1" applyAlignment="1">
      <alignment horizontal="left" wrapText="1"/>
    </xf>
    <xf numFmtId="0" fontId="0" fillId="0" borderId="0" xfId="0" quotePrefix="1"/>
    <xf numFmtId="0" fontId="2" fillId="3" borderId="0" xfId="0" applyFont="1" applyFill="1" applyBorder="1" applyAlignment="1">
      <alignment horizontal="left" vertical="top" wrapText="1"/>
    </xf>
    <xf numFmtId="0" fontId="2" fillId="3" borderId="5" xfId="0" applyFont="1" applyFill="1" applyBorder="1" applyAlignment="1">
      <alignment horizontal="left" vertical="top" wrapText="1"/>
    </xf>
    <xf numFmtId="0" fontId="6" fillId="2" borderId="0" xfId="0" applyFont="1" applyFill="1" applyBorder="1" applyAlignment="1">
      <alignment horizontal="left" vertical="top" wrapText="1"/>
    </xf>
    <xf numFmtId="0" fontId="6" fillId="2" borderId="5" xfId="0" applyFont="1" applyFill="1" applyBorder="1" applyAlignment="1">
      <alignment horizontal="left" vertical="top" wrapText="1"/>
    </xf>
    <xf numFmtId="0" fontId="8" fillId="2" borderId="0" xfId="0" applyFont="1" applyFill="1" applyBorder="1" applyAlignment="1">
      <alignment horizontal="left" vertical="top" wrapText="1"/>
    </xf>
    <xf numFmtId="0" fontId="8" fillId="2" borderId="5" xfId="0" applyFont="1" applyFill="1" applyBorder="1" applyAlignment="1">
      <alignment horizontal="left" vertical="top" wrapText="1"/>
    </xf>
    <xf numFmtId="0" fontId="6" fillId="2" borderId="0" xfId="0" applyFont="1" applyFill="1" applyBorder="1" applyAlignment="1">
      <alignment horizontal="left" vertical="top" wrapText="1"/>
    </xf>
    <xf numFmtId="0" fontId="6" fillId="2" borderId="5" xfId="0" applyFont="1" applyFill="1" applyBorder="1" applyAlignment="1">
      <alignment horizontal="left" vertical="top" wrapText="1"/>
    </xf>
    <xf numFmtId="0" fontId="6" fillId="2" borderId="0" xfId="0" applyFont="1" applyFill="1" applyBorder="1" applyAlignment="1">
      <alignment horizontal="left" vertical="top"/>
    </xf>
    <xf numFmtId="0" fontId="6" fillId="2" borderId="0" xfId="0" applyFont="1" applyFill="1" applyBorder="1" applyAlignment="1">
      <alignment horizontal="left" vertical="top" indent="1"/>
    </xf>
    <xf numFmtId="0" fontId="6" fillId="2" borderId="0" xfId="0" applyFont="1" applyFill="1" applyBorder="1" applyAlignment="1">
      <alignment horizontal="left" vertical="top" indent="4"/>
    </xf>
    <xf numFmtId="0" fontId="6" fillId="2" borderId="0" xfId="0" applyFont="1" applyFill="1" applyBorder="1" applyAlignment="1">
      <alignment horizontal="left" vertical="top" indent="6"/>
    </xf>
    <xf numFmtId="0" fontId="35" fillId="2" borderId="0" xfId="0" applyFont="1" applyFill="1" applyBorder="1" applyAlignment="1">
      <alignment horizontal="right" vertical="top"/>
    </xf>
    <xf numFmtId="0" fontId="8" fillId="2" borderId="0" xfId="0" applyFont="1" applyFill="1" applyBorder="1" applyAlignment="1">
      <alignment horizontal="right" vertical="top"/>
    </xf>
    <xf numFmtId="1" fontId="6" fillId="28" borderId="1" xfId="0" applyNumberFormat="1" applyFont="1" applyFill="1" applyBorder="1" applyAlignment="1">
      <alignment horizontal="center" vertical="top" wrapText="1"/>
    </xf>
    <xf numFmtId="0" fontId="6" fillId="2" borderId="5" xfId="0" applyFont="1" applyFill="1" applyBorder="1" applyAlignment="1">
      <alignment horizontal="left" vertical="top"/>
    </xf>
    <xf numFmtId="0" fontId="3" fillId="0" borderId="0" xfId="0" applyFont="1" applyAlignment="1"/>
    <xf numFmtId="0" fontId="27" fillId="2" borderId="0" xfId="0" applyFont="1" applyFill="1" applyBorder="1" applyAlignment="1">
      <alignment horizontal="left" vertical="top"/>
    </xf>
    <xf numFmtId="0" fontId="9" fillId="2" borderId="0" xfId="1" applyFont="1" applyFill="1" applyBorder="1" applyAlignment="1">
      <alignment horizontal="left" vertical="top"/>
    </xf>
    <xf numFmtId="2" fontId="6" fillId="2" borderId="0" xfId="0" applyNumberFormat="1" applyFont="1" applyFill="1" applyBorder="1" applyAlignment="1">
      <alignment horizontal="center" vertical="top" wrapText="1"/>
    </xf>
    <xf numFmtId="0" fontId="6" fillId="2" borderId="20" xfId="0" applyFont="1" applyFill="1" applyBorder="1" applyAlignment="1">
      <alignment horizontal="left" vertical="top" indent="4"/>
    </xf>
    <xf numFmtId="0" fontId="6" fillId="2" borderId="20" xfId="0" applyFont="1" applyFill="1" applyBorder="1" applyAlignment="1">
      <alignment horizontal="left" vertical="top"/>
    </xf>
    <xf numFmtId="0" fontId="6" fillId="2" borderId="20" xfId="0" applyFont="1" applyFill="1" applyBorder="1" applyAlignment="1">
      <alignment horizontal="left" vertical="top" wrapText="1"/>
    </xf>
    <xf numFmtId="0" fontId="6"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3" fillId="2" borderId="5" xfId="0" applyFont="1" applyFill="1" applyBorder="1" applyAlignment="1">
      <alignment horizontal="left" vertical="top" wrapText="1"/>
    </xf>
    <xf numFmtId="0" fontId="3" fillId="2" borderId="20" xfId="0" applyFont="1" applyFill="1" applyBorder="1" applyAlignment="1">
      <alignment horizontal="left" vertical="top" wrapText="1"/>
    </xf>
    <xf numFmtId="0" fontId="3" fillId="2" borderId="19" xfId="0" applyFont="1" applyFill="1" applyBorder="1" applyAlignment="1">
      <alignment horizontal="left" vertical="top" wrapText="1"/>
    </xf>
    <xf numFmtId="0" fontId="7" fillId="2" borderId="0" xfId="0" applyFont="1" applyFill="1" applyBorder="1" applyAlignment="1">
      <alignment horizontal="right" vertical="center" wrapText="1"/>
    </xf>
    <xf numFmtId="0" fontId="7" fillId="2" borderId="5" xfId="0" applyFont="1" applyFill="1" applyBorder="1" applyAlignment="1">
      <alignment horizontal="right" vertical="center" wrapText="1"/>
    </xf>
    <xf numFmtId="0" fontId="30" fillId="4" borderId="0" xfId="0" applyFont="1" applyFill="1" applyBorder="1" applyAlignment="1">
      <alignment vertical="top" wrapText="1"/>
    </xf>
    <xf numFmtId="0" fontId="30" fillId="4" borderId="5" xfId="0" applyFont="1" applyFill="1" applyBorder="1" applyAlignment="1">
      <alignment vertical="top" wrapText="1"/>
    </xf>
    <xf numFmtId="0" fontId="0" fillId="2" borderId="0" xfId="0" applyFont="1" applyFill="1" applyBorder="1" applyAlignment="1">
      <alignment horizontal="left" vertical="top" wrapText="1"/>
    </xf>
    <xf numFmtId="0" fontId="2" fillId="2" borderId="0" xfId="0" applyFont="1" applyFill="1" applyBorder="1" applyAlignment="1">
      <alignment horizontal="left" vertical="top" wrapText="1"/>
    </xf>
    <xf numFmtId="0" fontId="0" fillId="2" borderId="0" xfId="0" applyFont="1" applyFill="1" applyBorder="1" applyAlignment="1">
      <alignment vertical="top" wrapText="1"/>
    </xf>
    <xf numFmtId="0" fontId="0" fillId="3" borderId="0" xfId="0" applyFont="1" applyFill="1" applyBorder="1" applyAlignment="1">
      <alignment vertical="top" wrapText="1"/>
    </xf>
    <xf numFmtId="0" fontId="0" fillId="3" borderId="5" xfId="0" applyFont="1" applyFill="1" applyBorder="1" applyAlignment="1">
      <alignment vertical="top" wrapText="1"/>
    </xf>
    <xf numFmtId="0" fontId="2" fillId="3" borderId="0" xfId="0" applyFont="1" applyFill="1" applyBorder="1" applyAlignment="1">
      <alignment horizontal="left" wrapText="1"/>
    </xf>
    <xf numFmtId="0" fontId="2" fillId="3" borderId="5" xfId="0" applyFont="1" applyFill="1" applyBorder="1" applyAlignment="1">
      <alignment horizontal="left" wrapText="1"/>
    </xf>
    <xf numFmtId="1" fontId="7" fillId="5" borderId="2" xfId="0" applyNumberFormat="1" applyFont="1" applyFill="1" applyBorder="1" applyAlignment="1">
      <alignment horizontal="center"/>
    </xf>
    <xf numFmtId="1" fontId="7" fillId="5" borderId="3" xfId="0" applyNumberFormat="1" applyFont="1" applyFill="1" applyBorder="1" applyAlignment="1">
      <alignment horizontal="center"/>
    </xf>
    <xf numFmtId="0" fontId="0" fillId="2" borderId="0" xfId="0" applyFont="1" applyFill="1" applyBorder="1" applyAlignment="1">
      <alignment horizontal="left" wrapText="1"/>
    </xf>
    <xf numFmtId="0" fontId="2" fillId="3" borderId="0" xfId="0" applyFont="1" applyFill="1" applyBorder="1" applyAlignment="1">
      <alignment horizontal="left" vertical="top" wrapText="1"/>
    </xf>
    <xf numFmtId="0" fontId="2" fillId="3" borderId="5" xfId="0" applyFont="1" applyFill="1" applyBorder="1" applyAlignment="1">
      <alignment horizontal="left" vertical="top" wrapText="1"/>
    </xf>
    <xf numFmtId="1" fontId="7" fillId="2" borderId="4"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1" fontId="7" fillId="2" borderId="5" xfId="0" applyNumberFormat="1" applyFont="1" applyFill="1" applyBorder="1" applyAlignment="1">
      <alignment horizontal="center" vertical="center" wrapText="1"/>
    </xf>
    <xf numFmtId="0" fontId="8" fillId="2" borderId="0" xfId="0" applyFont="1" applyFill="1" applyBorder="1" applyAlignment="1">
      <alignment horizontal="left" vertical="top" wrapText="1"/>
    </xf>
    <xf numFmtId="0" fontId="8" fillId="2" borderId="5" xfId="0" applyFont="1" applyFill="1" applyBorder="1" applyAlignment="1">
      <alignment horizontal="left" vertical="top" wrapText="1"/>
    </xf>
    <xf numFmtId="0" fontId="6" fillId="2" borderId="0" xfId="0" applyFont="1" applyFill="1" applyBorder="1" applyAlignment="1">
      <alignment horizontal="left" vertical="top" wrapText="1"/>
    </xf>
    <xf numFmtId="0" fontId="6" fillId="2" borderId="5" xfId="0" applyFont="1" applyFill="1" applyBorder="1" applyAlignment="1">
      <alignment horizontal="left" vertical="top" wrapText="1"/>
    </xf>
    <xf numFmtId="0" fontId="6" fillId="2" borderId="0" xfId="0" applyFont="1" applyFill="1" applyBorder="1" applyAlignment="1">
      <alignment horizontal="left" vertical="top" indent="1"/>
    </xf>
    <xf numFmtId="0" fontId="29" fillId="26" borderId="0" xfId="0" applyFont="1" applyFill="1" applyBorder="1"/>
    <xf numFmtId="0" fontId="29" fillId="26" borderId="5" xfId="0" applyFont="1" applyFill="1" applyBorder="1"/>
    <xf numFmtId="0" fontId="28" fillId="0" borderId="0" xfId="0" applyFont="1" applyBorder="1"/>
    <xf numFmtId="0" fontId="28" fillId="0" borderId="5" xfId="0" applyFont="1" applyBorder="1"/>
    <xf numFmtId="0" fontId="28" fillId="27" borderId="0" xfId="0" applyFont="1" applyFill="1" applyBorder="1"/>
    <xf numFmtId="0" fontId="28" fillId="27" borderId="5" xfId="0" applyFont="1" applyFill="1" applyBorder="1"/>
    <xf numFmtId="0" fontId="3" fillId="27" borderId="0" xfId="0" applyFont="1" applyFill="1" applyBorder="1"/>
    <xf numFmtId="0" fontId="3" fillId="27" borderId="5" xfId="0" applyFont="1" applyFill="1" applyBorder="1"/>
    <xf numFmtId="0" fontId="6" fillId="0" borderId="0" xfId="0" applyFont="1" applyBorder="1" applyAlignment="1">
      <alignment horizontal="left" vertical="center" wrapText="1"/>
    </xf>
    <xf numFmtId="0" fontId="6" fillId="0" borderId="5" xfId="0" applyFont="1" applyBorder="1" applyAlignment="1">
      <alignment horizontal="left" vertical="center" wrapText="1"/>
    </xf>
    <xf numFmtId="0" fontId="9" fillId="27" borderId="0" xfId="1" applyFont="1" applyFill="1" applyBorder="1"/>
    <xf numFmtId="0" fontId="9" fillId="27" borderId="5" xfId="1" applyFont="1" applyFill="1" applyBorder="1"/>
    <xf numFmtId="0" fontId="2" fillId="27" borderId="0" xfId="0" applyFont="1" applyFill="1" applyBorder="1"/>
    <xf numFmtId="0" fontId="2" fillId="27" borderId="5" xfId="0" applyFont="1" applyFill="1" applyBorder="1"/>
    <xf numFmtId="0" fontId="2" fillId="0" borderId="0" xfId="0" applyFont="1" applyBorder="1"/>
    <xf numFmtId="0" fontId="2" fillId="0" borderId="5" xfId="0" applyFont="1" applyBorder="1"/>
    <xf numFmtId="0" fontId="9" fillId="27" borderId="20" xfId="1" applyFont="1" applyFill="1" applyBorder="1"/>
    <xf numFmtId="0" fontId="9" fillId="27" borderId="19" xfId="1" applyFont="1" applyFill="1" applyBorder="1"/>
    <xf numFmtId="0" fontId="6" fillId="28" borderId="1" xfId="0" applyFont="1" applyFill="1" applyBorder="1" applyAlignment="1">
      <alignment horizontal="center" vertical="top" wrapText="1"/>
    </xf>
    <xf numFmtId="0" fontId="6" fillId="2" borderId="0" xfId="0" applyFont="1" applyFill="1" applyBorder="1" applyAlignment="1">
      <alignment horizontal="center" vertical="top" wrapText="1"/>
    </xf>
    <xf numFmtId="1" fontId="35" fillId="29" borderId="1" xfId="0" applyNumberFormat="1" applyFont="1" applyFill="1" applyBorder="1" applyAlignment="1">
      <alignment horizontal="center" vertical="top" wrapText="1"/>
    </xf>
  </cellXfs>
  <cellStyles count="50">
    <cellStyle name="Accent1 - 20%" xfId="4"/>
    <cellStyle name="Accent1 - 40%" xfId="5"/>
    <cellStyle name="Accent1 - 60%" xfId="6"/>
    <cellStyle name="Accent1 2" xfId="3"/>
    <cellStyle name="Accent2 - 20%" xfId="8"/>
    <cellStyle name="Accent2 - 40%" xfId="9"/>
    <cellStyle name="Accent2 - 60%" xfId="10"/>
    <cellStyle name="Accent2 2" xfId="7"/>
    <cellStyle name="Accent3 - 20%" xfId="12"/>
    <cellStyle name="Accent3 - 40%" xfId="13"/>
    <cellStyle name="Accent3 - 60%" xfId="14"/>
    <cellStyle name="Accent3 2" xfId="11"/>
    <cellStyle name="Accent4 - 20%" xfId="16"/>
    <cellStyle name="Accent4 - 40%" xfId="17"/>
    <cellStyle name="Accent4 - 60%" xfId="18"/>
    <cellStyle name="Accent4 2" xfId="15"/>
    <cellStyle name="Accent5 - 20%" xfId="20"/>
    <cellStyle name="Accent5 - 40%" xfId="21"/>
    <cellStyle name="Accent5 - 60%" xfId="22"/>
    <cellStyle name="Accent5 2" xfId="19"/>
    <cellStyle name="Accent6 - 20%" xfId="24"/>
    <cellStyle name="Accent6 - 40%" xfId="25"/>
    <cellStyle name="Accent6 - 60%" xfId="26"/>
    <cellStyle name="Accent6 2" xfId="23"/>
    <cellStyle name="Bad 2" xfId="27"/>
    <cellStyle name="Calculation 2" xfId="28"/>
    <cellStyle name="Check Cell 2" xfId="29"/>
    <cellStyle name="Emphasis 1" xfId="30"/>
    <cellStyle name="Emphasis 2" xfId="31"/>
    <cellStyle name="Emphasis 3" xfId="32"/>
    <cellStyle name="Good 2" xfId="33"/>
    <cellStyle name="Heading 1 2" xfId="34"/>
    <cellStyle name="Heading 2 2" xfId="35"/>
    <cellStyle name="Heading 3 2" xfId="36"/>
    <cellStyle name="Heading 4 2" xfId="37"/>
    <cellStyle name="Hyperlink" xfId="1" builtinId="8"/>
    <cellStyle name="Hyperlink 2" xfId="47"/>
    <cellStyle name="Input 2" xfId="38"/>
    <cellStyle name="Linked Cell 2" xfId="39"/>
    <cellStyle name="Neutral 2" xfId="40"/>
    <cellStyle name="Normal" xfId="0" builtinId="0"/>
    <cellStyle name="Normal 2" xfId="2"/>
    <cellStyle name="Normal 2 2" xfId="49"/>
    <cellStyle name="Note 2" xfId="41"/>
    <cellStyle name="Output 2" xfId="42"/>
    <cellStyle name="Percent 2" xfId="48"/>
    <cellStyle name="Percent 3" xfId="46"/>
    <cellStyle name="Sheet Title" xfId="43"/>
    <cellStyle name="Total 2" xfId="44"/>
    <cellStyle name="Warning Text 2" xfId="45"/>
  </cellStyles>
  <dxfs count="0"/>
  <tableStyles count="0" defaultTableStyle="TableStyleMedium2" defaultPivotStyle="PivotStyleLight16"/>
  <colors>
    <mruColors>
      <color rgb="FFFFD961"/>
      <color rgb="FFFFFFFF"/>
      <color rgb="FF4F81BD"/>
      <color rgb="FF9BBB59"/>
      <color rgb="FF669900"/>
      <color rgb="FFFA7D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523875</xdr:colOff>
          <xdr:row>33</xdr:row>
          <xdr:rowOff>47625</xdr:rowOff>
        </xdr:from>
        <xdr:to>
          <xdr:col>6</xdr:col>
          <xdr:colOff>504825</xdr:colOff>
          <xdr:row>34</xdr:row>
          <xdr:rowOff>142875</xdr:rowOff>
        </xdr:to>
        <xdr:sp macro="" textlink="">
          <xdr:nvSpPr>
            <xdr:cNvPr id="1029" name="Command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600075</xdr:colOff>
          <xdr:row>33</xdr:row>
          <xdr:rowOff>47625</xdr:rowOff>
        </xdr:from>
        <xdr:to>
          <xdr:col>7</xdr:col>
          <xdr:colOff>571500</xdr:colOff>
          <xdr:row>34</xdr:row>
          <xdr:rowOff>142875</xdr:rowOff>
        </xdr:to>
        <xdr:sp macro="" textlink="">
          <xdr:nvSpPr>
            <xdr:cNvPr id="1032" name="CommandButton2"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omments" Target="../comments1.xml"/><Relationship Id="rId3" Type="http://schemas.openxmlformats.org/officeDocument/2006/relationships/hyperlink" Target="http://msexchangeteam.com/archive/2009/11/09/453117.aspx" TargetMode="External"/><Relationship Id="rId7" Type="http://schemas.openxmlformats.org/officeDocument/2006/relationships/drawing" Target="../drawings/drawing1.xml"/><Relationship Id="rId12" Type="http://schemas.openxmlformats.org/officeDocument/2006/relationships/image" Target="../media/image2.emf"/><Relationship Id="rId2" Type="http://schemas.openxmlformats.org/officeDocument/2006/relationships/hyperlink" Target="mailto:scottal@microsoft.com" TargetMode="External"/><Relationship Id="rId1" Type="http://schemas.openxmlformats.org/officeDocument/2006/relationships/hyperlink" Target="http://technet.microsoft.com/en-us/library/ee712771.aspx" TargetMode="External"/><Relationship Id="rId6" Type="http://schemas.openxmlformats.org/officeDocument/2006/relationships/printerSettings" Target="../printerSettings/printerSettings1.bin"/><Relationship Id="rId11" Type="http://schemas.openxmlformats.org/officeDocument/2006/relationships/control" Target="../activeX/activeX2.xml"/><Relationship Id="rId5" Type="http://schemas.openxmlformats.org/officeDocument/2006/relationships/hyperlink" Target="http://technet.microsoft.com/en-us/library/aa996719.aspx" TargetMode="External"/><Relationship Id="rId10" Type="http://schemas.openxmlformats.org/officeDocument/2006/relationships/image" Target="../media/image1.emf"/><Relationship Id="rId4" Type="http://schemas.openxmlformats.org/officeDocument/2006/relationships/hyperlink" Target="http://www.spec.org/" TargetMode="External"/><Relationship Id="rId9"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24"/>
  <sheetViews>
    <sheetView showGridLines="0" showRowColHeaders="0" tabSelected="1" zoomScaleNormal="100" workbookViewId="0">
      <pane ySplit="1" topLeftCell="A20" activePane="bottomLeft" state="frozenSplit"/>
      <selection pane="bottomLeft" activeCell="G32" sqref="G32"/>
    </sheetView>
  </sheetViews>
  <sheetFormatPr defaultRowHeight="15" x14ac:dyDescent="0.25"/>
  <cols>
    <col min="1" max="1" width="11.42578125" style="1" customWidth="1"/>
    <col min="2" max="2" width="9.140625" style="1" customWidth="1"/>
    <col min="3" max="3" width="9.140625" style="6" customWidth="1"/>
    <col min="4" max="7" width="9.140625" style="2" customWidth="1"/>
    <col min="8" max="8" width="10.28515625" style="2" customWidth="1"/>
    <col min="9" max="9" width="16.5703125" customWidth="1"/>
    <col min="10" max="10" width="42.28515625" customWidth="1"/>
    <col min="11" max="11" width="5.85546875" customWidth="1"/>
    <col min="12" max="12" width="5.7109375" customWidth="1"/>
    <col min="13" max="13" width="11.7109375" customWidth="1"/>
    <col min="14" max="14" width="10.85546875" customWidth="1"/>
    <col min="15" max="15" width="5.28515625" customWidth="1"/>
    <col min="16" max="16" width="7.7109375" customWidth="1"/>
    <col min="17" max="16384" width="9.140625" style="1"/>
  </cols>
  <sheetData>
    <row r="1" spans="1:8" ht="15.75" x14ac:dyDescent="0.25">
      <c r="A1" s="86" t="s">
        <v>3</v>
      </c>
      <c r="B1" s="86"/>
      <c r="C1" s="86"/>
      <c r="D1" s="86"/>
      <c r="E1" s="86"/>
      <c r="F1" s="86"/>
      <c r="G1" s="86"/>
      <c r="H1" s="87"/>
    </row>
    <row r="2" spans="1:8" x14ac:dyDescent="0.25">
      <c r="A2" s="14" t="s">
        <v>5</v>
      </c>
      <c r="B2" s="15" t="s">
        <v>6</v>
      </c>
      <c r="C2" s="15"/>
      <c r="D2" s="15"/>
      <c r="E2" s="15"/>
      <c r="F2" s="15"/>
      <c r="G2" s="15"/>
      <c r="H2" s="16"/>
    </row>
    <row r="3" spans="1:8" x14ac:dyDescent="0.25">
      <c r="A3" s="15" t="s">
        <v>7</v>
      </c>
      <c r="B3" s="15" t="s">
        <v>8</v>
      </c>
      <c r="C3" s="15"/>
      <c r="D3" s="15"/>
      <c r="E3" s="15"/>
      <c r="F3" s="15"/>
      <c r="G3" s="15"/>
      <c r="H3" s="16"/>
    </row>
    <row r="4" spans="1:8" x14ac:dyDescent="0.25">
      <c r="A4" s="14" t="s">
        <v>9</v>
      </c>
      <c r="B4" s="29" t="s">
        <v>4</v>
      </c>
      <c r="C4" s="15"/>
      <c r="D4" s="15"/>
      <c r="E4" s="15"/>
      <c r="F4" s="15"/>
      <c r="G4" s="15"/>
      <c r="H4" s="16"/>
    </row>
    <row r="5" spans="1:8" x14ac:dyDescent="0.25">
      <c r="A5" s="19" t="s">
        <v>37</v>
      </c>
      <c r="B5" s="19"/>
      <c r="C5" s="19"/>
      <c r="D5" s="19"/>
      <c r="E5" s="19"/>
      <c r="F5" s="19"/>
      <c r="G5" s="19"/>
      <c r="H5" s="20"/>
    </row>
    <row r="6" spans="1:8" x14ac:dyDescent="0.25">
      <c r="A6" s="88" t="s">
        <v>13</v>
      </c>
      <c r="B6" s="88"/>
      <c r="C6" s="88"/>
      <c r="D6" s="88"/>
      <c r="E6" s="88"/>
      <c r="F6" s="88"/>
      <c r="G6" s="88"/>
      <c r="H6" s="89"/>
    </row>
    <row r="7" spans="1:8" x14ac:dyDescent="0.25">
      <c r="A7" s="94" t="s">
        <v>23</v>
      </c>
      <c r="B7" s="94"/>
      <c r="C7" s="94"/>
      <c r="D7" s="94"/>
      <c r="E7" s="94"/>
      <c r="F7" s="94"/>
      <c r="G7" s="94"/>
      <c r="H7" s="95"/>
    </row>
    <row r="8" spans="1:8" x14ac:dyDescent="0.25">
      <c r="A8" s="94"/>
      <c r="B8" s="94"/>
      <c r="C8" s="94"/>
      <c r="D8" s="94"/>
      <c r="E8" s="94"/>
      <c r="F8" s="94"/>
      <c r="G8" s="94"/>
      <c r="H8" s="95"/>
    </row>
    <row r="9" spans="1:8" x14ac:dyDescent="0.25">
      <c r="A9" s="94"/>
      <c r="B9" s="94"/>
      <c r="C9" s="94"/>
      <c r="D9" s="94"/>
      <c r="E9" s="94"/>
      <c r="F9" s="94"/>
      <c r="G9" s="94"/>
      <c r="H9" s="95"/>
    </row>
    <row r="10" spans="1:8" x14ac:dyDescent="0.25">
      <c r="A10" s="94"/>
      <c r="B10" s="94"/>
      <c r="C10" s="94"/>
      <c r="D10" s="94"/>
      <c r="E10" s="94"/>
      <c r="F10" s="94"/>
      <c r="G10" s="94"/>
      <c r="H10" s="95"/>
    </row>
    <row r="11" spans="1:8" x14ac:dyDescent="0.25">
      <c r="A11" s="94"/>
      <c r="B11" s="94"/>
      <c r="C11" s="94"/>
      <c r="D11" s="94"/>
      <c r="E11" s="94"/>
      <c r="F11" s="94"/>
      <c r="G11" s="94"/>
      <c r="H11" s="95"/>
    </row>
    <row r="12" spans="1:8" x14ac:dyDescent="0.25">
      <c r="A12" s="94"/>
      <c r="B12" s="94"/>
      <c r="C12" s="94"/>
      <c r="D12" s="94"/>
      <c r="E12" s="94"/>
      <c r="F12" s="94"/>
      <c r="G12" s="94"/>
      <c r="H12" s="95"/>
    </row>
    <row r="13" spans="1:8" x14ac:dyDescent="0.25">
      <c r="A13" s="94"/>
      <c r="B13" s="94"/>
      <c r="C13" s="94"/>
      <c r="D13" s="94"/>
      <c r="E13" s="94"/>
      <c r="F13" s="94"/>
      <c r="G13" s="94"/>
      <c r="H13" s="95"/>
    </row>
    <row r="14" spans="1:8" x14ac:dyDescent="0.25">
      <c r="A14" s="94"/>
      <c r="B14" s="94"/>
      <c r="C14" s="94"/>
      <c r="D14" s="94"/>
      <c r="E14" s="94"/>
      <c r="F14" s="94"/>
      <c r="G14" s="94"/>
      <c r="H14" s="95"/>
    </row>
    <row r="15" spans="1:8" x14ac:dyDescent="0.25">
      <c r="A15" s="94"/>
      <c r="B15" s="94"/>
      <c r="C15" s="94"/>
      <c r="D15" s="94"/>
      <c r="E15" s="94"/>
      <c r="F15" s="94"/>
      <c r="G15" s="94"/>
      <c r="H15" s="95"/>
    </row>
    <row r="16" spans="1:8" x14ac:dyDescent="0.25">
      <c r="A16" s="94"/>
      <c r="B16" s="94"/>
      <c r="C16" s="94"/>
      <c r="D16" s="94"/>
      <c r="E16" s="94"/>
      <c r="F16" s="94"/>
      <c r="G16" s="94"/>
      <c r="H16" s="95"/>
    </row>
    <row r="17" spans="1:8" x14ac:dyDescent="0.25">
      <c r="A17" s="90" t="s">
        <v>10</v>
      </c>
      <c r="B17" s="90"/>
      <c r="C17" s="90"/>
      <c r="D17" s="90"/>
      <c r="E17" s="90"/>
      <c r="F17" s="90"/>
      <c r="G17" s="90"/>
      <c r="H17" s="91"/>
    </row>
    <row r="18" spans="1:8" x14ac:dyDescent="0.25">
      <c r="A18" s="92" t="s">
        <v>11</v>
      </c>
      <c r="B18" s="92"/>
      <c r="C18" s="92"/>
      <c r="D18" s="92"/>
      <c r="E18" s="92"/>
      <c r="F18" s="92"/>
      <c r="G18" s="92"/>
      <c r="H18" s="93"/>
    </row>
    <row r="19" spans="1:8" x14ac:dyDescent="0.25">
      <c r="A19" s="96" t="s">
        <v>15</v>
      </c>
      <c r="B19" s="96"/>
      <c r="C19" s="96"/>
      <c r="D19" s="96"/>
      <c r="E19" s="96"/>
      <c r="F19" s="96"/>
      <c r="G19" s="96"/>
      <c r="H19" s="97"/>
    </row>
    <row r="20" spans="1:8" x14ac:dyDescent="0.25">
      <c r="A20" s="98"/>
      <c r="B20" s="98"/>
      <c r="C20" s="98"/>
      <c r="D20" s="98"/>
      <c r="E20" s="98"/>
      <c r="F20" s="98"/>
      <c r="G20" s="98"/>
      <c r="H20" s="99"/>
    </row>
    <row r="21" spans="1:8" x14ac:dyDescent="0.25">
      <c r="A21" s="92" t="s">
        <v>14</v>
      </c>
      <c r="B21" s="92"/>
      <c r="C21" s="92"/>
      <c r="D21" s="92"/>
      <c r="E21" s="92"/>
      <c r="F21" s="92"/>
      <c r="G21" s="92"/>
      <c r="H21" s="93"/>
    </row>
    <row r="22" spans="1:8" x14ac:dyDescent="0.25">
      <c r="A22" s="96" t="s">
        <v>0</v>
      </c>
      <c r="B22" s="96"/>
      <c r="C22" s="96"/>
      <c r="D22" s="96"/>
      <c r="E22" s="96"/>
      <c r="F22" s="96"/>
      <c r="G22" s="96"/>
      <c r="H22" s="97"/>
    </row>
    <row r="23" spans="1:8" x14ac:dyDescent="0.25">
      <c r="A23" s="92"/>
      <c r="B23" s="92"/>
      <c r="C23" s="92"/>
      <c r="D23" s="92"/>
      <c r="E23" s="92"/>
      <c r="F23" s="92"/>
      <c r="G23" s="92"/>
      <c r="H23" s="93"/>
    </row>
    <row r="24" spans="1:8" x14ac:dyDescent="0.25">
      <c r="A24" s="92" t="s">
        <v>20</v>
      </c>
      <c r="B24" s="92"/>
      <c r="C24" s="92"/>
      <c r="D24" s="92"/>
      <c r="E24" s="92"/>
      <c r="F24" s="92"/>
      <c r="G24" s="92"/>
      <c r="H24" s="93"/>
    </row>
    <row r="25" spans="1:8" x14ac:dyDescent="0.25">
      <c r="A25" s="102" t="s">
        <v>19</v>
      </c>
      <c r="B25" s="102"/>
      <c r="C25" s="102"/>
      <c r="D25" s="102"/>
      <c r="E25" s="102"/>
      <c r="F25" s="102"/>
      <c r="G25" s="102"/>
      <c r="H25" s="103"/>
    </row>
    <row r="26" spans="1:8" x14ac:dyDescent="0.25">
      <c r="A26" s="100"/>
      <c r="B26" s="100"/>
      <c r="C26" s="100"/>
      <c r="D26" s="100"/>
      <c r="E26" s="100"/>
      <c r="F26" s="100"/>
      <c r="G26" s="100"/>
      <c r="H26" s="101"/>
    </row>
    <row r="27" spans="1:8" ht="15.75" x14ac:dyDescent="0.25">
      <c r="A27" s="64" t="s">
        <v>1</v>
      </c>
      <c r="B27" s="64"/>
      <c r="C27" s="64"/>
      <c r="D27" s="64"/>
      <c r="E27" s="64"/>
      <c r="F27" s="64"/>
      <c r="G27" s="64"/>
      <c r="H27" s="65"/>
    </row>
    <row r="28" spans="1:8" x14ac:dyDescent="0.25">
      <c r="A28" s="68" t="s">
        <v>12</v>
      </c>
      <c r="B28" s="68"/>
      <c r="C28" s="68"/>
      <c r="D28" s="68"/>
      <c r="E28" s="68"/>
      <c r="F28" s="68"/>
      <c r="G28" s="68"/>
      <c r="H28" s="7"/>
    </row>
    <row r="29" spans="1:8" x14ac:dyDescent="0.25">
      <c r="A29" s="68"/>
      <c r="B29" s="68"/>
      <c r="C29" s="68"/>
      <c r="D29" s="68"/>
      <c r="E29" s="68"/>
      <c r="F29" s="68"/>
      <c r="G29" s="68"/>
      <c r="H29" s="7"/>
    </row>
    <row r="30" spans="1:8" x14ac:dyDescent="0.25">
      <c r="A30" s="69"/>
      <c r="B30" s="69"/>
      <c r="C30" s="69"/>
      <c r="D30" s="69"/>
      <c r="E30" s="69"/>
      <c r="F30" s="69"/>
      <c r="G30" s="69"/>
      <c r="H30" s="70"/>
    </row>
    <row r="31" spans="1:8" ht="15.75" thickBot="1" x14ac:dyDescent="0.3">
      <c r="A31" s="66" t="s">
        <v>21</v>
      </c>
      <c r="B31" s="67"/>
      <c r="C31" s="67"/>
      <c r="D31" s="67"/>
      <c r="E31" s="67"/>
      <c r="F31" s="67"/>
      <c r="G31" s="9"/>
      <c r="H31" s="10"/>
    </row>
    <row r="32" spans="1:8" ht="15.75" thickBot="1" x14ac:dyDescent="0.3">
      <c r="A32" s="67"/>
      <c r="B32" s="67"/>
      <c r="C32" s="67"/>
      <c r="D32" s="67"/>
      <c r="E32" s="67"/>
      <c r="F32" s="67"/>
      <c r="G32" s="30"/>
      <c r="H32" s="7"/>
    </row>
    <row r="33" spans="1:8" x14ac:dyDescent="0.25">
      <c r="A33" s="71"/>
      <c r="B33" s="71"/>
      <c r="C33" s="71"/>
      <c r="D33" s="71"/>
      <c r="E33" s="71"/>
      <c r="F33" s="71"/>
      <c r="G33" s="71"/>
      <c r="H33" s="72"/>
    </row>
    <row r="34" spans="1:8" x14ac:dyDescent="0.25">
      <c r="A34" s="75" t="s">
        <v>29</v>
      </c>
      <c r="B34" s="75"/>
      <c r="C34" s="75"/>
      <c r="D34" s="75"/>
      <c r="E34" s="75"/>
      <c r="F34" s="75"/>
      <c r="G34" s="8"/>
      <c r="H34" s="7"/>
    </row>
    <row r="35" spans="1:8" x14ac:dyDescent="0.25">
      <c r="A35" s="75"/>
      <c r="B35" s="75"/>
      <c r="C35" s="75"/>
      <c r="D35" s="75"/>
      <c r="E35" s="75"/>
      <c r="F35" s="75"/>
      <c r="G35" s="8"/>
      <c r="H35" s="7"/>
    </row>
    <row r="36" spans="1:8" x14ac:dyDescent="0.25">
      <c r="A36" s="31"/>
      <c r="B36" s="31"/>
      <c r="C36" s="31"/>
      <c r="D36" s="31"/>
      <c r="E36" s="31"/>
      <c r="F36" s="31"/>
      <c r="G36" s="31"/>
      <c r="H36" s="32"/>
    </row>
    <row r="37" spans="1:8" ht="15.75" thickBot="1" x14ac:dyDescent="0.3">
      <c r="A37" s="66" t="s">
        <v>31</v>
      </c>
      <c r="B37" s="66"/>
      <c r="C37" s="66"/>
      <c r="D37" s="66"/>
      <c r="E37" s="66"/>
      <c r="F37" s="66"/>
      <c r="G37" s="8"/>
      <c r="H37" s="12"/>
    </row>
    <row r="38" spans="1:8" ht="15.75" thickBot="1" x14ac:dyDescent="0.3">
      <c r="A38" s="66"/>
      <c r="B38" s="66"/>
      <c r="C38" s="66"/>
      <c r="D38" s="66"/>
      <c r="E38" s="66"/>
      <c r="F38" s="66"/>
      <c r="G38" s="30"/>
      <c r="H38" s="12"/>
    </row>
    <row r="39" spans="1:8" x14ac:dyDescent="0.25">
      <c r="A39" s="13"/>
      <c r="B39" s="13"/>
      <c r="C39" s="13"/>
      <c r="D39" s="13"/>
      <c r="E39" s="13"/>
      <c r="F39" s="13"/>
      <c r="G39" s="13"/>
      <c r="H39" s="11"/>
    </row>
    <row r="40" spans="1:8" x14ac:dyDescent="0.25">
      <c r="A40" s="81" t="s">
        <v>22</v>
      </c>
      <c r="B40" s="81"/>
      <c r="C40" s="81"/>
      <c r="D40" s="81"/>
      <c r="E40" s="81"/>
      <c r="F40" s="81"/>
      <c r="G40" s="81"/>
      <c r="H40" s="82"/>
    </row>
    <row r="41" spans="1:8" x14ac:dyDescent="0.25">
      <c r="A41" s="81"/>
      <c r="B41" s="81"/>
      <c r="C41" s="81"/>
      <c r="D41" s="81"/>
      <c r="E41" s="81"/>
      <c r="F41" s="81"/>
      <c r="G41" s="81"/>
      <c r="H41" s="82"/>
    </row>
    <row r="42" spans="1:8" x14ac:dyDescent="0.25">
      <c r="A42" s="83" t="s">
        <v>27</v>
      </c>
      <c r="B42" s="83"/>
      <c r="C42" s="83"/>
      <c r="D42" s="83"/>
      <c r="E42" s="83"/>
      <c r="F42" s="83"/>
      <c r="G42" s="83"/>
      <c r="H42" s="84"/>
    </row>
    <row r="43" spans="1:8" x14ac:dyDescent="0.25">
      <c r="A43" s="83"/>
      <c r="B43" s="83"/>
      <c r="C43" s="83"/>
      <c r="D43" s="83"/>
      <c r="E43" s="83"/>
      <c r="F43" s="83"/>
      <c r="G43" s="83"/>
      <c r="H43" s="84"/>
    </row>
    <row r="44" spans="1:8" ht="15.75" thickBot="1" x14ac:dyDescent="0.3">
      <c r="A44" s="83"/>
      <c r="B44" s="83"/>
      <c r="C44" s="83"/>
      <c r="D44" s="83"/>
      <c r="E44" s="83"/>
      <c r="F44" s="83"/>
      <c r="G44" s="83"/>
      <c r="H44" s="84"/>
    </row>
    <row r="45" spans="1:8" ht="15.75" thickBot="1" x14ac:dyDescent="0.3">
      <c r="A45" s="62" t="s">
        <v>2</v>
      </c>
      <c r="B45" s="62"/>
      <c r="C45" s="62"/>
      <c r="D45" s="73" t="str">
        <f>IF(ISNUMBER(G38),IFERROR(AVERAGEIFS(O2:O199,K2:K199,G38),"No data available"),"")</f>
        <v/>
      </c>
      <c r="E45" s="74"/>
      <c r="F45" s="78"/>
      <c r="G45" s="79"/>
      <c r="H45" s="80"/>
    </row>
    <row r="46" spans="1:8" x14ac:dyDescent="0.25">
      <c r="A46" s="62"/>
      <c r="B46" s="62"/>
      <c r="C46" s="62"/>
      <c r="D46" s="62"/>
      <c r="E46" s="62"/>
      <c r="F46" s="62"/>
      <c r="G46" s="62"/>
      <c r="H46" s="63"/>
    </row>
    <row r="47" spans="1:8" x14ac:dyDescent="0.25">
      <c r="A47" s="76"/>
      <c r="B47" s="76"/>
      <c r="C47" s="76"/>
      <c r="D47" s="76"/>
      <c r="E47" s="76"/>
      <c r="F47" s="76"/>
      <c r="G47" s="76"/>
      <c r="H47" s="77"/>
    </row>
    <row r="48" spans="1:8" x14ac:dyDescent="0.25">
      <c r="A48" s="81" t="s">
        <v>38</v>
      </c>
      <c r="B48" s="81"/>
      <c r="C48" s="81"/>
      <c r="D48" s="81"/>
      <c r="E48" s="81"/>
      <c r="F48" s="81"/>
      <c r="G48" s="81"/>
      <c r="H48" s="82"/>
    </row>
    <row r="49" spans="1:16" x14ac:dyDescent="0.25">
      <c r="A49" s="81"/>
      <c r="B49" s="81"/>
      <c r="C49" s="81"/>
      <c r="D49" s="81"/>
      <c r="E49" s="81"/>
      <c r="F49" s="81"/>
      <c r="G49" s="81"/>
      <c r="H49" s="82"/>
    </row>
    <row r="50" spans="1:16" x14ac:dyDescent="0.25">
      <c r="A50" s="81"/>
      <c r="B50" s="81"/>
      <c r="C50" s="81"/>
      <c r="D50" s="81"/>
      <c r="E50" s="81"/>
      <c r="F50" s="81"/>
      <c r="G50" s="81"/>
      <c r="H50" s="82"/>
    </row>
    <row r="51" spans="1:16" x14ac:dyDescent="0.25">
      <c r="A51" s="34"/>
      <c r="B51" s="34"/>
      <c r="C51" s="34"/>
      <c r="D51" s="34"/>
      <c r="E51" s="34"/>
      <c r="F51" s="34"/>
      <c r="G51" s="34"/>
      <c r="H51" s="35"/>
    </row>
    <row r="52" spans="1:16" ht="15.75" x14ac:dyDescent="0.25">
      <c r="A52" s="51" t="s">
        <v>46</v>
      </c>
      <c r="B52" s="38"/>
      <c r="C52" s="38"/>
      <c r="D52" s="38"/>
      <c r="E52" s="38"/>
      <c r="F52" s="38"/>
      <c r="G52" s="38"/>
      <c r="H52" s="39"/>
    </row>
    <row r="53" spans="1:16" x14ac:dyDescent="0.25">
      <c r="A53" s="42" t="s">
        <v>47</v>
      </c>
      <c r="B53" s="38"/>
      <c r="C53" s="38"/>
      <c r="D53" s="38"/>
      <c r="E53" s="38"/>
      <c r="F53" s="38"/>
      <c r="G53" s="38"/>
      <c r="H53" s="39"/>
    </row>
    <row r="54" spans="1:16" s="50" customFormat="1" x14ac:dyDescent="0.25">
      <c r="A54" s="52" t="s">
        <v>45</v>
      </c>
      <c r="B54" s="42"/>
      <c r="C54" s="42"/>
      <c r="D54" s="42"/>
      <c r="E54" s="42"/>
      <c r="F54" s="42"/>
      <c r="G54" s="42"/>
      <c r="H54" s="49"/>
      <c r="I54"/>
      <c r="J54"/>
      <c r="K54"/>
      <c r="L54"/>
      <c r="M54"/>
      <c r="N54"/>
      <c r="O54"/>
      <c r="P54"/>
    </row>
    <row r="55" spans="1:16" s="50" customFormat="1" ht="15.75" thickBot="1" x14ac:dyDescent="0.3">
      <c r="A55" s="52"/>
      <c r="B55" s="42"/>
      <c r="C55" s="42"/>
      <c r="D55" s="42"/>
      <c r="E55" s="42"/>
      <c r="F55" s="42"/>
      <c r="G55" s="42"/>
      <c r="H55" s="49"/>
      <c r="I55"/>
      <c r="J55"/>
      <c r="K55"/>
      <c r="L55"/>
      <c r="M55"/>
      <c r="N55"/>
      <c r="O55"/>
      <c r="P55"/>
    </row>
    <row r="56" spans="1:16" ht="15.75" thickBot="1" x14ac:dyDescent="0.3">
      <c r="A56" s="43" t="s">
        <v>40</v>
      </c>
      <c r="B56" s="36"/>
      <c r="C56" s="36"/>
      <c r="D56" s="36"/>
      <c r="E56" s="36"/>
      <c r="F56" s="36"/>
      <c r="G56" s="104"/>
      <c r="H56" s="37"/>
    </row>
    <row r="57" spans="1:16" ht="15.75" thickBot="1" x14ac:dyDescent="0.3">
      <c r="A57" s="43" t="s">
        <v>44</v>
      </c>
      <c r="B57" s="42"/>
      <c r="C57" s="42"/>
      <c r="D57" s="42"/>
      <c r="E57" s="42"/>
      <c r="F57" s="42"/>
      <c r="G57" s="105" t="str">
        <f>IF(ISNUMBER(G38),G38,"")</f>
        <v/>
      </c>
      <c r="H57" s="37"/>
    </row>
    <row r="58" spans="1:16" ht="15.75" thickBot="1" x14ac:dyDescent="0.3">
      <c r="A58" s="85" t="s">
        <v>43</v>
      </c>
      <c r="B58" s="85"/>
      <c r="C58" s="85"/>
      <c r="D58" s="85"/>
      <c r="E58" s="85"/>
      <c r="F58" s="42"/>
      <c r="G58" s="104"/>
      <c r="H58" s="41"/>
    </row>
    <row r="59" spans="1:16" x14ac:dyDescent="0.25">
      <c r="A59" s="44" t="s">
        <v>41</v>
      </c>
      <c r="B59" s="42"/>
      <c r="C59" s="42"/>
      <c r="D59" s="42"/>
      <c r="E59" s="42"/>
      <c r="F59" s="42"/>
      <c r="G59" s="40"/>
      <c r="H59" s="41"/>
    </row>
    <row r="60" spans="1:16" x14ac:dyDescent="0.25">
      <c r="A60" s="54" t="s">
        <v>42</v>
      </c>
      <c r="B60" s="55"/>
      <c r="C60" s="55"/>
      <c r="D60" s="55"/>
      <c r="E60" s="55"/>
      <c r="F60" s="55"/>
      <c r="G60" s="56"/>
      <c r="H60" s="57"/>
    </row>
    <row r="61" spans="1:16" ht="15.75" thickBot="1" x14ac:dyDescent="0.3">
      <c r="A61" s="45"/>
      <c r="B61" s="42"/>
      <c r="C61" s="42"/>
      <c r="D61" s="42"/>
      <c r="E61" s="42"/>
      <c r="F61" s="47" t="s">
        <v>50</v>
      </c>
      <c r="G61" s="53" t="str">
        <f>IF(ISNUMBER(G56),IF(ISNUMBER(G57),IF(ISNUMBER(G58),G56/(G57*G58),""),""),"")</f>
        <v/>
      </c>
      <c r="H61" s="41"/>
    </row>
    <row r="62" spans="1:16" ht="15.75" thickBot="1" x14ac:dyDescent="0.3">
      <c r="A62" s="43" t="s">
        <v>48</v>
      </c>
      <c r="B62" s="42"/>
      <c r="C62" s="42"/>
      <c r="D62" s="42"/>
      <c r="E62" s="42"/>
      <c r="F62" s="46"/>
      <c r="G62" s="48"/>
      <c r="H62" s="41"/>
    </row>
    <row r="63" spans="1:16" ht="15.75" thickBot="1" x14ac:dyDescent="0.3">
      <c r="A63" s="43"/>
      <c r="B63" s="42"/>
      <c r="C63" s="42"/>
      <c r="D63" s="42"/>
      <c r="E63" s="42"/>
      <c r="F63" s="46"/>
      <c r="G63" s="46"/>
      <c r="H63" s="41"/>
    </row>
    <row r="64" spans="1:16" ht="15.75" thickBot="1" x14ac:dyDescent="0.3">
      <c r="A64" s="45"/>
      <c r="B64" s="42"/>
      <c r="C64" s="42"/>
      <c r="D64" s="42"/>
      <c r="E64" s="42"/>
      <c r="F64" s="46" t="s">
        <v>49</v>
      </c>
      <c r="G64" s="106" t="str">
        <f>IF(ISNUMBER(G61),IF(ISNUMBER(G62),G61*G62,""),"")</f>
        <v/>
      </c>
      <c r="H64" s="41"/>
    </row>
    <row r="65" spans="1:8" x14ac:dyDescent="0.25">
      <c r="A65" s="45"/>
      <c r="B65" s="42"/>
      <c r="C65" s="42"/>
      <c r="D65" s="42"/>
      <c r="E65" s="42"/>
      <c r="F65" s="42"/>
      <c r="G65" s="40"/>
      <c r="H65" s="41"/>
    </row>
    <row r="66" spans="1:8" x14ac:dyDescent="0.25">
      <c r="A66" s="34"/>
      <c r="B66" s="34"/>
      <c r="C66" s="34"/>
      <c r="D66" s="34"/>
      <c r="E66" s="34"/>
      <c r="F66" s="34"/>
      <c r="G66" s="34"/>
      <c r="H66" s="35"/>
    </row>
    <row r="67" spans="1:8" x14ac:dyDescent="0.25">
      <c r="A67" s="58" t="s">
        <v>39</v>
      </c>
      <c r="B67" s="58"/>
      <c r="C67" s="58"/>
      <c r="D67" s="58"/>
      <c r="E67" s="58"/>
      <c r="F67" s="58"/>
      <c r="G67" s="58"/>
      <c r="H67" s="59"/>
    </row>
    <row r="68" spans="1:8" x14ac:dyDescent="0.25">
      <c r="A68" s="58"/>
      <c r="B68" s="58"/>
      <c r="C68" s="58"/>
      <c r="D68" s="58"/>
      <c r="E68" s="58"/>
      <c r="F68" s="58"/>
      <c r="G68" s="58"/>
      <c r="H68" s="59"/>
    </row>
    <row r="69" spans="1:8" x14ac:dyDescent="0.25">
      <c r="A69" s="60"/>
      <c r="B69" s="60"/>
      <c r="C69" s="60"/>
      <c r="D69" s="60"/>
      <c r="E69" s="60"/>
      <c r="F69" s="60"/>
      <c r="G69" s="60"/>
      <c r="H69" s="61"/>
    </row>
    <row r="73" spans="1:8" x14ac:dyDescent="0.25">
      <c r="A73" s="5"/>
      <c r="B73" s="5"/>
      <c r="C73" s="4"/>
      <c r="D73" s="3"/>
      <c r="E73" s="3"/>
      <c r="F73" s="3"/>
      <c r="G73" s="3"/>
      <c r="H73" s="3"/>
    </row>
    <row r="74" spans="1:8" x14ac:dyDescent="0.25">
      <c r="A74" s="5"/>
      <c r="B74" s="5"/>
      <c r="C74" s="4"/>
      <c r="D74" s="3"/>
      <c r="E74" s="3"/>
      <c r="F74" s="3"/>
      <c r="G74" s="3"/>
      <c r="H74" s="3"/>
    </row>
    <row r="75" spans="1:8" x14ac:dyDescent="0.25">
      <c r="A75" s="5"/>
      <c r="B75" s="5"/>
      <c r="C75" s="4"/>
      <c r="D75" s="3"/>
      <c r="E75" s="3"/>
      <c r="F75" s="3"/>
      <c r="G75" s="3"/>
      <c r="H75" s="3"/>
    </row>
    <row r="76" spans="1:8" x14ac:dyDescent="0.25">
      <c r="A76" s="5"/>
      <c r="B76" s="5"/>
      <c r="C76" s="4"/>
      <c r="D76" s="3"/>
      <c r="E76" s="3"/>
      <c r="F76" s="3"/>
      <c r="G76" s="3"/>
      <c r="H76" s="3"/>
    </row>
    <row r="77" spans="1:8" x14ac:dyDescent="0.25">
      <c r="A77" s="5"/>
      <c r="B77" s="5"/>
      <c r="C77" s="4"/>
      <c r="D77" s="3"/>
      <c r="E77" s="3"/>
      <c r="F77" s="3"/>
      <c r="G77" s="3"/>
      <c r="H77" s="3"/>
    </row>
    <row r="78" spans="1:8" x14ac:dyDescent="0.25">
      <c r="A78" s="5"/>
      <c r="B78" s="5"/>
      <c r="C78" s="4"/>
      <c r="D78" s="3"/>
      <c r="E78" s="3"/>
      <c r="F78" s="3"/>
      <c r="G78" s="3"/>
      <c r="H78" s="3"/>
    </row>
    <row r="79" spans="1:8" x14ac:dyDescent="0.25">
      <c r="A79" s="5"/>
      <c r="B79" s="5"/>
      <c r="C79" s="4"/>
      <c r="D79" s="3"/>
      <c r="E79" s="3"/>
      <c r="F79" s="3"/>
      <c r="G79" s="3"/>
      <c r="H79" s="3"/>
    </row>
    <row r="80" spans="1:8" x14ac:dyDescent="0.25">
      <c r="A80" s="5"/>
      <c r="B80" s="5"/>
      <c r="C80" s="4"/>
      <c r="D80" s="3"/>
      <c r="E80" s="3"/>
      <c r="F80" s="3"/>
      <c r="G80" s="3"/>
      <c r="H80" s="3"/>
    </row>
    <row r="81" spans="1:8" x14ac:dyDescent="0.25">
      <c r="A81" s="5"/>
      <c r="B81" s="5"/>
      <c r="C81" s="4"/>
      <c r="D81" s="3"/>
      <c r="E81" s="3"/>
      <c r="F81" s="3"/>
      <c r="G81" s="3"/>
      <c r="H81" s="3"/>
    </row>
    <row r="82" spans="1:8" x14ac:dyDescent="0.25">
      <c r="A82" s="5"/>
      <c r="B82" s="5"/>
      <c r="C82" s="4"/>
      <c r="D82" s="3"/>
      <c r="E82" s="3"/>
      <c r="F82" s="3"/>
      <c r="G82" s="3"/>
      <c r="H82" s="3"/>
    </row>
    <row r="83" spans="1:8" x14ac:dyDescent="0.25">
      <c r="A83" s="5"/>
      <c r="B83" s="5"/>
      <c r="C83" s="4"/>
      <c r="D83" s="3"/>
      <c r="E83" s="3"/>
      <c r="F83" s="3"/>
      <c r="G83" s="3"/>
      <c r="H83" s="3"/>
    </row>
    <row r="84" spans="1:8" x14ac:dyDescent="0.25">
      <c r="A84" s="5"/>
      <c r="B84" s="5"/>
      <c r="C84" s="4"/>
      <c r="D84" s="3"/>
      <c r="E84" s="3"/>
      <c r="F84" s="3"/>
      <c r="G84" s="3"/>
      <c r="H84" s="3"/>
    </row>
    <row r="85" spans="1:8" x14ac:dyDescent="0.25">
      <c r="A85" s="5"/>
      <c r="B85" s="5"/>
      <c r="C85" s="4"/>
      <c r="D85" s="3"/>
      <c r="E85" s="3"/>
      <c r="F85" s="3"/>
      <c r="G85" s="3"/>
      <c r="H85" s="3"/>
    </row>
    <row r="86" spans="1:8" x14ac:dyDescent="0.25">
      <c r="A86" s="5"/>
      <c r="B86" s="5"/>
      <c r="C86" s="4"/>
      <c r="D86" s="3"/>
      <c r="E86" s="3"/>
      <c r="F86" s="3"/>
      <c r="G86" s="3"/>
      <c r="H86" s="3"/>
    </row>
    <row r="87" spans="1:8" x14ac:dyDescent="0.25">
      <c r="A87" s="5"/>
      <c r="B87" s="5"/>
      <c r="C87" s="4"/>
      <c r="D87" s="3"/>
      <c r="E87" s="3"/>
      <c r="F87" s="3"/>
      <c r="G87" s="3"/>
      <c r="H87" s="3"/>
    </row>
    <row r="88" spans="1:8" x14ac:dyDescent="0.25">
      <c r="A88" s="5"/>
      <c r="B88" s="5"/>
      <c r="C88" s="4"/>
      <c r="D88" s="3"/>
      <c r="E88" s="3"/>
      <c r="F88" s="3"/>
      <c r="G88" s="3"/>
      <c r="H88" s="3"/>
    </row>
    <row r="89" spans="1:8" x14ac:dyDescent="0.25">
      <c r="A89" s="5"/>
      <c r="B89" s="5"/>
      <c r="C89" s="4"/>
      <c r="D89" s="3"/>
      <c r="E89" s="3"/>
      <c r="F89" s="3"/>
      <c r="G89" s="3"/>
      <c r="H89" s="3"/>
    </row>
    <row r="90" spans="1:8" x14ac:dyDescent="0.25">
      <c r="A90" s="5"/>
      <c r="B90" s="5"/>
      <c r="C90" s="4"/>
      <c r="D90" s="3"/>
      <c r="E90" s="3"/>
      <c r="F90" s="3"/>
      <c r="G90" s="3"/>
      <c r="H90" s="3"/>
    </row>
    <row r="91" spans="1:8" x14ac:dyDescent="0.25">
      <c r="A91" s="5"/>
      <c r="B91" s="5"/>
      <c r="C91" s="4"/>
      <c r="D91" s="3"/>
      <c r="E91" s="3"/>
      <c r="F91" s="3"/>
      <c r="G91" s="3"/>
      <c r="H91" s="3"/>
    </row>
    <row r="92" spans="1:8" x14ac:dyDescent="0.25">
      <c r="A92" s="5"/>
      <c r="B92" s="5"/>
      <c r="C92" s="4"/>
      <c r="D92" s="3"/>
      <c r="E92" s="3"/>
      <c r="F92" s="3"/>
      <c r="G92" s="3"/>
      <c r="H92" s="3"/>
    </row>
    <row r="93" spans="1:8" x14ac:dyDescent="0.25">
      <c r="A93" s="5"/>
      <c r="B93" s="5"/>
      <c r="C93" s="4"/>
      <c r="D93" s="3"/>
      <c r="E93" s="3"/>
      <c r="F93" s="3"/>
      <c r="G93" s="3"/>
      <c r="H93" s="3"/>
    </row>
    <row r="94" spans="1:8" x14ac:dyDescent="0.25">
      <c r="A94" s="5"/>
      <c r="B94" s="5"/>
      <c r="C94" s="4"/>
      <c r="D94" s="3"/>
      <c r="E94" s="3"/>
      <c r="F94" s="3"/>
      <c r="G94" s="3"/>
      <c r="H94" s="3"/>
    </row>
    <row r="95" spans="1:8" x14ac:dyDescent="0.25">
      <c r="A95" s="5"/>
      <c r="B95" s="5"/>
      <c r="C95" s="4"/>
      <c r="D95" s="3"/>
      <c r="E95" s="3"/>
      <c r="F95" s="3"/>
      <c r="G95" s="3"/>
      <c r="H95" s="3"/>
    </row>
    <row r="96" spans="1:8" x14ac:dyDescent="0.25">
      <c r="A96" s="5"/>
      <c r="B96" s="5"/>
      <c r="C96" s="4"/>
      <c r="D96" s="3"/>
      <c r="E96" s="3"/>
      <c r="F96" s="3"/>
      <c r="G96" s="3"/>
      <c r="H96" s="3"/>
    </row>
    <row r="97" spans="1:8" x14ac:dyDescent="0.25">
      <c r="A97" s="5"/>
      <c r="B97" s="5"/>
      <c r="C97" s="4"/>
      <c r="D97" s="3"/>
      <c r="E97" s="3"/>
      <c r="F97" s="3"/>
      <c r="G97" s="3"/>
      <c r="H97" s="3"/>
    </row>
    <row r="98" spans="1:8" x14ac:dyDescent="0.25">
      <c r="A98" s="5"/>
      <c r="B98" s="5"/>
      <c r="C98" s="4"/>
      <c r="D98" s="3"/>
      <c r="E98" s="3"/>
      <c r="F98" s="3"/>
      <c r="G98" s="3"/>
      <c r="H98" s="3"/>
    </row>
    <row r="99" spans="1:8" x14ac:dyDescent="0.25">
      <c r="A99" s="5"/>
      <c r="B99" s="5"/>
      <c r="C99" s="4"/>
      <c r="D99" s="3"/>
      <c r="E99" s="3"/>
      <c r="F99" s="3"/>
      <c r="G99" s="3"/>
      <c r="H99" s="3"/>
    </row>
    <row r="100" spans="1:8" x14ac:dyDescent="0.25">
      <c r="A100" s="5"/>
      <c r="B100" s="5"/>
      <c r="C100" s="4"/>
      <c r="D100" s="3"/>
      <c r="E100" s="3"/>
      <c r="F100" s="3"/>
      <c r="G100" s="3"/>
      <c r="H100" s="3"/>
    </row>
    <row r="101" spans="1:8" x14ac:dyDescent="0.25">
      <c r="A101" s="5"/>
      <c r="B101" s="5"/>
      <c r="C101" s="4"/>
      <c r="D101" s="3"/>
      <c r="E101" s="3"/>
      <c r="F101" s="3"/>
      <c r="G101" s="3"/>
      <c r="H101" s="3"/>
    </row>
    <row r="102" spans="1:8" x14ac:dyDescent="0.25">
      <c r="A102" s="5"/>
      <c r="B102" s="5"/>
      <c r="C102" s="4"/>
      <c r="D102" s="3"/>
      <c r="E102" s="3"/>
      <c r="F102" s="3"/>
      <c r="G102" s="3"/>
      <c r="H102" s="3"/>
    </row>
    <row r="103" spans="1:8" x14ac:dyDescent="0.25">
      <c r="A103" s="5"/>
      <c r="B103" s="5"/>
      <c r="C103" s="4"/>
      <c r="D103" s="3"/>
      <c r="E103" s="3"/>
      <c r="F103" s="3"/>
      <c r="G103" s="3"/>
      <c r="H103" s="3"/>
    </row>
    <row r="104" spans="1:8" x14ac:dyDescent="0.25">
      <c r="A104" s="5"/>
      <c r="B104" s="5"/>
      <c r="C104" s="4"/>
      <c r="D104" s="3"/>
      <c r="E104" s="3"/>
      <c r="F104" s="3"/>
      <c r="G104" s="3"/>
      <c r="H104" s="3"/>
    </row>
    <row r="105" spans="1:8" x14ac:dyDescent="0.25">
      <c r="A105" s="5"/>
      <c r="B105" s="5"/>
      <c r="C105" s="4"/>
      <c r="D105" s="3"/>
      <c r="E105" s="3"/>
      <c r="F105" s="3"/>
      <c r="G105" s="3"/>
      <c r="H105" s="3"/>
    </row>
    <row r="106" spans="1:8" x14ac:dyDescent="0.25">
      <c r="A106" s="5"/>
      <c r="B106" s="5"/>
      <c r="C106" s="4"/>
      <c r="D106" s="3"/>
      <c r="E106" s="3"/>
      <c r="F106" s="3"/>
      <c r="G106" s="3"/>
      <c r="H106" s="3"/>
    </row>
    <row r="107" spans="1:8" x14ac:dyDescent="0.25">
      <c r="A107" s="5"/>
      <c r="B107" s="5"/>
      <c r="C107" s="4"/>
      <c r="D107" s="3"/>
      <c r="E107" s="3"/>
      <c r="F107" s="3"/>
      <c r="G107" s="3"/>
      <c r="H107" s="3"/>
    </row>
    <row r="108" spans="1:8" x14ac:dyDescent="0.25">
      <c r="A108" s="5"/>
      <c r="B108" s="5"/>
      <c r="C108" s="4"/>
      <c r="D108" s="3"/>
      <c r="E108" s="3"/>
      <c r="F108" s="3"/>
      <c r="G108" s="3"/>
      <c r="H108" s="3"/>
    </row>
    <row r="109" spans="1:8" x14ac:dyDescent="0.25">
      <c r="A109" s="5"/>
      <c r="B109" s="5"/>
      <c r="C109" s="4"/>
      <c r="D109" s="3"/>
      <c r="E109" s="3"/>
      <c r="F109" s="3"/>
      <c r="G109" s="3"/>
      <c r="H109" s="3"/>
    </row>
    <row r="110" spans="1:8" x14ac:dyDescent="0.25">
      <c r="A110" s="5"/>
      <c r="B110" s="5"/>
      <c r="C110" s="4"/>
      <c r="D110" s="3"/>
      <c r="E110" s="3"/>
      <c r="F110" s="3"/>
      <c r="G110" s="3"/>
      <c r="H110" s="3"/>
    </row>
    <row r="111" spans="1:8" x14ac:dyDescent="0.25">
      <c r="A111" s="5"/>
      <c r="B111" s="5"/>
      <c r="C111" s="4"/>
      <c r="D111" s="3"/>
      <c r="E111" s="3"/>
      <c r="F111" s="3"/>
      <c r="G111" s="3"/>
      <c r="H111" s="3"/>
    </row>
    <row r="112" spans="1:8" x14ac:dyDescent="0.25">
      <c r="A112" s="5"/>
      <c r="B112" s="5"/>
      <c r="C112" s="4"/>
      <c r="D112" s="3"/>
      <c r="E112" s="3"/>
      <c r="F112" s="3"/>
      <c r="G112" s="3"/>
      <c r="H112" s="3"/>
    </row>
    <row r="113" spans="1:8" x14ac:dyDescent="0.25">
      <c r="A113" s="5"/>
      <c r="B113" s="5"/>
      <c r="C113" s="4"/>
      <c r="D113" s="3"/>
      <c r="E113" s="3"/>
      <c r="F113" s="3"/>
      <c r="G113" s="3"/>
      <c r="H113" s="3"/>
    </row>
    <row r="114" spans="1:8" x14ac:dyDescent="0.25">
      <c r="A114" s="5"/>
      <c r="B114" s="5"/>
      <c r="C114" s="4"/>
      <c r="D114" s="3"/>
      <c r="E114" s="3"/>
      <c r="F114" s="3"/>
      <c r="G114" s="3"/>
      <c r="H114" s="3"/>
    </row>
    <row r="115" spans="1:8" x14ac:dyDescent="0.25">
      <c r="A115" s="5"/>
      <c r="B115" s="5"/>
      <c r="C115" s="4"/>
      <c r="D115" s="3"/>
      <c r="E115" s="3"/>
      <c r="F115" s="3"/>
      <c r="G115" s="3"/>
      <c r="H115" s="3"/>
    </row>
    <row r="116" spans="1:8" x14ac:dyDescent="0.25">
      <c r="A116" s="5"/>
      <c r="B116" s="5"/>
      <c r="C116" s="4"/>
      <c r="D116" s="3"/>
      <c r="E116" s="3"/>
      <c r="F116" s="3"/>
      <c r="G116" s="3"/>
      <c r="H116" s="3"/>
    </row>
    <row r="117" spans="1:8" x14ac:dyDescent="0.25">
      <c r="A117" s="5"/>
      <c r="B117" s="5"/>
      <c r="C117" s="4"/>
      <c r="D117" s="3"/>
      <c r="E117" s="3"/>
      <c r="F117" s="3"/>
      <c r="G117" s="3"/>
      <c r="H117" s="3"/>
    </row>
    <row r="118" spans="1:8" x14ac:dyDescent="0.25">
      <c r="A118" s="5"/>
      <c r="B118" s="5"/>
      <c r="C118" s="4"/>
      <c r="D118" s="3"/>
      <c r="E118" s="3"/>
      <c r="F118" s="3"/>
      <c r="G118" s="3"/>
      <c r="H118" s="3"/>
    </row>
    <row r="119" spans="1:8" x14ac:dyDescent="0.25">
      <c r="A119" s="5"/>
      <c r="B119" s="5"/>
      <c r="C119" s="4"/>
      <c r="D119" s="3"/>
      <c r="E119" s="3"/>
      <c r="F119" s="3"/>
      <c r="G119" s="3"/>
    </row>
    <row r="120" spans="1:8" x14ac:dyDescent="0.25">
      <c r="A120" s="5"/>
      <c r="B120" s="5"/>
      <c r="C120" s="4"/>
      <c r="D120" s="3"/>
      <c r="E120" s="3"/>
      <c r="F120" s="3"/>
      <c r="G120" s="3"/>
    </row>
    <row r="121" spans="1:8" x14ac:dyDescent="0.25">
      <c r="A121" s="5"/>
      <c r="B121" s="5"/>
      <c r="C121" s="4"/>
      <c r="D121" s="3"/>
      <c r="E121" s="3"/>
      <c r="F121" s="3"/>
      <c r="G121" s="3"/>
    </row>
    <row r="122" spans="1:8" x14ac:dyDescent="0.25">
      <c r="A122" s="5"/>
      <c r="B122" s="5"/>
      <c r="C122" s="4"/>
      <c r="D122" s="3"/>
      <c r="E122" s="3"/>
      <c r="F122" s="3"/>
      <c r="G122" s="3"/>
    </row>
    <row r="123" spans="1:8" x14ac:dyDescent="0.25">
      <c r="A123" s="5"/>
      <c r="B123" s="5"/>
      <c r="C123" s="4"/>
      <c r="D123" s="3"/>
      <c r="E123" s="3"/>
      <c r="F123" s="3"/>
      <c r="G123" s="3"/>
    </row>
    <row r="124" spans="1:8" x14ac:dyDescent="0.25">
      <c r="A124" s="5"/>
      <c r="B124" s="5"/>
      <c r="C124" s="4"/>
      <c r="D124" s="3"/>
      <c r="E124" s="3"/>
      <c r="F124" s="3"/>
      <c r="G124" s="3"/>
    </row>
  </sheetData>
  <sheetProtection selectLockedCells="1"/>
  <mergeCells count="30">
    <mergeCell ref="A48:H50"/>
    <mergeCell ref="A19:H19"/>
    <mergeCell ref="A21:H21"/>
    <mergeCell ref="A20:H20"/>
    <mergeCell ref="A22:H22"/>
    <mergeCell ref="A26:H26"/>
    <mergeCell ref="A23:H23"/>
    <mergeCell ref="A24:H24"/>
    <mergeCell ref="A25:H25"/>
    <mergeCell ref="A1:H1"/>
    <mergeCell ref="A6:H6"/>
    <mergeCell ref="A17:H17"/>
    <mergeCell ref="A18:H18"/>
    <mergeCell ref="A7:H16"/>
    <mergeCell ref="A67:H69"/>
    <mergeCell ref="A46:H46"/>
    <mergeCell ref="A27:H27"/>
    <mergeCell ref="A31:F32"/>
    <mergeCell ref="A28:G29"/>
    <mergeCell ref="A30:H30"/>
    <mergeCell ref="A33:H33"/>
    <mergeCell ref="A45:C45"/>
    <mergeCell ref="D45:E45"/>
    <mergeCell ref="A34:F35"/>
    <mergeCell ref="A47:H47"/>
    <mergeCell ref="A37:F38"/>
    <mergeCell ref="F45:H45"/>
    <mergeCell ref="A40:H41"/>
    <mergeCell ref="A42:H44"/>
    <mergeCell ref="A58:E58"/>
  </mergeCells>
  <dataValidations count="1">
    <dataValidation type="list" allowBlank="1" showErrorMessage="1" errorTitle="Attention" error="Please select from the list" promptTitle="Tip" prompt="Choose the number of processors planned per server (not the total number of cores)" sqref="G38">
      <formula1>Num_proc</formula1>
    </dataValidation>
  </dataValidations>
  <hyperlinks>
    <hyperlink ref="A22" r:id="rId1"/>
    <hyperlink ref="B4" r:id="rId2"/>
    <hyperlink ref="A19" r:id="rId3"/>
    <hyperlink ref="A25" r:id="rId4"/>
    <hyperlink ref="A54" r:id="rId5"/>
  </hyperlinks>
  <pageMargins left="0.7" right="0.7" top="0.75" bottom="0.75" header="0.3" footer="0.3"/>
  <pageSetup orientation="portrait" verticalDpi="525" r:id="rId6"/>
  <drawing r:id="rId7"/>
  <legacyDrawing r:id="rId8"/>
  <controls>
    <mc:AlternateContent xmlns:mc="http://schemas.openxmlformats.org/markup-compatibility/2006">
      <mc:Choice Requires="x14">
        <control shapeId="1029" r:id="rId9" name="CommandButton1">
          <controlPr defaultSize="0" autoLine="0" r:id="rId10">
            <anchor moveWithCells="1">
              <from>
                <xdr:col>5</xdr:col>
                <xdr:colOff>523875</xdr:colOff>
                <xdr:row>33</xdr:row>
                <xdr:rowOff>47625</xdr:rowOff>
              </from>
              <to>
                <xdr:col>6</xdr:col>
                <xdr:colOff>504825</xdr:colOff>
                <xdr:row>34</xdr:row>
                <xdr:rowOff>142875</xdr:rowOff>
              </to>
            </anchor>
          </controlPr>
        </control>
      </mc:Choice>
      <mc:Fallback>
        <control shapeId="1029" r:id="rId9" name="CommandButton1"/>
      </mc:Fallback>
    </mc:AlternateContent>
    <mc:AlternateContent xmlns:mc="http://schemas.openxmlformats.org/markup-compatibility/2006">
      <mc:Choice Requires="x14">
        <control shapeId="1032" r:id="rId11" name="CommandButton2">
          <controlPr defaultSize="0" autoLine="0" r:id="rId12">
            <anchor moveWithCells="1">
              <from>
                <xdr:col>6</xdr:col>
                <xdr:colOff>600075</xdr:colOff>
                <xdr:row>33</xdr:row>
                <xdr:rowOff>47625</xdr:rowOff>
              </from>
              <to>
                <xdr:col>7</xdr:col>
                <xdr:colOff>571500</xdr:colOff>
                <xdr:row>34</xdr:row>
                <xdr:rowOff>142875</xdr:rowOff>
              </to>
            </anchor>
          </controlPr>
        </control>
      </mc:Choice>
      <mc:Fallback>
        <control shapeId="1032" r:id="rId11"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C48"/>
  <sheetViews>
    <sheetView workbookViewId="0">
      <selection activeCell="B12" sqref="B12"/>
    </sheetView>
  </sheetViews>
  <sheetFormatPr defaultRowHeight="11.25" x14ac:dyDescent="0.2"/>
  <cols>
    <col min="1" max="1" width="9.42578125" style="23" customWidth="1"/>
    <col min="2" max="2" width="102.5703125" style="23" customWidth="1"/>
    <col min="3" max="3" width="30.7109375" style="23" customWidth="1"/>
    <col min="4" max="16384" width="9.140625" style="23"/>
  </cols>
  <sheetData>
    <row r="2" spans="1:3" ht="12" thickBot="1" x14ac:dyDescent="0.25"/>
    <row r="3" spans="1:3" s="22" customFormat="1" ht="23.25" thickBot="1" x14ac:dyDescent="0.25">
      <c r="A3" s="26" t="s">
        <v>16</v>
      </c>
      <c r="B3" s="24" t="s">
        <v>17</v>
      </c>
      <c r="C3" s="26" t="s">
        <v>18</v>
      </c>
    </row>
    <row r="4" spans="1:3" x14ac:dyDescent="0.2">
      <c r="A4" s="18">
        <v>0.1</v>
      </c>
      <c r="B4" s="25" t="s">
        <v>24</v>
      </c>
      <c r="C4" s="18" t="s">
        <v>6</v>
      </c>
    </row>
    <row r="5" spans="1:3" x14ac:dyDescent="0.2">
      <c r="A5" s="18">
        <v>0.2</v>
      </c>
      <c r="B5" s="25" t="s">
        <v>25</v>
      </c>
      <c r="C5" s="18" t="s">
        <v>34</v>
      </c>
    </row>
    <row r="6" spans="1:3" x14ac:dyDescent="0.2">
      <c r="A6" s="18">
        <v>0.3</v>
      </c>
      <c r="B6" s="28" t="s">
        <v>26</v>
      </c>
      <c r="C6" s="17" t="s">
        <v>35</v>
      </c>
    </row>
    <row r="7" spans="1:3" x14ac:dyDescent="0.2">
      <c r="A7" s="18">
        <v>0.4</v>
      </c>
      <c r="B7" s="25" t="s">
        <v>30</v>
      </c>
      <c r="C7" s="17" t="s">
        <v>35</v>
      </c>
    </row>
    <row r="8" spans="1:3" x14ac:dyDescent="0.2">
      <c r="A8" s="18">
        <v>0.5</v>
      </c>
      <c r="B8" s="25" t="s">
        <v>32</v>
      </c>
      <c r="C8" s="17" t="s">
        <v>35</v>
      </c>
    </row>
    <row r="9" spans="1:3" x14ac:dyDescent="0.2">
      <c r="A9" s="18">
        <v>0.6</v>
      </c>
      <c r="B9" s="25" t="s">
        <v>33</v>
      </c>
      <c r="C9" s="18" t="s">
        <v>6</v>
      </c>
    </row>
    <row r="10" spans="1:3" x14ac:dyDescent="0.2">
      <c r="A10" s="18">
        <v>0.7</v>
      </c>
      <c r="B10" s="25"/>
      <c r="C10" s="18" t="s">
        <v>35</v>
      </c>
    </row>
    <row r="11" spans="1:3" x14ac:dyDescent="0.2">
      <c r="A11" s="18">
        <v>0.8</v>
      </c>
      <c r="B11" s="25" t="s">
        <v>36</v>
      </c>
      <c r="C11" s="18" t="s">
        <v>34</v>
      </c>
    </row>
    <row r="12" spans="1:3" x14ac:dyDescent="0.2">
      <c r="A12" s="18">
        <v>1.1000000000000001</v>
      </c>
      <c r="B12" s="25" t="s">
        <v>51</v>
      </c>
      <c r="C12" s="18" t="s">
        <v>6</v>
      </c>
    </row>
    <row r="13" spans="1:3" x14ac:dyDescent="0.2">
      <c r="A13" s="18"/>
      <c r="B13" s="25"/>
      <c r="C13" s="18"/>
    </row>
    <row r="14" spans="1:3" x14ac:dyDescent="0.2">
      <c r="A14" s="18"/>
      <c r="B14" s="25"/>
      <c r="C14" s="18"/>
    </row>
    <row r="15" spans="1:3" x14ac:dyDescent="0.2">
      <c r="A15" s="18"/>
      <c r="B15" s="25"/>
      <c r="C15" s="18"/>
    </row>
    <row r="16" spans="1:3" x14ac:dyDescent="0.2">
      <c r="A16" s="18"/>
      <c r="B16" s="25"/>
      <c r="C16" s="18"/>
    </row>
    <row r="17" spans="1:3" x14ac:dyDescent="0.2">
      <c r="A17" s="18"/>
      <c r="B17" s="25"/>
      <c r="C17" s="18"/>
    </row>
    <row r="18" spans="1:3" x14ac:dyDescent="0.2">
      <c r="A18" s="18"/>
      <c r="B18" s="25"/>
      <c r="C18" s="18"/>
    </row>
    <row r="19" spans="1:3" x14ac:dyDescent="0.2">
      <c r="A19" s="18"/>
      <c r="B19" s="25"/>
      <c r="C19" s="18"/>
    </row>
    <row r="20" spans="1:3" x14ac:dyDescent="0.2">
      <c r="A20" s="18"/>
      <c r="B20" s="25"/>
      <c r="C20" s="18"/>
    </row>
    <row r="21" spans="1:3" x14ac:dyDescent="0.2">
      <c r="A21" s="18"/>
      <c r="B21" s="25"/>
      <c r="C21" s="18"/>
    </row>
    <row r="22" spans="1:3" x14ac:dyDescent="0.2">
      <c r="A22" s="18"/>
      <c r="B22" s="25"/>
      <c r="C22" s="18"/>
    </row>
    <row r="23" spans="1:3" x14ac:dyDescent="0.2">
      <c r="A23" s="18"/>
      <c r="B23" s="25"/>
      <c r="C23" s="18"/>
    </row>
    <row r="24" spans="1:3" x14ac:dyDescent="0.2">
      <c r="A24" s="18"/>
      <c r="B24" s="25"/>
      <c r="C24" s="18"/>
    </row>
    <row r="25" spans="1:3" x14ac:dyDescent="0.2">
      <c r="A25" s="18"/>
      <c r="B25" s="25"/>
      <c r="C25" s="18"/>
    </row>
    <row r="26" spans="1:3" x14ac:dyDescent="0.2">
      <c r="A26" s="18"/>
      <c r="B26" s="25"/>
      <c r="C26" s="18"/>
    </row>
    <row r="27" spans="1:3" x14ac:dyDescent="0.2">
      <c r="A27" s="18"/>
      <c r="B27" s="25"/>
      <c r="C27" s="18"/>
    </row>
    <row r="28" spans="1:3" x14ac:dyDescent="0.2">
      <c r="A28" s="18"/>
      <c r="B28" s="25"/>
      <c r="C28" s="18"/>
    </row>
    <row r="29" spans="1:3" x14ac:dyDescent="0.2">
      <c r="A29" s="18"/>
      <c r="B29" s="25"/>
      <c r="C29" s="18"/>
    </row>
    <row r="30" spans="1:3" x14ac:dyDescent="0.2">
      <c r="A30" s="18"/>
      <c r="B30" s="25"/>
      <c r="C30" s="18"/>
    </row>
    <row r="31" spans="1:3" x14ac:dyDescent="0.2">
      <c r="A31" s="18"/>
      <c r="B31" s="25"/>
      <c r="C31" s="18"/>
    </row>
    <row r="32" spans="1:3" x14ac:dyDescent="0.2">
      <c r="A32" s="18"/>
      <c r="B32" s="25"/>
      <c r="C32" s="18"/>
    </row>
    <row r="33" spans="1:3" x14ac:dyDescent="0.2">
      <c r="A33" s="18"/>
      <c r="B33" s="25"/>
      <c r="C33" s="18"/>
    </row>
    <row r="34" spans="1:3" x14ac:dyDescent="0.2">
      <c r="A34" s="18"/>
      <c r="B34" s="25"/>
      <c r="C34" s="18"/>
    </row>
    <row r="35" spans="1:3" x14ac:dyDescent="0.2">
      <c r="A35" s="18"/>
      <c r="B35" s="25"/>
      <c r="C35" s="18"/>
    </row>
    <row r="36" spans="1:3" x14ac:dyDescent="0.2">
      <c r="A36" s="18"/>
      <c r="B36" s="25"/>
      <c r="C36" s="18"/>
    </row>
    <row r="37" spans="1:3" x14ac:dyDescent="0.2">
      <c r="A37" s="18"/>
      <c r="B37" s="25"/>
      <c r="C37" s="18"/>
    </row>
    <row r="38" spans="1:3" x14ac:dyDescent="0.2">
      <c r="A38" s="18"/>
      <c r="B38" s="25"/>
      <c r="C38" s="18"/>
    </row>
    <row r="39" spans="1:3" x14ac:dyDescent="0.2">
      <c r="A39" s="18"/>
      <c r="B39" s="25"/>
      <c r="C39" s="18"/>
    </row>
    <row r="40" spans="1:3" x14ac:dyDescent="0.2">
      <c r="A40" s="18"/>
      <c r="B40" s="25"/>
      <c r="C40" s="18"/>
    </row>
    <row r="41" spans="1:3" x14ac:dyDescent="0.2">
      <c r="A41" s="18"/>
      <c r="B41" s="25"/>
      <c r="C41" s="18"/>
    </row>
    <row r="42" spans="1:3" x14ac:dyDescent="0.2">
      <c r="A42" s="18"/>
      <c r="B42" s="25"/>
      <c r="C42" s="18"/>
    </row>
    <row r="43" spans="1:3" x14ac:dyDescent="0.2">
      <c r="A43" s="18"/>
      <c r="B43" s="25"/>
      <c r="C43" s="18"/>
    </row>
    <row r="44" spans="1:3" x14ac:dyDescent="0.2">
      <c r="A44" s="18"/>
      <c r="B44" s="25"/>
      <c r="C44" s="18"/>
    </row>
    <row r="45" spans="1:3" x14ac:dyDescent="0.2">
      <c r="A45" s="18"/>
      <c r="B45" s="25"/>
      <c r="C45" s="18"/>
    </row>
    <row r="46" spans="1:3" x14ac:dyDescent="0.2">
      <c r="A46" s="18"/>
      <c r="B46" s="25"/>
      <c r="C46" s="18"/>
    </row>
    <row r="47" spans="1:3" x14ac:dyDescent="0.2">
      <c r="A47" s="18"/>
      <c r="B47" s="25"/>
      <c r="C47" s="18"/>
    </row>
    <row r="48" spans="1:3" ht="12" thickBot="1" x14ac:dyDescent="0.25">
      <c r="A48" s="21"/>
      <c r="B48" s="27"/>
      <c r="C48" s="21"/>
    </row>
  </sheetData>
  <pageMargins left="0.7" right="0.7" top="0.75" bottom="0.75" header="0.3" footer="0.3"/>
  <pageSetup orientation="portrait" horizontalDpi="525" verticalDpi="52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9"/>
  <sheetViews>
    <sheetView workbookViewId="0">
      <selection activeCell="A10" sqref="A10"/>
    </sheetView>
  </sheetViews>
  <sheetFormatPr defaultRowHeight="15" x14ac:dyDescent="0.25"/>
  <cols>
    <col min="1" max="1" width="14.28515625" bestFit="1" customWidth="1"/>
  </cols>
  <sheetData>
    <row r="1" spans="1:3" x14ac:dyDescent="0.25">
      <c r="A1" t="s">
        <v>28</v>
      </c>
    </row>
    <row r="2" spans="1:3" x14ac:dyDescent="0.25">
      <c r="A2" s="33" t="str">
        <f>IF(ISNUMBER(Input!M2),Input!M2,"")</f>
        <v/>
      </c>
    </row>
    <row r="3" spans="1:3" x14ac:dyDescent="0.25">
      <c r="A3" s="33" t="str">
        <f>IF(ISNUMBER(A2),IF(A2*2&lt;=48,A2*2,""),"")</f>
        <v/>
      </c>
    </row>
    <row r="4" spans="1:3" x14ac:dyDescent="0.25">
      <c r="A4" s="33" t="str">
        <f>IF(ISNUMBER(A2),IF(A2*3&lt;=48,A2*3,""),"")</f>
        <v/>
      </c>
      <c r="C4" s="33"/>
    </row>
    <row r="5" spans="1:3" x14ac:dyDescent="0.25">
      <c r="A5" s="33" t="str">
        <f>IF(ISNUMBER(A2),IF(A2*4&lt;=48,A2*4,""),"")</f>
        <v/>
      </c>
    </row>
    <row r="6" spans="1:3" x14ac:dyDescent="0.25">
      <c r="A6" s="33" t="str">
        <f>IF(ISNUMBER(A2),IF(A2*5&lt;=48,A2*5,""),"")</f>
        <v/>
      </c>
    </row>
    <row r="7" spans="1:3" x14ac:dyDescent="0.25">
      <c r="A7" s="33" t="str">
        <f>IF(ISNUMBER(A2),IF(A2*6&lt;=48,A2*6,""),"")</f>
        <v/>
      </c>
    </row>
    <row r="8" spans="1:3" x14ac:dyDescent="0.25">
      <c r="A8" s="33" t="str">
        <f>IF(ISNUMBER(A2),IF(A2*7&lt;=48,A2*7,""),"")</f>
        <v/>
      </c>
    </row>
    <row r="9" spans="1:3" x14ac:dyDescent="0.25">
      <c r="A9" s="33" t="str">
        <f>IF(ISNUMBER(A2),IF(A2*8&lt;=48,A2*8,""),"")</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Input</vt:lpstr>
      <vt:lpstr>Change Control</vt:lpstr>
      <vt:lpstr>Data</vt:lpstr>
      <vt:lpstr>Num_proc</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Alexander (MCS)</dc:creator>
  <cp:lastModifiedBy>Scott Alexander (MCS)</cp:lastModifiedBy>
  <dcterms:created xsi:type="dcterms:W3CDTF">2010-07-15T13:21:35Z</dcterms:created>
  <dcterms:modified xsi:type="dcterms:W3CDTF">2012-04-18T18:51:37Z</dcterms:modified>
</cp:coreProperties>
</file>
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xml" ContentType="application/vnd.openxmlformats-officedocument.spreadsheetml.comments+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comments2.xml" ContentType="application/vnd.openxmlformats-officedocument.spreadsheetml.comments+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comments4.xml" ContentType="application/vnd.openxmlformats-officedocument.spreadsheetml.comments+xml"/>
  <Override PartName="/xl/tables/table88.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omments7.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ables/table134.xml" ContentType="application/vnd.openxmlformats-officedocument.spreadsheetml.table+xml"/>
  <Override PartName="/xl/tables/table135.xml" ContentType="application/vnd.openxmlformats-officedocument.spreadsheetml.table+xml"/>
  <Override PartName="/xl/comments1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6" codeName="{662AC1DA-710E-409A-AF98-282AFDE22985}"/>
  <workbookPr codeName="ThisWorkbook" defaultThemeVersion="124226"/>
  <mc:AlternateContent xmlns:mc="http://schemas.openxmlformats.org/markup-compatibility/2006">
    <mc:Choice Requires="x15">
      <x15ac:absPath xmlns:x15ac="http://schemas.microsoft.com/office/spreadsheetml/2010/11/ac" url="D:\SD\E19ENT\sources\dev\Setup\src\SetupScripts\"/>
    </mc:Choice>
  </mc:AlternateContent>
  <xr:revisionPtr revIDLastSave="0" documentId="13_ncr:1_{EE576838-BDB6-4FDF-9547-F34F232BAD66}" xr6:coauthVersionLast="45" xr6:coauthVersionMax="45" xr10:uidLastSave="{00000000-0000-0000-0000-000000000000}"/>
  <bookViews>
    <workbookView xWindow="1820" yWindow="850" windowWidth="19080" windowHeight="12650" tabRatio="884" firstSheet="1" activeTab="1" xr2:uid="{00000000-000D-0000-FFFF-FFFF00000000}"/>
  </bookViews>
  <sheets>
    <sheet name="Disclaimers" sheetId="14" state="hidden" r:id="rId1"/>
    <sheet name="Input" sheetId="1" r:id="rId2"/>
    <sheet name="Role Requirements" sheetId="13" r:id="rId3"/>
    <sheet name="Activation Scenarios" sheetId="16" state="hidden"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9"/>
  <definedNames>
    <definedName name="AccNetLinkCCR">'Replication Requirements'!$G$147</definedName>
    <definedName name="AccNetLinkSCR">'Replication Requirements'!$G$148</definedName>
    <definedName name="Activation_Preference_Defaults">Variables!$A$87:$B$93</definedName>
    <definedName name="ActiveCacheTargetDC1">'Role Requirements'!$C$139</definedName>
    <definedName name="AdditionalIO">Input!$C$44</definedName>
    <definedName name="aggRWRatio">'Role Requirements'!$I$74</definedName>
    <definedName name="AutomaticDAGCalc">Input!$C$150</definedName>
    <definedName name="AutoReseedVols">'Volume Requirements'!$I$11</definedName>
    <definedName name="AutoReseedVolumes">Input!$C$115</definedName>
    <definedName name="AvailNetCapacity">'Replication Requirements'!$E$9</definedName>
    <definedName name="BackupFailureTol">Input!$C$102</definedName>
    <definedName name="BackupFreq">Input!$C$101</definedName>
    <definedName name="BackupMethod">Input!$C$100</definedName>
    <definedName name="BackupMethod_ExchangeNative">Variables!$E$5</definedName>
    <definedName name="BaseTotIOPS">'Storage Design'!$C$35</definedName>
    <definedName name="CachePages">'Role Requirements'!$C$138</definedName>
    <definedName name="CachePagesDC2">'Role Requirements'!$I$138</definedName>
    <definedName name="calcActDBPDCDouble">'Role Requirements'!$E$201</definedName>
    <definedName name="calcActDBPDCNormal">'Role Requirements'!$C$201</definedName>
    <definedName name="calcActDBPDCSingle">'Role Requirements'!$D$201</definedName>
    <definedName name="calcActDBPDCSite">'Role Requirements'!$F$201</definedName>
    <definedName name="calcActDBPDCWorst">'Role Requirements'!$G$201</definedName>
    <definedName name="calcActDBSDCDouble">'Role Requirements'!$E$202</definedName>
    <definedName name="calcActDBSDCNormal">'Role Requirements'!$C$202</definedName>
    <definedName name="calcActDBSDCSingle">'Role Requirements'!$D$202</definedName>
    <definedName name="calcActDBSDCSite">'Role Requirements'!$F$202</definedName>
    <definedName name="calcActDBSDCWorst">'Role Requirements'!$G$202</definedName>
    <definedName name="calcActMBXFFAP">'Activation Scenarios'!$E$17</definedName>
    <definedName name="calcActMBXNRAP">'Activation Scenarios'!$E$16</definedName>
    <definedName name="calcActMBXSFAP">'Activation Scenarios'!$E$18</definedName>
    <definedName name="calcAggregateCapacity">'Role Requirements'!$F$46</definedName>
    <definedName name="calcAggregateIO">'Role Requirements'!$F$51</definedName>
    <definedName name="calcAvDBCache">'Role Requirements'!$C$106</definedName>
    <definedName name="calcAvSvrMCycles">'Role Requirements'!$C$166</definedName>
    <definedName name="calcAvSvrMCyclesLCS">'Role Requirements'!$C$168</definedName>
    <definedName name="calcAvSvrMCyclesSDC">'Role Requirements'!$C$167</definedName>
    <definedName name="calcCASCPUPDC">'Role Requirements'!$G$207</definedName>
    <definedName name="calcCASCPUPDCDoub">'Role Requirements'!$E$207</definedName>
    <definedName name="calcCASCPUPDCNorm">'Role Requirements'!$C$207</definedName>
    <definedName name="calcCASCPUPDCSing">'Role Requirements'!$D$207</definedName>
    <definedName name="calcCASCPUPDCSite">'Role Requirements'!$F$207</definedName>
    <definedName name="calcCASCPUSDC">'Role Requirements'!$G$210</definedName>
    <definedName name="calcCASCPUSDCDouble">'Role Requirements'!$E$210</definedName>
    <definedName name="calcCASCPUSDCNormal">'Role Requirements'!$C$210</definedName>
    <definedName name="calcCASCPUSDCSingle">'Role Requirements'!$D$210</definedName>
    <definedName name="calcCASCPUSDCSite">'Role Requirements'!$F$210</definedName>
    <definedName name="calcCASMemReq">'Role Requirements'!$C$143</definedName>
    <definedName name="calcCASMemReqSDC">'Role Requirements'!$I$143</definedName>
    <definedName name="calcCIMemReq">'Role Requirements'!$C$142</definedName>
    <definedName name="calcCIMemReqSDC">'Role Requirements'!$I$141</definedName>
    <definedName name="calcCIStreamsBtwnDCs">'Role Requirements'!$I$122</definedName>
    <definedName name="calcCPUUtilLCS">'Role Requirements'!$C$216</definedName>
    <definedName name="calcCPUUtilPDC">'Role Requirements'!$G$214</definedName>
    <definedName name="calcCPUUtilPDCDouble">'Role Requirements'!$E$214</definedName>
    <definedName name="calcCPUUtilPDCNormal">'Role Requirements'!$C$214</definedName>
    <definedName name="calcCPUUtilPDCSingle">'Role Requirements'!$D$214</definedName>
    <definedName name="calcCPUUtilPDCSite">'Role Requirements'!$F$214</definedName>
    <definedName name="calcCPUUtilSDC">'Role Requirements'!$G$215</definedName>
    <definedName name="calcCPUUtilSDCDouble">'Role Requirements'!$E$215</definedName>
    <definedName name="calcCPUUtilSDCNormal">'Role Requirements'!$C$215</definedName>
    <definedName name="calcCPUUtilSDCSingle">'Role Requirements'!$D$215</definedName>
    <definedName name="calcCPUUtilSDCSite">'Role Requirements'!$F$215</definedName>
    <definedName name="calcCustomDiskCountCheck">'Role Requirements'!$I$188</definedName>
    <definedName name="calcCustomDiskCountCheckName">'Role Requirements'!$H$188</definedName>
    <definedName name="calcDBCacheSize">'Role Requirements'!$C$146</definedName>
    <definedName name="calcDBPerm">'Role Requirements'!$C$78</definedName>
    <definedName name="calcDedLaggedCopyServer">'Role Requirements'!$C$111</definedName>
    <definedName name="calcDiskLimitOverride">'Role Requirements'!$C$113</definedName>
    <definedName name="calcFailureDomainCopiesDC1">Input!$F$232</definedName>
    <definedName name="calcFailureDomainCopiesDC2">Input!$F$245</definedName>
    <definedName name="calcFailureDomainServersDC1">Input!$C$232</definedName>
    <definedName name="calcFailureDomainServersDC2">Input!$C$245</definedName>
    <definedName name="calcFailureDomainTargetCopiesDC1">Input!$F$233</definedName>
    <definedName name="calcFailureDomainTargetCopiesDC2">Input!$F$246</definedName>
    <definedName name="calcFailureDomainTargetServersDC1">Input!$C$233</definedName>
    <definedName name="calcFailureDomainTargetServersDC2">Input!$C$246</definedName>
    <definedName name="calcHAOption">Input!$C$211</definedName>
    <definedName name="calcIOPSPerDB">'Role Requirements'!$I$81</definedName>
    <definedName name="calcIOPSPerLog">'Role Requirements'!$I$82</definedName>
    <definedName name="calcItemsPerServerActive">'Role Requirements'!$C$107</definedName>
    <definedName name="calcItemsPerServerActiveSDC">'Role Requirements'!$I$139</definedName>
    <definedName name="calcItemsPerServerPassive">'Role Requirements'!$C$108</definedName>
    <definedName name="calcItemsPerServerPassiveSDC">'Role Requirements'!$I$140</definedName>
    <definedName name="calcLaggedServerCPU">'Role Requirements'!$C$211</definedName>
    <definedName name="calcLogStreamsBtwnDCs">'Role Requirements'!$I$121</definedName>
    <definedName name="calcMaxDBperVolume">'Role Requirements'!$C$82</definedName>
    <definedName name="calcMaxDBSize">'Role Requirements'!$C$62</definedName>
    <definedName name="calcMaxDBSizeCheck">'Role Requirements'!$I$185</definedName>
    <definedName name="calcMaxDBSizeCheckName">'Role Requirements'!$H$185</definedName>
    <definedName name="calcMaxNumDBDAG">'Role Requirements'!$C$65</definedName>
    <definedName name="calcMaxNumDBs">'Role Requirements'!$C$64</definedName>
    <definedName name="calcMBXPerDB">'Role Requirements'!$C$76</definedName>
    <definedName name="calcMBXSDCRAM">'Role Requirements'!$I$142</definedName>
    <definedName name="calcMBXServerACPU">'Role Requirements'!$G$205</definedName>
    <definedName name="calcMBXServerACPUDoub">'Role Requirements'!$E$205</definedName>
    <definedName name="calcMBXServerACPUNorm">'Role Requirements'!$C$205</definedName>
    <definedName name="calcMBXServerACPUSDC">'Role Requirements'!$G$208</definedName>
    <definedName name="calcMBXServerACPUSDCDouble">'Role Requirements'!$E$208</definedName>
    <definedName name="calcMBXServerACPUSDCNormal">'Role Requirements'!$C$208</definedName>
    <definedName name="calcMBXServerACPUSDCSingle">'Role Requirements'!$D$208</definedName>
    <definedName name="calcMBXServerACPUSDCSite">'Role Requirements'!$F$208</definedName>
    <definedName name="calcMBXServerACPUSing">'Role Requirements'!$D$205</definedName>
    <definedName name="calcMBXServerACPUSite">'Role Requirements'!$F$205</definedName>
    <definedName name="calcMBXServerPCPU">'Role Requirements'!$G$206</definedName>
    <definedName name="calcMBXServerPCPUDoub">'Role Requirements'!$E$206</definedName>
    <definedName name="calcMBXServerPCPUNorm">'Role Requirements'!$C$206</definedName>
    <definedName name="calcMBXServerPCPUSDC">'Role Requirements'!$G$209</definedName>
    <definedName name="calcMBXServerPCPUSDCDouble">'Role Requirements'!$E$209</definedName>
    <definedName name="calcMBXServerPCPUSDCNormal">'Role Requirements'!$C$209</definedName>
    <definedName name="calcMBXServerPCPUSDCSingle">'Role Requirements'!$D$209</definedName>
    <definedName name="calcMBXServerPCPUSDCSite">'Role Requirements'!$F$209</definedName>
    <definedName name="calcMBXServerPCPUSing">'Role Requirements'!$D$206</definedName>
    <definedName name="calcMBXServerPCPUSite">'Role Requirements'!$F$206</definedName>
    <definedName name="calcMCDBEnabled">Input!$C$214</definedName>
    <definedName name="calcMessagesPerDay">'Role Requirements'!$C$185</definedName>
    <definedName name="calcMinCASCountPDC">'Role Requirements'!$C$194</definedName>
    <definedName name="calcMinCASCountSDC">'Role Requirements'!$C$195</definedName>
    <definedName name="calcMultipleDBVolume">'Role Requirements'!$C$112</definedName>
    <definedName name="calcMultiRoleEnabled">'Role Requirements'!$C$116</definedName>
    <definedName name="calcNumActiveDBs">'Role Requirements'!$C$119</definedName>
    <definedName name="calcNumActiveDBsDC2">'Role Requirements'!$D$119</definedName>
    <definedName name="calcNumActiveDBsFF">'Role Requirements'!$C$120</definedName>
    <definedName name="calcNumActiveDBsFFDC2">'Role Requirements'!$D$120</definedName>
    <definedName name="calcNumActiveDBsPDCFFinSDC">'Role Requirements'!$C$121</definedName>
    <definedName name="calcNumActiveDBsPDCFFinSDCDC2">'Role Requirements'!$D$121</definedName>
    <definedName name="calcNumActiveDBsPDCSFinSDC">'Role Requirements'!$C$125</definedName>
    <definedName name="calcNumActiveDBsPDCSFinSDCDC2">'Role Requirements'!$D$125</definedName>
    <definedName name="calcNumActiveDBsSF">'Role Requirements'!$C$124</definedName>
    <definedName name="calcNumActiveDBsSFDC2">'Role Requirements'!$D$124</definedName>
    <definedName name="calcNumActiveDBsSiteF">'Role Requirements'!$C$130</definedName>
    <definedName name="calcNumActiveDBsSiteF1F">'Role Requirements'!$C$131</definedName>
    <definedName name="calcNumActiveDBsSiteF2F">'Role Requirements'!$C$132</definedName>
    <definedName name="calcNumAMBXServersDC1">'Role Requirements'!$I$95</definedName>
    <definedName name="calcNumAMBXServersDC2">'Role Requirements'!$I$97</definedName>
    <definedName name="calcNumDAGs">'Role Requirements'!$C$98</definedName>
    <definedName name="calcNumDBCopyInPDC">'Role Requirements'!$I$62</definedName>
    <definedName name="calcNumDBCopyInPDCActual">'Role Requirements'!$I$63</definedName>
    <definedName name="calcNumDBCopyInSDC">'Role Requirements'!$I$64</definedName>
    <definedName name="calcNumDBCopyInSDCActual">'Role Requirements'!$I$65</definedName>
    <definedName name="calcNumDBMemSizing">'Role Requirements'!$C$105</definedName>
    <definedName name="calcNumDBMemSizingSDC">'Role Requirements'!$C$133</definedName>
    <definedName name="calcNumDBs">'Role Requirements'!$C$77</definedName>
    <definedName name="calcNumDBUserTLogs">'Role Requirements'!$C$152</definedName>
    <definedName name="calcNumLagCopyInPDC">'Role Requirements'!$I$66</definedName>
    <definedName name="calcNumLagCopyInPDCActual">'Role Requirements'!$I$67</definedName>
    <definedName name="calcNumLagCopyInSDC">'Role Requirements'!$I$68</definedName>
    <definedName name="calcNumLagCopyInSDCActual">'Role Requirements'!$I$69</definedName>
    <definedName name="calcNumLagMBXServers">'Role Requirements'!$I$87</definedName>
    <definedName name="calcNumLagMBXServersPDC">'Role Requirements'!$I$88</definedName>
    <definedName name="calcNumLagMBXServersSDC">'Role Requirements'!$I$89</definedName>
    <definedName name="calcNumMBXPerDBCap">'Role Requirements'!$C$75</definedName>
    <definedName name="calcNumMBXPerDBIO">'Role Requirements'!$C$74</definedName>
    <definedName name="calcNumPMBXServersDC1">'Role Requirements'!$I$96</definedName>
    <definedName name="calcNumPMBXServersDC2">'Role Requirements'!$I$98</definedName>
    <definedName name="calcNumSrcDBDC1">'Role Requirements'!$I$115</definedName>
    <definedName name="calcNumSrcDBDC2">'Role Requirements'!$I$117</definedName>
    <definedName name="calcNumTgtDBDC1">'Role Requirements'!$I$116</definedName>
    <definedName name="calcNumTgtDBDC2">'Role Requirements'!$I$118</definedName>
    <definedName name="calcNumTgtLagDBDC1">'Role Requirements'!$I$119</definedName>
    <definedName name="calcNumTgtLagDBDC2">'Role Requirements'!$I$120</definedName>
    <definedName name="calcNumUserTLogs">'Role Requirements'!$C$151</definedName>
    <definedName name="calcRecCASCountPDC">'Role Requirements'!$C$196</definedName>
    <definedName name="calcRecCASCountSDC">'Role Requirements'!$C$197</definedName>
    <definedName name="calcRecGCCoresPDC">'Role Requirements'!$C$179</definedName>
    <definedName name="calcRecGCCoresSDC">'Role Requirements'!$C$180</definedName>
    <definedName name="calcRecMaxDBSize">'Role Requirements'!$C$63</definedName>
    <definedName name="calcRemainingServers">'Role Requirements'!$C$109</definedName>
    <definedName name="calcReplayLagManagerEnabled">'Role Requirements'!$C$115</definedName>
    <definedName name="calcReqCASCoresPDCServer">'Role Requirements'!$C$174</definedName>
    <definedName name="calcReqCASCoresSDCServer">'Role Requirements'!$C$178</definedName>
    <definedName name="calcReqLagCoresPDCServer">'Role Requirements'!$C$175</definedName>
    <definedName name="calcReqMBXACoresPDCServer">'Role Requirements'!$C$173</definedName>
    <definedName name="calcReqMBXACoresSDCServer">'Role Requirements'!$C$177</definedName>
    <definedName name="calcReqMBXCoresPDCServer">'Role Requirements'!$C$172</definedName>
    <definedName name="calcReqMBXCoresSDC">'Role Requirements'!$C$182</definedName>
    <definedName name="calcReqMBXCoresSDCServer">'Role Requirements'!$C$176</definedName>
    <definedName name="calcRPO">'Replication Requirements'!$E$10</definedName>
    <definedName name="calcSafetyNetEffect">'Role Requirements'!$C$188</definedName>
    <definedName name="calcSafetyNetTimeout">'Role Requirements'!$C$184</definedName>
    <definedName name="calcServerJBODDisks">'Storage Design'!$C$195</definedName>
    <definedName name="calcServerJBODDisksSDC">'Storage Design'!$D$195</definedName>
    <definedName name="calcServerMessagesPerDay">'Role Requirements'!$C$186</definedName>
    <definedName name="calcServerRAIDDisks">'Storage Design'!$C$192</definedName>
    <definedName name="calcServerRAM">'Role Requirements'!$C$141</definedName>
    <definedName name="calcShadowMessages">'Role Requirements'!$C$187</definedName>
    <definedName name="calcSiteResilienceEnabled">Input!$C$212</definedName>
    <definedName name="calcSRAASDDRServers">'Role Requirements'!$C$110</definedName>
    <definedName name="calcTier1CapacityRatio">'Role Requirements'!$F$52</definedName>
    <definedName name="calcTier1CapacityRequirement">'Role Requirements'!$F$42</definedName>
    <definedName name="calcTier1DBReads">'Role Requirements'!$C$27</definedName>
    <definedName name="calcTier1DBWrites">'Role Requirements'!$C$28</definedName>
    <definedName name="calcTier1DesktopSearchIO">'Role Requirements'!$C$26</definedName>
    <definedName name="calcTier1InitialMBXSize">'Role Requirements'!$C$19</definedName>
    <definedName name="calcTier1IOFactor">'Role Requirements'!$C$12</definedName>
    <definedName name="calcTier1IORatio">'Role Requirements'!$F$56</definedName>
    <definedName name="calcTier1IORequirement">'Role Requirements'!$F$47</definedName>
    <definedName name="calcTier1MBX">'Role Requirements'!$C$10</definedName>
    <definedName name="calcTier1MBXDBCapacity">'Role Requirements'!$F$62</definedName>
    <definedName name="calcTier1MBXDBIO">'Role Requirements'!$F$66</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CapacityRatio">'Role Requirements'!$F$53</definedName>
    <definedName name="calcTier2CapacityRequirement">'Role Requirements'!$F$43</definedName>
    <definedName name="calcTier2DBReads">'Role Requirements'!$I$27</definedName>
    <definedName name="calcTier2DBWrites">'Role Requirements'!$I$28</definedName>
    <definedName name="calcTier2DesktopSearchIO">'Role Requirements'!$I$26</definedName>
    <definedName name="calcTier2InitialMBXSize">'Role Requirements'!$I$19</definedName>
    <definedName name="calcTier2IOFactor">'Role Requirements'!$I$12</definedName>
    <definedName name="calcTier2IORatio">'Role Requirements'!$F$57</definedName>
    <definedName name="calcTier2IORequirement">'Role Requirements'!$F$48</definedName>
    <definedName name="calcTier2MBX">'Role Requirements'!$I$10</definedName>
    <definedName name="calcTier2MBXDBCapacity">'Role Requirements'!$F$63</definedName>
    <definedName name="calcTier2MBXDBIO">'Role Requirements'!$F$67</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CapacityRatio">'Role Requirements'!$F$54</definedName>
    <definedName name="calcTier3CapacityRequirement">'Role Requirements'!$F$44</definedName>
    <definedName name="calcTier3DBReads">'Role Requirements'!$C$53</definedName>
    <definedName name="calcTier3DBWrites">'Role Requirements'!$C$54</definedName>
    <definedName name="calcTier3DesktopSearchIO">'Role Requirements'!$C$52</definedName>
    <definedName name="calcTier3InitialMBXSize">'Role Requirements'!$C$45</definedName>
    <definedName name="calcTier3IOFactor">'Role Requirements'!$C$38</definedName>
    <definedName name="calcTier3IORatio">'Role Requirements'!$F$58</definedName>
    <definedName name="calcTier3IORequirement">'Role Requirements'!$F$49</definedName>
    <definedName name="calcTier3MBX">'Role Requirements'!$C$36</definedName>
    <definedName name="calcTier3MBXDBCapacity">'Role Requirements'!$F$64</definedName>
    <definedName name="calcTier3MBXDBIO">'Role Requirements'!$F$68</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CapacityRatio">'Role Requirements'!$F$55</definedName>
    <definedName name="calcTier4CapacityRequirement">'Role Requirements'!$F$45</definedName>
    <definedName name="calcTier4DBReads">'Role Requirements'!$I$53</definedName>
    <definedName name="calcTier4DBWrites">'Role Requirements'!$I$54</definedName>
    <definedName name="calcTier4DesktopSearchIO">'Role Requirements'!$I$52</definedName>
    <definedName name="calcTier4InitialMBXSize">'Role Requirements'!$I$45</definedName>
    <definedName name="calcTier4IOFactor">'Role Requirements'!$I$38</definedName>
    <definedName name="calcTier4IORatio">'Role Requirements'!$F$59</definedName>
    <definedName name="calcTier4IORequirement">'Role Requirements'!$F$50</definedName>
    <definedName name="calcTier4MBX">'Role Requirements'!$I$36</definedName>
    <definedName name="calcTier4MBXDBCapacity">'Role Requirements'!$F$65</definedName>
    <definedName name="calcTier4MBXDBIO">'Role Requirements'!$F$69</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Requirements'!$C$122</definedName>
    <definedName name="calcTotActiveDBsPDCFFinPDCDC2">'Role Requirements'!$D$122</definedName>
    <definedName name="calcTotActiveDBsPDCFFinSDC">'Role Requirements'!$C$123</definedName>
    <definedName name="calcTotActiveDBsPDCFFinSDCDC2">'Role Requirements'!$D$123</definedName>
    <definedName name="calcTotActiveDBsPDCSFinPDC">'Role Requirements'!$C$126</definedName>
    <definedName name="calcTotActiveDBsPDCSFinPDCDC2">'Role Requirements'!$D$126</definedName>
    <definedName name="calcTotActiveDBsPDCSFinSDC">'Role Requirements'!$C$127</definedName>
    <definedName name="calcTotActiveDBsPDCSFinSDCDC2">'Role Requirements'!$D$127</definedName>
    <definedName name="calcTotCASMemReq">'Role Requirements'!$C$147</definedName>
    <definedName name="calcTotCASMemReqSDC">'Role Requirements'!$I$146</definedName>
    <definedName name="calcTotCASReqMCycles">'Role Requirements'!$C$169</definedName>
    <definedName name="calcTotNumHACopies">'Role Requirements'!$I$70</definedName>
    <definedName name="calcTotNumHACopiesDC1inDC1">'Role Requirements'!$C$88</definedName>
    <definedName name="calcTotNumHACopiesDC2inDC2">'Role Requirements'!$C$89</definedName>
    <definedName name="calcTotNumHAPassCopiesDC1inDC2">'Role Requirements'!$C$90</definedName>
    <definedName name="calcTotNumHAPassCopiesDC2inDC1">'Role Requirements'!$C$93</definedName>
    <definedName name="calcTotNumLagCopies">'Role Requirements'!$I$71</definedName>
    <definedName name="calcTotNumLagCopiesDC1">'Role Requirements'!$C$94</definedName>
    <definedName name="calcTotNumLagCopiesDC2">'Role Requirements'!$C$95</definedName>
    <definedName name="calcTotNumLagDBCopiesPDC">'Role Requirements'!$I$90</definedName>
    <definedName name="calcTotNumLagDBCopiesSDC">'Role Requirements'!$I$91</definedName>
    <definedName name="calcTotNumMBXPerSvr">'Role Requirements'!$C$103</definedName>
    <definedName name="calcTotNumPassiveCopiesDC1inDC2">'Role Requirements'!$C$91</definedName>
    <definedName name="calcTotNumPassiveCopiesDC2inDC1">'Role Requirements'!$C$92</definedName>
    <definedName name="calcTotServerRAM">'Role Requirements'!$C$144</definedName>
    <definedName name="calcTotServerRAMSDC">'Role Requirements'!$I$144</definedName>
    <definedName name="calcTransportDBSize">'Role Requirements'!$C$189</definedName>
    <definedName name="calcTransportLocPDC">'Role Requirements'!$C$190</definedName>
    <definedName name="calcTransportLocSDC">'Role Requirements'!$C$191</definedName>
    <definedName name="CalcVersion">'Version Changes'!$K$57</definedName>
    <definedName name="calcVirtualizationEnabled">Input!$C$213</definedName>
    <definedName name="CIIOPsFactor">Variables!$B$77</definedName>
    <definedName name="CISizeFactor">Variables!$B$78</definedName>
    <definedName name="ColorFirst">Tables!$A$273</definedName>
    <definedName name="ColorLast">Tables!$A$288</definedName>
    <definedName name="ComputedDiskTypes">Table69[Value]</definedName>
    <definedName name="ConfigPDCTotDisks">'Storage Design'!$B$125</definedName>
    <definedName name="ConfigSDCTotDisks">'Storage Design'!$B$128</definedName>
    <definedName name="ContentIndexing">Variables!$K$38</definedName>
    <definedName name="CpuUtilizationDC1">'Role Requirements'!$C$256</definedName>
    <definedName name="CpuUtilizationDC2">'Role Requirements'!$D$256</definedName>
    <definedName name="CreateDAG" localSheetId="16">Scripts!$J$3:$J$323</definedName>
    <definedName name="CreateDAG_1" localSheetId="16">Scripts!#REF!</definedName>
    <definedName name="CreateDAG_2" localSheetId="16">Scripts!#REF!</definedName>
    <definedName name="CreateDAG_3" localSheetId="16">Scripts!#REF!</definedName>
    <definedName name="CreateDAG_4" localSheetId="16">Scripts!#REF!</definedName>
    <definedName name="CreateDAG_5" localSheetId="16">Scripts!$J$1:$J$322</definedName>
    <definedName name="CreateMBDatabaseCopies" localSheetId="16">Scripts!#REF!</definedName>
    <definedName name="CreateMBDatabaseCopies_1" localSheetId="16">Scripts!$K$1:$K$253</definedName>
    <definedName name="CreateMBDatabases" localSheetId="16">Scripts!#REF!</definedName>
    <definedName name="CustomMaxDBSize">Input!$H$36</definedName>
    <definedName name="CustomNumDBs">Input!$H$38</definedName>
    <definedName name="DAG1BaseName">Input!$H$159</definedName>
    <definedName name="DAG1Name">Input!$G$159</definedName>
    <definedName name="DAG2BaseName">Input!$H$160</definedName>
    <definedName name="DAGLogBandwidth">'Replication Requirements'!$E$15</definedName>
    <definedName name="DAGMemberValCheck">'Role Requirements'!$I$181</definedName>
    <definedName name="DAGMemberValCheckName">'Role Requirements'!$H$181</definedName>
    <definedName name="DAGQuroumStatus">Distribution!$J$3</definedName>
    <definedName name="DAGs_Defaults">Variables!$C$87:$D$107</definedName>
    <definedName name="DataGrowth">Input!$C$35</definedName>
    <definedName name="DB_Build_Defaults">Variables!$E$87:$F$113</definedName>
    <definedName name="DBCopyValCheck">'Role Requirements'!$I$183</definedName>
    <definedName name="DBCopyValCheckName">'Role Requirements'!$H$183</definedName>
    <definedName name="DBCountValCheck">'Role Requirements'!$I$182</definedName>
    <definedName name="DBCountValCheckName">'Role Requirements'!$H$182</definedName>
    <definedName name="DBDiskIOCap1">'Storage Design'!$C$47</definedName>
    <definedName name="DBDiskIOCap2">'Storage Design'!$D$47</definedName>
    <definedName name="DBDiskIOCap3">'Storage Design'!$E$47</definedName>
    <definedName name="DBDiskRPM3">'Cut Stuff'!$C$8</definedName>
    <definedName name="DBDiskRPMPDC">Input!$D$119</definedName>
    <definedName name="DBDiskRPMSDC">Input!$D$126</definedName>
    <definedName name="DBDiskSize3">'Cut Stuff'!$C$7</definedName>
    <definedName name="DBDiskSizePDC">Input!$C$119</definedName>
    <definedName name="DBDiskSizeSDC">Input!$C$126</definedName>
    <definedName name="DBDiskSpaceReqReplicaSS">'Role Requirements'!$D$275</definedName>
    <definedName name="DBForDiskCap1">'Storage Design'!$C$46</definedName>
    <definedName name="DBForDiskCap2">'Storage Design'!$D$46</definedName>
    <definedName name="DBForDiskCap3">'Storage Design'!$E$46</definedName>
    <definedName name="DBIOPSReplicaSS">'Role Requirements'!$D$284</definedName>
    <definedName name="DBIOReadTransfers">'Role Requirements'!$I$77</definedName>
    <definedName name="DBIOWriteTransfers">'Role Requirements'!$I$78</definedName>
    <definedName name="DBLogBandwidth">'Replication Requirements'!$E$13</definedName>
    <definedName name="DBLogIsolation">'Role Requirements'!$C$114</definedName>
    <definedName name="DBPermOverride">Input!$H$39</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'Role Requirements'!$I$103</definedName>
    <definedName name="DBSizeOverhead">'Role Requirements'!$I$104</definedName>
    <definedName name="DBSizeOverride">Input!$H$35</definedName>
    <definedName name="DBVolCheck">'Role Requirements'!$I$180</definedName>
    <definedName name="DBVolDiskSpaceReplicaSS">'Role Requirements'!$D$277</definedName>
    <definedName name="DBVolSize">'Role Requirements'!$I$171</definedName>
    <definedName name="DedLaggedCopyServer">Variables!$N$43</definedName>
    <definedName name="DesiredStorageArch">'Storage Design'!$C$28</definedName>
    <definedName name="DesResVolRAID">'Storage Design'!$F$20</definedName>
    <definedName name="DiskLimitOverride">Input!$C$113</definedName>
    <definedName name="Diskpart" localSheetId="16">Scripts!$K$2:$K$368</definedName>
    <definedName name="Diskpart_1" localSheetId="16">Scripts!#REF!</definedName>
    <definedName name="EnvPeakIOPS">'Role Requirements'!$I$75</definedName>
    <definedName name="ExVersion">Variables!$K$58</definedName>
    <definedName name="FailureDomainCheck">'Role Requirements'!$I$187</definedName>
    <definedName name="FailureDomainCheckName">'Role Requirements'!$H$187</definedName>
    <definedName name="FailureDomainsEnabled">Input!$C$219</definedName>
    <definedName name="FailureDomainStatusField">Input!$B$250</definedName>
    <definedName name="FD1CopyCountPri">Input!$F$224</definedName>
    <definedName name="FD1CopyCountSec">Input!$F$237</definedName>
    <definedName name="FD1ServerCountPri">Input!$C$224</definedName>
    <definedName name="FD1ServerCountSec">Input!$C$237</definedName>
    <definedName name="FD2CopyCountPri">Input!$F$225</definedName>
    <definedName name="FD2CopyCountSec">Input!$F$238</definedName>
    <definedName name="FD2ServerCountPri">Input!$C$225</definedName>
    <definedName name="FD2ServerCountSec">Input!$C$238</definedName>
    <definedName name="FD3CopyCountPri">Input!$F$226</definedName>
    <definedName name="FD3CopyCountSec">Input!$F$239</definedName>
    <definedName name="FD3ServerCountPri">Input!$C$226</definedName>
    <definedName name="FD3ServerCountSec">Input!$C$239</definedName>
    <definedName name="FD4CopyCountPri">Input!$F$227</definedName>
    <definedName name="FD4CopyCountSec">Input!$F$240</definedName>
    <definedName name="FD4ServerCountPri">Input!$C$227</definedName>
    <definedName name="FD4ServerCountSec">Input!$C$240</definedName>
    <definedName name="FD5CopyCountPri">Input!$F$228</definedName>
    <definedName name="FD5CopyCountSec">Input!$F$241</definedName>
    <definedName name="FD5ServerCountPri">Input!$C$228</definedName>
    <definedName name="FD5ServerCountSec">Input!$C$241</definedName>
    <definedName name="FD6CopyCountPri">Input!$F$229</definedName>
    <definedName name="FD6CopyCountSec">Input!$F$242</definedName>
    <definedName name="FD6ServerCountPri">Input!$C$229</definedName>
    <definedName name="FD6ServerCountSec">Input!$C$242</definedName>
    <definedName name="FD7CopyCountPri">Input!$F$230</definedName>
    <definedName name="FD7CopyCountSec">Input!$F$243</definedName>
    <definedName name="FD7ServerCountPri">Input!$C$230</definedName>
    <definedName name="FD7ServerCountSec">Input!$C$243</definedName>
    <definedName name="FD8CopyCountPri">Input!$F$231</definedName>
    <definedName name="FD8CopyCountSec">Input!$F$244</definedName>
    <definedName name="FD8ServerCountPri">Input!$C$231</definedName>
    <definedName name="FD8ServerCountSec">Input!$C$244</definedName>
    <definedName name="FDDefPri">Input!$C$225:$F$232</definedName>
    <definedName name="FDDefSec">Input!$C$238:$F$245</definedName>
    <definedName name="FSWStatus">Distribution!$C$9</definedName>
    <definedName name="GCServerArch">Variables!$K$57</definedName>
    <definedName name="HAOption">Input!$C$24</definedName>
    <definedName name="InvalidActiveActive">'Role Requirements'!$I$189</definedName>
    <definedName name="InvalidActivePassive">'Role Requirements'!$I$190</definedName>
    <definedName name="InvalidDBPerVolume">'Role Requirements'!$I$191</definedName>
    <definedName name="IOGrowth">Input!$C$43</definedName>
    <definedName name="IOPSBound">'Role Requirements'!$I$172</definedName>
    <definedName name="JBODCapAchDisk1">'Storage Design'!$C$141</definedName>
    <definedName name="JBODCapAchDisk2">'Storage Design'!$D$141</definedName>
    <definedName name="JBODCapAchDisk3">'Storage Design'!$E$141</definedName>
    <definedName name="JBODCheckPDC">'Role Requirements'!$I$158</definedName>
    <definedName name="JBODCheckSDC">'Role Requirements'!$I$163</definedName>
    <definedName name="JBODDBCapCheckPDC">'Role Requirements'!$I$154</definedName>
    <definedName name="JBODDBCapCheckSDC">'Role Requirements'!$I$159</definedName>
    <definedName name="JBODDBIOCheckPDC">'Role Requirements'!$I$155</definedName>
    <definedName name="JBODDBIOCheckSDC">'Role Requirements'!$I$160</definedName>
    <definedName name="JBODEvaluation">Input!$C$110</definedName>
    <definedName name="JBODIOAchDisk1">'Storage Design'!$C$142</definedName>
    <definedName name="JBODIOAchDisk2">'Storage Design'!$D$142</definedName>
    <definedName name="JBODIOAchDisk3">'Storage Design'!$E$142</definedName>
    <definedName name="JBODResVolAchConfig1">'Storage Design'!$C$144</definedName>
    <definedName name="JBODResVolAchConfig2">'Storage Design'!$D$144</definedName>
    <definedName name="JBODResVolAchConfig3">'Storage Design'!$E$144</definedName>
    <definedName name="JBODRLCapCheckPDC">'Role Requirements'!$I$156</definedName>
    <definedName name="JBODRLCapCheckSDC">'Role Requirements'!$I$161</definedName>
    <definedName name="JBODValidationCheck">'Role Requirements'!$I$164</definedName>
    <definedName name="LagCopyCountCheck">'Role Requirements'!$I$184</definedName>
    <definedName name="LaggedCopySvrPrefStorageArch">'Role Requirements'!$I$151</definedName>
    <definedName name="LagSvrRAM">'Role Requirements'!$I$92</definedName>
    <definedName name="LimitServerMemory">Input!$C$146</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Input!$D$120</definedName>
    <definedName name="LogDiskRPMSDC">Input!$D$127</definedName>
    <definedName name="LogDiskSize3">'Cut Stuff'!$D$7</definedName>
    <definedName name="LogDiskSizePDC">Input!$C$120</definedName>
    <definedName name="LogDiskSizeSDC">Input!$C$127</definedName>
    <definedName name="LogDiskSpaceReplicaSS">'Role Requirements'!$D$276</definedName>
    <definedName name="LogDiskSpaceReqBackup">'Role Requirements'!$C$153</definedName>
    <definedName name="LogDiskSpaceReqMove">'Role Requirements'!$C$154</definedName>
    <definedName name="LogForDiskCap1">'Storage Design'!$C$53</definedName>
    <definedName name="LogForDiskCap2">'Storage Design'!$D$53</definedName>
    <definedName name="LogForDiskCap3">'Storage Design'!$E$53</definedName>
    <definedName name="LogH1">Input!$C$181</definedName>
    <definedName name="LogH10">Input!$C$190</definedName>
    <definedName name="LogH11">Input!$C$191</definedName>
    <definedName name="LogH12">Input!$C$192</definedName>
    <definedName name="LogH13">Input!$C$193</definedName>
    <definedName name="LogH14">Input!$C$194</definedName>
    <definedName name="LogH15">Input!$C$195</definedName>
    <definedName name="LogH16">Input!$C$196</definedName>
    <definedName name="LogH17">Input!$C$197</definedName>
    <definedName name="LogH18">Input!$C$198</definedName>
    <definedName name="LogH19">Input!$C$199</definedName>
    <definedName name="LogH2">Input!$C$182</definedName>
    <definedName name="LogH20">Input!$C$200</definedName>
    <definedName name="LogH21">Input!$C$201</definedName>
    <definedName name="LogH22">Input!$C$202</definedName>
    <definedName name="LogH23">Input!$C$203</definedName>
    <definedName name="LogH24">Input!$C$204</definedName>
    <definedName name="LogH3">Input!$C$183</definedName>
    <definedName name="LogH4">Input!$C$184</definedName>
    <definedName name="LogH5">Input!$C$185</definedName>
    <definedName name="LogH6">Input!$C$186</definedName>
    <definedName name="LogH7">Input!$C$187</definedName>
    <definedName name="LogH8">Input!$C$188</definedName>
    <definedName name="LogH9">Input!$C$189</definedName>
    <definedName name="LogIOPsFactor">Variables!$B$76</definedName>
    <definedName name="LogIOPSReplicaSS">'Role Requirements'!$D$285</definedName>
    <definedName name="LogIOReadTransfers">'Role Requirements'!$I$80</definedName>
    <definedName name="LogIOWriteTransfers">'Role Requirements'!$I$79</definedName>
    <definedName name="LogOverheadperDB">'Role Requirements'!$I$112</definedName>
    <definedName name="LogR10IOPS">'Storage Design'!$C$34</definedName>
    <definedName name="LogRawDiskCap1">'Storage Design'!$C$52</definedName>
    <definedName name="LogRawDiskCap2">'Storage Design'!$D$52</definedName>
    <definedName name="LogRawDiskCap3">'Storage Design'!$E$52</definedName>
    <definedName name="LogSizeOverhead">'Role Requirements'!$I$109</definedName>
    <definedName name="LogVolDiskSpaceReplicaSS">'Role Requirements'!$D$278</definedName>
    <definedName name="LogVolSize">'Volume Requirements'!$K$123</definedName>
    <definedName name="MailboxCountCheck">'Role Requirements'!$I$192</definedName>
    <definedName name="MailboxSizeCheck">'Role Requirements'!$I$186</definedName>
    <definedName name="MailboxSizeCheckName">'Role Requirements'!$H$186</definedName>
    <definedName name="MaxActiveDBsPDC">'Role Requirements'!$I$133</definedName>
    <definedName name="MaxActiveDBsSDC">'Role Requirements'!$I$134</definedName>
    <definedName name="MaxPreferredActiveDBsPDC">'Role Requirements'!$I$131</definedName>
    <definedName name="MaxPreferredActiveDBsSDC">'Role Requirements'!$I$132</definedName>
    <definedName name="MaxRecMemory">'Role Requirements'!$C$148</definedName>
    <definedName name="MBXMoveRate">Input!$C$36</definedName>
    <definedName name="MBXPerDB">'Role Requirements'!$C$81</definedName>
    <definedName name="MBXSDCRAM">'Role Requirements'!$I$145</definedName>
    <definedName name="MCDBEnabled">Input!$C$26</definedName>
    <definedName name="minDBCacheMemMBX">'Role Requirements'!$C$137</definedName>
    <definedName name="minDBCacheMemMBXSDC">'Role Requirements'!$I$137</definedName>
    <definedName name="minReqMemory">'Role Requirements'!$C$136</definedName>
    <definedName name="Mount_Points_Defaults">Variables!$G$87:$H$93</definedName>
    <definedName name="MultipleDBVolume">Input!$C$111</definedName>
    <definedName name="MultiRoleEnabled">Variables!$N$42</definedName>
    <definedName name="NetFailureTol">Input!$C$103</definedName>
    <definedName name="NetLinkLatency">Input!$H$182</definedName>
    <definedName name="NetLinkType">Input!$H$181</definedName>
    <definedName name="NetworkCompression">Input!$C$39</definedName>
    <definedName name="NetworkEncryption">'Cut Stuff'!$C$10</definedName>
    <definedName name="numActMBXSvrsPerDC">'Role Requirements'!$C$101</definedName>
    <definedName name="numDAGs">Input!$C$153</definedName>
    <definedName name="numDAGsEnv">'Role Requirements'!$F$224</definedName>
    <definedName name="numDAGServersPDC">'Role Requirements'!$C$226</definedName>
    <definedName name="numDAGServersSDC">'Role Requirements'!$D$226</definedName>
    <definedName name="numDBCopies">Input!$C$29</definedName>
    <definedName name="numDBCopiesSDC">Input!$C$31</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Requirements'!$C$158</definedName>
    <definedName name="NumDBPerVol">'Volume Requirements'!$I$7</definedName>
    <definedName name="NumDBperVolOverride">Input!$C$112</definedName>
    <definedName name="NumDBsOverride">Input!$H$37</definedName>
    <definedName name="NumDBVol">'Volume Requirements'!$I$8</definedName>
    <definedName name="NumDisksPerServer">Input!$C$114</definedName>
    <definedName name="NumFailureDomainsPri">Input!$C$220</definedName>
    <definedName name="NumFailureDomainsSec">Input!$C$221</definedName>
    <definedName name="numLagCopies">Input!$C$30</definedName>
    <definedName name="numLagCopiesSDC">Input!$C$32</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LogVol">'Volume Requirements'!$I$9</definedName>
    <definedName name="numMBXServers">Input!$C$152</definedName>
    <definedName name="numMCyclesPerCoreLCS">'Role Requirements'!$C$165</definedName>
    <definedName name="numMCyclesPerCorePDC">'Role Requirements'!$C$163</definedName>
    <definedName name="numMCyclesPerCoreSDC">'Role Requirements'!$C$164</definedName>
    <definedName name="NumMoveMBXTLogPerWk">'Role Requirements'!$C$155</definedName>
    <definedName name="NumMoveMBXTLogPerWkPerDB">'Role Requirements'!$C$156</definedName>
    <definedName name="NumMoveMBXTLogs">'Role Requirements'!$C$157</definedName>
    <definedName name="numPDCStorageUtil">'Role Requirements'!$I$167</definedName>
    <definedName name="numPhysicalCoresLCS">Input!$D$139</definedName>
    <definedName name="numPhysicalCoresPDC">Input!$D$137</definedName>
    <definedName name="numPhysicalCoresSDC">Input!$D$138</definedName>
    <definedName name="numProcCoresLCS">Input!$E$139</definedName>
    <definedName name="numProcCoresPDC">Input!$E$137</definedName>
    <definedName name="numProcCoresSDC">Input!$E$138</definedName>
    <definedName name="NumRamPerServer">Input!$C$147</definedName>
    <definedName name="numSDCStorageUtil">'Role Requirements'!$I$168</definedName>
    <definedName name="numSpecRateLCS">Input!$C$139</definedName>
    <definedName name="numSpecRatePDC">Input!$C$137</definedName>
    <definedName name="numSpecRateSDC">Input!$C$138</definedName>
    <definedName name="NumTier1MBX">Input!$C$54</definedName>
    <definedName name="NumTier1MBXDB">'Role Requirements'!$C$70</definedName>
    <definedName name="NumTier2MBX">Input!$C$75</definedName>
    <definedName name="NumTier2MBXDB">'Role Requirements'!$C$71</definedName>
    <definedName name="NumTier3MBX">Input!$H$54</definedName>
    <definedName name="NumTier3MBXDB">'Role Requirements'!$C$72</definedName>
    <definedName name="NumTier4MBX">Input!$H$75</definedName>
    <definedName name="NumTier4MBXDB">'Role Requirements'!$C$73</definedName>
    <definedName name="OptDBDisks1">'Storage Design'!$C$132</definedName>
    <definedName name="OptDBDisks2">'Storage Design'!$D$132</definedName>
    <definedName name="OptDBDisks3">'Storage Design'!$E$132</definedName>
    <definedName name="OptDBRAIDConfig1">'Storage Design'!$C$131</definedName>
    <definedName name="OptDBRAIDConfig2">'Storage Design'!$D$131</definedName>
    <definedName name="OptDBRAIDConfig3">'Storage Design'!$E$131</definedName>
    <definedName name="OptimizeChoice">Input!$C$151</definedName>
    <definedName name="OptimizeforAP">Input!$H$23</definedName>
    <definedName name="OptJBODDisksConfig3">'Storage Design'!$E$143</definedName>
    <definedName name="OptJBODDisksConfigPDC">'Storage Design'!$C$143</definedName>
    <definedName name="OptJBODDisksConfigSDC">'Storage Design'!$D$143</definedName>
    <definedName name="OptJBODRLDisksConfig3">'Storage Design'!$C$149</definedName>
    <definedName name="OptJBODRLDisksConfigPDC">'Storage Design'!$C$147</definedName>
    <definedName name="OptJBODRLDisksConfigSDC">'Storage Design'!$C$148</definedName>
    <definedName name="OptLogDisks1">'Storage Design'!$C$134</definedName>
    <definedName name="OptLogDisks2">'Storage Design'!$D$134</definedName>
    <definedName name="OptLogDisks3">'Storage Design'!$E$134</definedName>
    <definedName name="OptLogRAIDConfig1">'Storage Design'!$C$133</definedName>
    <definedName name="OptLogRAIDConfig2">'Storage Design'!$D$133</definedName>
    <definedName name="OptLogRAIDConfig3">'Storage Design'!$E$133</definedName>
    <definedName name="OptRLDisks1">'Storage Design'!$C$136</definedName>
    <definedName name="OptRLDisks2">'Storage Design'!$D$136</definedName>
    <definedName name="OptRLDisks3">'Storage Design'!$E$136</definedName>
    <definedName name="OptRLRAIDConfig1">'Storage Design'!$C$135</definedName>
    <definedName name="OptRLRAIDConfig2">'Storage Design'!$D$135</definedName>
    <definedName name="OptRLRAIDConfig3">'Storage Design'!$E$135</definedName>
    <definedName name="OverrideRAID">'Storage Design'!$C$27</definedName>
    <definedName name="PassiveCacheTargetDC1">'Role Requirements'!$C$140</definedName>
    <definedName name="PeakCIBandwidth">'Replication Requirements'!$E$14</definedName>
    <definedName name="PeakCIDAGBandwidth">'Replication Requirements'!$E$16</definedName>
    <definedName name="PeakIOPSperServer">'Role Requirements'!$I$76</definedName>
    <definedName name="PercentUsersinDC1">Variables!$K$40</definedName>
    <definedName name="PreferredStorageArch">'Role Requirements'!$I$149</definedName>
    <definedName name="PreferredStorageArchSDC">'Role Requirements'!$I$150</definedName>
    <definedName name="_xlnm.Print_Area" localSheetId="6">'Backup Requirements'!$B$1:$I$115</definedName>
    <definedName name="_xlnm.Print_Area" localSheetId="1">Input!$B$1:$H$206</definedName>
    <definedName name="_xlnm.Print_Area" localSheetId="7">'Replication Requirements'!$B$1:$AB$153</definedName>
    <definedName name="_xlnm.Print_Area" localSheetId="2">'Role Requirements'!$B$1:$I$291</definedName>
    <definedName name="_xlnm.Print_Area" localSheetId="10">'Storage Design'!$B$1:$I$201</definedName>
    <definedName name="_xlnm.Print_Area" localSheetId="14">'Version Changes'!$B$3:$Q$112</definedName>
    <definedName name="_xlnm.Print_Area" localSheetId="5">'Volume Requirements'!$B$1:$K$226</definedName>
    <definedName name="QueueTimeout">Input!$H$42</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Requirements'!$C$80</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cCoresLag">'Role Requirements'!$E$255</definedName>
    <definedName name="RecCoresMBXPDC">'Role Requirements'!$C$255</definedName>
    <definedName name="RecCoresMBXSDC">'Role Requirements'!$D$255</definedName>
    <definedName name="RecDatabaseVols">'Volume Requirements'!$E$115</definedName>
    <definedName name="RecDBDisksPDC">'Storage Design'!$C$163</definedName>
    <definedName name="RecDBDisksSDC">'Storage Design'!$C$168</definedName>
    <definedName name="RecDBperVolume">'Role Requirements'!$C$83</definedName>
    <definedName name="RecDBRAIDPDC">'Storage Design'!$C$162</definedName>
    <definedName name="RecDBRAIDSDC">'Storage Design'!$C$167</definedName>
    <definedName name="RecJBODARDisksPDC">'Storage Design'!$E$180</definedName>
    <definedName name="RecJBODARDisksSDC">'Storage Design'!$E$184</definedName>
    <definedName name="RecJBODDisksPDC">'Storage Design'!$C$180</definedName>
    <definedName name="RecJBODDisksSDC">'Storage Design'!$C$184</definedName>
    <definedName name="RecJBODDiskTypePDC">'Storage Design'!$C$179</definedName>
    <definedName name="RecJBODDiskTypeSDC">'Storage Design'!$C$183</definedName>
    <definedName name="RecJBODRLDisksPDC">'Storage Design'!$D$180</definedName>
    <definedName name="RecJBODRLDisksSDC">'Storage Design'!$D$184</definedName>
    <definedName name="RecJBODRLDiskTypePDC">'Storage Design'!$D$179</definedName>
    <definedName name="RecJBODRLDiskTypeSDC">'Storage Design'!$D$183</definedName>
    <definedName name="RecLogDisksPDC">'Storage Design'!$D$163</definedName>
    <definedName name="RecLogDisksSDC">'Storage Design'!$D$168</definedName>
    <definedName name="RecLogRAIDPDC">'Storage Design'!$D$162</definedName>
    <definedName name="RecLogRAIDSDC">'Storage Design'!$D$167</definedName>
    <definedName name="RecNumDBs">'Role Requirements'!$C$79</definedName>
    <definedName name="RecNumDBsDC1">'Role Requirements'!$C$86</definedName>
    <definedName name="RecNumDBsDC2">'Role Requirements'!$C$87</definedName>
    <definedName name="RecRAMLag">'Role Requirements'!$E$254</definedName>
    <definedName name="RecRAMMBXPDC">'Role Requirements'!$C$254</definedName>
    <definedName name="RecRAMMBXSDC">'Role Requirements'!$D$254</definedName>
    <definedName name="RecRLDisksPDC">'Storage Design'!$E$163</definedName>
    <definedName name="RecRLDisksSDC">'Storage Design'!$E$168</definedName>
    <definedName name="RecRLRAIDPDC">'Storage Design'!$E$162</definedName>
    <definedName name="RecRLRAIDSDC">'Storage Design'!$E$167</definedName>
    <definedName name="ReplayLagHours">Input!$H$29</definedName>
    <definedName name="ReplayLagManagerEnabled">Input!$H$31</definedName>
    <definedName name="ReplayLagMaxDelayHours">Input!$H$32</definedName>
    <definedName name="ReplayLagTime">'Role Requirements'!$I$85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Input!$D$121</definedName>
    <definedName name="ResDiskRPMSDC">Input!$D$128</definedName>
    <definedName name="ResDiskSize3">'Cut Stuff'!$E$7</definedName>
    <definedName name="ResDiskSizePDC">Input!$C$121</definedName>
    <definedName name="ResDiskSizeSDC">Input!$C$128</definedName>
    <definedName name="ResRawDiskCap1">'Storage Design'!$C$58</definedName>
    <definedName name="ResRawDiskCap2">'Storage Design'!$D$58</definedName>
    <definedName name="ResRawDiskCap3">'Storage Design'!$E$58</definedName>
    <definedName name="RestoreFactor">Variables!$B$79</definedName>
    <definedName name="RestoreVol">Input!$C$37</definedName>
    <definedName name="RestoreVolSize">'Volume Requirements'!$I$10</definedName>
    <definedName name="ResVolDiskCap1">'Storage Design'!$C$88</definedName>
    <definedName name="ResVolDiskCap2">'Storage Design'!$D$88</definedName>
    <definedName name="ResVolDiskCap3">'Storage Design'!$E$88</definedName>
    <definedName name="ResVolDiskSpaceNodeSS">'Role Requirements'!$D$279</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Input!$H$24</definedName>
    <definedName name="RPOLogCIBandwidth">'Replication Requirements'!$W$139</definedName>
    <definedName name="RpoOptions">'Replication Requirements'!$E$19:$AB$19</definedName>
    <definedName name="RpoTable">'Replication Requirements'!$E$19:$AB$67</definedName>
    <definedName name="SafetyNetTimeout">Input!$H$43</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Input!$C$168</definedName>
    <definedName name="Server11Name">Input!$C$169</definedName>
    <definedName name="Server12Name">Input!$C$170</definedName>
    <definedName name="Server13Name">Input!$C$171</definedName>
    <definedName name="Server14Name">Input!$C$172</definedName>
    <definedName name="Server15Name">Input!$C$173</definedName>
    <definedName name="Server16Name">Input!$C$174</definedName>
    <definedName name="Server1Name">Input!$C$159</definedName>
    <definedName name="Server2Name">Input!$C$160</definedName>
    <definedName name="Server3Name">Input!$C$161</definedName>
    <definedName name="Server4Name">Input!$C$162</definedName>
    <definedName name="Server5Name">Input!$C$163</definedName>
    <definedName name="Server6Name">Input!$C$164</definedName>
    <definedName name="Server7Name">Input!$C$165</definedName>
    <definedName name="Server8Name">Input!$C$166</definedName>
    <definedName name="Server9Name">Input!$C$167</definedName>
    <definedName name="ServerRAMConfig">'Role Requirements'!$C$145</definedName>
    <definedName name="ServerVersion">Input!$C$22</definedName>
    <definedName name="SiteResilienceEnabled">Input!$C$25</definedName>
    <definedName name="SRAASDDRServers">Input!$H$26</definedName>
    <definedName name="SRActivationBlocked">Input!$H$25</definedName>
    <definedName name="SRDiskMismatch">'Role Requirements'!$I$177</definedName>
    <definedName name="SRDiskSizeMatch">'Role Requirements'!$I$175</definedName>
    <definedName name="SRDiskTypeMatch">'Role Requirements'!$I$176</definedName>
    <definedName name="SRModel">Input!$H$22</definedName>
    <definedName name="StorageArchChoice">'Storage Design'!$C$189</definedName>
    <definedName name="strEmpty">Tables!$B$529</definedName>
    <definedName name="StringConversionArea">Variables!$B$64</definedName>
    <definedName name="strTable">Tables!$A$530:$B$592</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Input!$D$118</definedName>
    <definedName name="SysDiskRPMSDC">Input!$D$125</definedName>
    <definedName name="SysDiskSizePDC">Input!$C$118</definedName>
    <definedName name="SysDiskSizeSDC">Input!$C$125</definedName>
    <definedName name="SysRawDiskCapPDC">'Storage Design'!$C$64</definedName>
    <definedName name="SysRawDiskCapSDC">'Storage Design'!$D$64</definedName>
    <definedName name="Tbl1OptimizeServers">Tables!$C$301:$D$526</definedName>
    <definedName name="Tbl2OptimizeServers">Tables!$A$301:$B$399</definedName>
    <definedName name="TblAutoReseedVolumes">Tables!$A$292:$A$298</definedName>
    <definedName name="TblBackupFreq">Tables!$A$31:$B$34</definedName>
    <definedName name="tblDAGBaseNames">Input!$G$159:$H$160</definedName>
    <definedName name="tblDiskCapacity">Tables!$A$204:$B$232</definedName>
    <definedName name="tblDiskType">Tables!$A$236:$C$255</definedName>
    <definedName name="tblLogReplication">'Replication Requirements'!$C$44:$C$67</definedName>
    <definedName name="tblMinESECacheReq">Tables!$A$16:$C$27</definedName>
    <definedName name="tblNetworkLink">Tables!$A$101:$B$128</definedName>
    <definedName name="TblNumRestoreLun">Tables!$A$38:$B$52</definedName>
    <definedName name="tblOLSearchIOPOffset">Tables!$A$267:$B$269</definedName>
    <definedName name="TblOptimizeChoice">Tables!$E$301:$E$302</definedName>
    <definedName name="TblOptimizeMemory">Tables!$F$301:$F$333</definedName>
    <definedName name="tblRAID10Types">Tables!$A$169:$D$172</definedName>
    <definedName name="TblRAID5Types">Tables!$A$176:$D$194</definedName>
    <definedName name="TblRAID6Types">Tables!$A$198:$D$200</definedName>
    <definedName name="tblReadPercentage">Tables!$A$259:$B$263</definedName>
    <definedName name="tblRecDBDisks">'Storage Design'!$B$110:$D$112</definedName>
    <definedName name="tblRecJBODDiskLookup">'Storage Design'!$B$147:$F$149</definedName>
    <definedName name="tblRecJBODDiskLookupPDC">'Storage Design'!$B$147:$F$147</definedName>
    <definedName name="tblRecJBODDiskLookupSDC">'Storage Design'!$B$148:$F$148</definedName>
    <definedName name="tblRecLogDisks">'Storage Design'!$B$115:$D$117</definedName>
    <definedName name="tblRecNetworkLink">'Replication Requirements'!$B$75:$P$130</definedName>
    <definedName name="tblRecRAIDPDCDiskLookup">'Storage Design'!$B$125:$I$125</definedName>
    <definedName name="tblRecRAIDSDCDiskLookup">'Storage Design'!$B$128:$I$128</definedName>
    <definedName name="tblRecRLDisks">'Storage Design'!$B$120:$D$122</definedName>
    <definedName name="tblRPOBandwidth">'Replication Requirements'!$B$153:$C$154</definedName>
    <definedName name="tblRWRatio">Tables!$B$259:$C$263</definedName>
    <definedName name="tblSCRBndwdth">'Replication Requirements'!$E$71:$AB$72</definedName>
    <definedName name="TblSendReceive">Tables!$A$4:$F$13</definedName>
    <definedName name="tblServerMax">Tables!$D$267:$F$269</definedName>
    <definedName name="tblTCPWindowSize">Tables!$A$132:$B$162</definedName>
    <definedName name="tblVirtCpuDiv">Tables!$A$165:$B$166</definedName>
    <definedName name="tblVolBackupSet">Tables!$A$56:$B$97</definedName>
    <definedName name="TCPWindowSize">'Replication Requirements'!$H$133</definedName>
    <definedName name="Tier1ActiveMegacycles">'Role Requirements'!$C$14</definedName>
    <definedName name="Tier1ArchiveDumpsterSize">'Role Requirements'!$C$21</definedName>
    <definedName name="Tier1ArchiveMBXLimit">Input!$C$60</definedName>
    <definedName name="Tier1AvgMessageSize">Input!$C$57</definedName>
    <definedName name="Tier1BaseDBReads">'Role Requirements'!$C$24</definedName>
    <definedName name="Tier1BaseDBWrites">'Role Requirements'!$C$25</definedName>
    <definedName name="Tier1BaseIOPS">'Role Requirements'!$C$23</definedName>
    <definedName name="Tier1CalVersionStoreEnabled">Input!$C$63</definedName>
    <definedName name="Tier1CASMegacycles">'Role Requirements'!$C$16</definedName>
    <definedName name="Tier1DBTransfers">'Role Requirements'!$C$31</definedName>
    <definedName name="Tier1DesktopSearch">Input!$C$69</definedName>
    <definedName name="Tier1DIRW">Input!$C$61</definedName>
    <definedName name="Tier1DumpsterSize">'Role Requirements'!$C$20</definedName>
    <definedName name="Tier1InitialMBXSize">Input!$C$58</definedName>
    <definedName name="Tier1IOFactor">Input!$C$65</definedName>
    <definedName name="Tier1IOPS">Input!$C$71</definedName>
    <definedName name="Tier1LogGen">'Role Requirements'!$C$18</definedName>
    <definedName name="Tier1MBXLimit">Input!$C$59</definedName>
    <definedName name="Tier1MBXRatio">'Role Requirements'!$C$66</definedName>
    <definedName name="Tier1MBXSize">'Role Requirements'!$C$22</definedName>
    <definedName name="Tier1MCFactor">Input!$C$66</definedName>
    <definedName name="Tier1MemoryProfile">'Role Requirements'!$C$17</definedName>
    <definedName name="Tier1MessageProfile">'Role Requirements'!$C$11</definedName>
    <definedName name="Tier1NumGrowth">Input!$C$55</definedName>
    <definedName name="Tier1OLVersion">Input!$C$67</definedName>
    <definedName name="Tier1OnlineOL">Input!$C$68</definedName>
    <definedName name="Tier1PassiveMegacycles">'Role Requirements'!$C$15</definedName>
    <definedName name="Tier1PredictIOPS">Input!$C$70</definedName>
    <definedName name="Tier1ReadTransfers">'Role Requirements'!$C$32</definedName>
    <definedName name="Tier1RWRatio">Input!$C$72</definedName>
    <definedName name="Tier1SendReceive">Input!$C$56</definedName>
    <definedName name="Tier1SIREnabled">Input!$C$62</definedName>
    <definedName name="Tier1UserMFPercentage">Input!$C$64</definedName>
    <definedName name="Tier1WriteTransfers">'Role Requirements'!$C$33</definedName>
    <definedName name="Tier2ActiveMegacycles">'Role Requirements'!$I$14</definedName>
    <definedName name="Tier2ArchiveDumpsterSize">'Role Requirements'!$I$21</definedName>
    <definedName name="Tier2ArchiveMBXLimit">Input!$C$81</definedName>
    <definedName name="Tier2AvgMessageSize">Input!$C$78</definedName>
    <definedName name="Tier2BaseDBReads">'Role Requirements'!$I$24</definedName>
    <definedName name="Tier2BaseDBWrites">'Role Requirements'!$I$25</definedName>
    <definedName name="Tier2BaseIOPS">'Role Requirements'!$I$23</definedName>
    <definedName name="Tier2CalVersionStoreEnabled">Input!$C$84</definedName>
    <definedName name="Tier2CASMegacycles">'Role Requirements'!$I$16</definedName>
    <definedName name="Tier2DBTransfers">'Role Requirements'!$I$31</definedName>
    <definedName name="Tier2DesktopSearch">Input!$C$90</definedName>
    <definedName name="Tier2DIRW">Input!$C$82</definedName>
    <definedName name="Tier2DumpsterSize">'Role Requirements'!$I$20</definedName>
    <definedName name="Tier2InitialMBXSize">Input!$C$79</definedName>
    <definedName name="Tier2IOFactor">Input!$C$86</definedName>
    <definedName name="Tier2IOPS">Input!$C$92</definedName>
    <definedName name="Tier2LogGen">'Role Requirements'!$I$18</definedName>
    <definedName name="Tier2MBXLimit">Input!$C$80</definedName>
    <definedName name="Tier2MBXRatio">'Role Requirements'!$C$67</definedName>
    <definedName name="Tier2MBXSize">'Role Requirements'!$I$22</definedName>
    <definedName name="Tier2MCFactor">Input!$C$87</definedName>
    <definedName name="Tier2MemoryProfile">'Role Requirements'!$I$17</definedName>
    <definedName name="Tier2MessageProfile">'Role Requirements'!$I$11</definedName>
    <definedName name="Tier2NumGrowth">Input!$C$76</definedName>
    <definedName name="Tier2OLVersion">Input!$C$88</definedName>
    <definedName name="Tier2OnlineOL">Input!$C$89</definedName>
    <definedName name="Tier2PassiveMegacycles">'Role Requirements'!$I$15</definedName>
    <definedName name="Tier2PredictIOPS">Input!$C$91</definedName>
    <definedName name="Tier2ReadTransfers">'Role Requirements'!$I$32</definedName>
    <definedName name="Tier2RWRatio">Input!$C$93</definedName>
    <definedName name="Tier2SendReceive">Input!$C$77</definedName>
    <definedName name="Tier2SIREnabled">Input!$C$83</definedName>
    <definedName name="Tier2UserMFPercentage">Input!$C$85</definedName>
    <definedName name="Tier2WriteTransfers">'Role Requirements'!$I$33</definedName>
    <definedName name="Tier3ActiveMegacycles">'Role Requirements'!$C$40</definedName>
    <definedName name="Tier3ArchiveDumpsterSize">'Role Requirements'!$C$47</definedName>
    <definedName name="Tier3ArchiveMBXLimit">Input!$H$60</definedName>
    <definedName name="Tier3AvgMessageSize">Input!$H$57</definedName>
    <definedName name="Tier3BaseDBReads">'Role Requirements'!$C$50</definedName>
    <definedName name="Tier3BaseDBWrites">'Role Requirements'!$C$51</definedName>
    <definedName name="Tier3BaseIOPS">'Role Requirements'!$C$49</definedName>
    <definedName name="Tier3CalVersionStoreEnabled">Input!$H$63</definedName>
    <definedName name="Tier3CASMegacycles">'Role Requirements'!$C$42</definedName>
    <definedName name="Tier3DBTransfers">'Role Requirements'!$C$57</definedName>
    <definedName name="Tier3DesktopSearch">Input!$H$69</definedName>
    <definedName name="Tier3DIRW">Input!$H$61</definedName>
    <definedName name="Tier3DumpsterSize">'Role Requirements'!$C$46</definedName>
    <definedName name="Tier3InitialMBXSize">Input!$H$58</definedName>
    <definedName name="Tier3IOFactor">Input!$H$65</definedName>
    <definedName name="Tier3IOPS">Input!$H$71</definedName>
    <definedName name="Tier3LogGen">'Role Requirements'!$C$44</definedName>
    <definedName name="Tier3MBXLimit">Input!$H$59</definedName>
    <definedName name="Tier3MBXRatio">'Role Requirements'!$C$68</definedName>
    <definedName name="Tier3MBXSize">'Role Requirements'!$C$48</definedName>
    <definedName name="Tier3MCFactor">Input!$H$66</definedName>
    <definedName name="Tier3MemoryProfile">'Role Requirements'!$C$43</definedName>
    <definedName name="Tier3MessageProfile">'Role Requirements'!$C$37</definedName>
    <definedName name="Tier3NumGrowth">Input!$H$55</definedName>
    <definedName name="Tier3OLVersion">Input!$H$67</definedName>
    <definedName name="Tier3OnlineOL">Input!$H$68</definedName>
    <definedName name="Tier3PassiveMegacycles">'Role Requirements'!$C$41</definedName>
    <definedName name="Tier3PredictIOPS">Input!$H$70</definedName>
    <definedName name="Tier3ReadTransfers">'Role Requirements'!$C$58</definedName>
    <definedName name="Tier3RWRatio">Input!$H$72</definedName>
    <definedName name="Tier3SendReceive">Input!$H$56</definedName>
    <definedName name="Tier3SIREnabled">Input!$H$62</definedName>
    <definedName name="Tier3UserMFPercentage">Input!$H$64</definedName>
    <definedName name="Tier3WriteTransfers">'Role Requirements'!$C$59</definedName>
    <definedName name="Tier4ActiveMegacycles">'Role Requirements'!$I$40</definedName>
    <definedName name="Tier4ArchiveDumpsterSize">'Role Requirements'!$I$47</definedName>
    <definedName name="Tier4ArchiveMBXLimit">Input!$H$81</definedName>
    <definedName name="Tier4AvgMessageSize">Input!$H$78</definedName>
    <definedName name="Tier4BaseDBReads">'Role Requirements'!$I$50</definedName>
    <definedName name="Tier4BaseDBWrites">'Role Requirements'!$I$51</definedName>
    <definedName name="Tier4BaseIOPS">'Role Requirements'!$I$49</definedName>
    <definedName name="Tier4CalVersionStoreEnabled">Input!$H$84</definedName>
    <definedName name="Tier4CASMegacycles">'Role Requirements'!$I$42</definedName>
    <definedName name="Tier4DBTransfers">'Role Requirements'!$I$57</definedName>
    <definedName name="Tier4DesktopSearch">Input!$H$90</definedName>
    <definedName name="Tier4DIRW">Input!$H$82</definedName>
    <definedName name="Tier4DumpsterSize">'Role Requirements'!$I$46</definedName>
    <definedName name="Tier4InitialMBXSize">Input!$H$79</definedName>
    <definedName name="Tier4IOFactor">Input!$H$86</definedName>
    <definedName name="Tier4IOPS">Input!$H$92</definedName>
    <definedName name="Tier4LogGen">'Role Requirements'!$I$44</definedName>
    <definedName name="Tier4MBXLimit">Input!$H$80</definedName>
    <definedName name="Tier4MBXRatio">'Role Requirements'!$C$69</definedName>
    <definedName name="Tier4MBXSize">'Role Requirements'!$I$48</definedName>
    <definedName name="Tier4MCFactor">Input!$H$87</definedName>
    <definedName name="Tier4MemoryProfile">'Role Requirements'!$I$43</definedName>
    <definedName name="Tier4MessageProfile">'Role Requirements'!$I$37</definedName>
    <definedName name="Tier4NumGrowth">Input!$H$76</definedName>
    <definedName name="Tier4OLVersion">Input!$H$88</definedName>
    <definedName name="Tier4OnlineOL">Input!$H$89</definedName>
    <definedName name="Tier4PassiveMegacycles">'Role Requirements'!$I$41</definedName>
    <definedName name="Tier4PredictIOPS">Input!$H$91</definedName>
    <definedName name="Tier4ReadTransfers">'Role Requirements'!$I$58</definedName>
    <definedName name="Tier4RWRatio">Input!$H$93</definedName>
    <definedName name="Tier4SendReceive">Input!$H$77</definedName>
    <definedName name="Tier4SIREnabled">Input!$H$83</definedName>
    <definedName name="Tier4UserMFPercentage">Input!$H$85</definedName>
    <definedName name="Tier4WriteTransfers">'Role Requirements'!$I$59</definedName>
    <definedName name="TotalLogSpaceOverhead">'Role Requirements'!$I$109</definedName>
    <definedName name="TotalMBX">'Role Requirements'!$C$99</definedName>
    <definedName name="TotalMBXPerSvr">'Role Requirements'!$C$102</definedName>
    <definedName name="TotDBCopiesDiskSpaceReq">'Role Requirements'!$I$106</definedName>
    <definedName name="TotDBDiskSpace">'Volume Requirements'!$E$223</definedName>
    <definedName name="TotDBDiskSpaceReq">'Role Requirements'!$I$105</definedName>
    <definedName name="TotDBDiskSpaceReqDAGMember">'Role Requirements'!$I$107</definedName>
    <definedName name="TotDBTLogsGenerated">'Role Requirements'!$C$159</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Requirements'!$I$110</definedName>
    <definedName name="TotLogDiskSpace">'Role Requirements'!$I$108</definedName>
    <definedName name="TotLogDiskSpaceDAGMember">'Role Requirements'!$I$111</definedName>
    <definedName name="TotLogVolSpace">'Volume Requirements'!$J$223</definedName>
    <definedName name="TotLogVolSpaceDAG">'Volume Requirements'!$J$224</definedName>
    <definedName name="TotLogVolSpaceEnv">'Volume Requirements'!$J$225</definedName>
    <definedName name="TotMBXPerDAG">'Role Requirements'!$C$100</definedName>
    <definedName name="TotNumActiveMBXServers">'Role Requirements'!$I$99</definedName>
    <definedName name="TotNumDBCopiesDAG">'Role Requirements'!$D$249</definedName>
    <definedName name="TotNumDBCopiesDC1">'Role Requirements'!$I$125</definedName>
    <definedName name="TotNumDBCopiesDC2">'Role Requirements'!$I$126</definedName>
    <definedName name="TotNumDBCopiesServer">'Role Requirements'!$C$104</definedName>
    <definedName name="TotNumLagDBCopiesDC1">'Role Requirements'!$I$127</definedName>
    <definedName name="TotNumLagDBCopiesDC2">'Role Requirements'!$I$128</definedName>
    <definedName name="TotNumMBXServerinEnvironment">'Role Requirements'!$F$228</definedName>
    <definedName name="TotNumMBXServersinDAG">'Role Requirements'!$I$100</definedName>
    <definedName name="TotPeakLogCIBandwidth">'Replication Requirements'!$F$140</definedName>
    <definedName name="TotRestoreVols">'Volume Requirements'!$E$118</definedName>
    <definedName name="TotRPOLogCIBandwidth">'Replication Requirements'!$W$141</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Requirements'!$C$160</definedName>
    <definedName name="TransportDBCheck">'Role Requirements'!$I$194</definedName>
    <definedName name="TruncationLagHours">Input!$H$30</definedName>
    <definedName name="TruncationLagTime">'Role Requirements'!$I$86</definedName>
    <definedName name="ValidationCheck">'Role Requirements'!$I$195</definedName>
    <definedName name="ValidationCheckName">'Role Requirements'!$H$195</definedName>
    <definedName name="varActiveMCMF">Variables!$B$81</definedName>
    <definedName name="varAllPhysicalCoresReqd">Tables!$B$539</definedName>
    <definedName name="varBackupFreq">Tables!$A$31:$A$34</definedName>
    <definedName name="varBackupMethod">Variables!$E$5:$E$7</definedName>
    <definedName name="varCalcStorageReq">Variables!$M$33:$M$34</definedName>
    <definedName name="varCalculationOverride">Variables!$M$5:$M$7</definedName>
    <definedName name="varCalRetentionFactor">Variables!$B$75</definedName>
    <definedName name="varCASRatio">Variables!$B$80</definedName>
    <definedName name="varClientVersion">Variables!$Q$33:$Q$35</definedName>
    <definedName name="varCoreCountExceeded">Tables!$B$540</definedName>
    <definedName name="varDatabaseSizeMessage">Tables!$B$532</definedName>
    <definedName name="varDBOverideLimit">Variables!$K$52</definedName>
    <definedName name="varDBperVolList1">Variables!$P$5:$P$21</definedName>
    <definedName name="varDBperVolList2">Variables!#REF!</definedName>
    <definedName name="varDebugLevel">Variables!$K$48</definedName>
    <definedName name="varDefault">Variables!$K$5:$K$6</definedName>
    <definedName name="varDiskGroup">Variables!$K$54</definedName>
    <definedName name="varDiskSize">Tables!$A$204:$A$232</definedName>
    <definedName name="varDiskType">Tables!$A$236:$A$255</definedName>
    <definedName name="varEnabledQuestion">Variables!$C$5:$C$6</definedName>
    <definedName name="varEnableTrace">Variables!$K$46</definedName>
    <definedName name="varExVersion">Variables!$A$5:$A$6</definedName>
    <definedName name="varGuestMachine">Tables!$A$542</definedName>
    <definedName name="varHours">Variables!$G$5:$G$29</definedName>
    <definedName name="varIOPSMF">Variables!$B$83</definedName>
    <definedName name="varJBODInvDiskCap">Tables!$B$533</definedName>
    <definedName name="varJBODInvDiskIO">Tables!$B$534</definedName>
    <definedName name="varLogCompressionFactor">Input!$C$40</definedName>
    <definedName name="varLogReplResponse">Tables!$B$531</definedName>
    <definedName name="varLogShippingOptions">Variables!$J$5:$J$8</definedName>
    <definedName name="varMailboxServer">Tables!$A$543</definedName>
    <definedName name="varMax2CopyDBSize">Variables!$K$34</definedName>
    <definedName name="VarMaxDags">Variables!$B$72</definedName>
    <definedName name="varMaxDBperVolume">Variables!$K$37</definedName>
    <definedName name="varMaxDisksPerServer">Variables!$B$71</definedName>
    <definedName name="varMaxMailboxSize">Variables!$N$41</definedName>
    <definedName name="varMaxNumDBs">Variables!$K$35</definedName>
    <definedName name="varMaxNumDBVolBS">Variables!$K$36</definedName>
    <definedName name="varMaxRecCoresExceeded">Tables!$B$538</definedName>
    <definedName name="varMaxRecCpuUtil">Variables!$B$67</definedName>
    <definedName name="varMaxRecMemory2013">Variables!$B$70</definedName>
    <definedName name="varMaxRecMemory2016">Variables!$B$69</definedName>
    <definedName name="varMaxRecMemory2019">Variables!$B$68</definedName>
    <definedName name="varMaxSADBSize">Variables!$K$33</definedName>
    <definedName name="varMaxServerCount">Variables!$K$41</definedName>
    <definedName name="varMaxTransportDBSize">Variables!$K$44</definedName>
    <definedName name="varMCDBDeviceRatio">Variables!$N$35</definedName>
    <definedName name="varMCDBIOPsReduction">Variables!$N$37</definedName>
    <definedName name="varMCDBSizeRatio">Variables!$N$36</definedName>
    <definedName name="varMemPerCore">Variables!$K$43</definedName>
    <definedName name="varMessageQueueRate">Variables!$K$56</definedName>
    <definedName name="varMinENPCopyCount">Variables!$N$40</definedName>
    <definedName name="varMinHACopyCount">Variables!$N$38</definedName>
    <definedName name="varMinJBODCopyCount">Variables!$N$39</definedName>
    <definedName name="varMinOSVolume">Variables!$K$55</definedName>
    <definedName name="varMixedRAIDJBOD">Tables!$B$535</definedName>
    <definedName name="varNetLinkType">Tables!$A$101:$A$128</definedName>
    <definedName name="varNoCoresSpecified">Tables!$B$541</definedName>
    <definedName name="varNumCores">Variables!$Q$5:$Q$21</definedName>
    <definedName name="varNumDBCopies2">Variables!$H$5:$H$12</definedName>
    <definedName name="varNumDBCopyIn">Variables!$H$5:$H$20</definedName>
    <definedName name="varNumDBCopyInSDC">Variables!$L$5:$L$20</definedName>
    <definedName name="varNumLagDBCopy">Variables!$H$25:$H$27</definedName>
    <definedName name="varNumLaggedDBCopyIn">Variables!$H$25:$H$27</definedName>
    <definedName name="varOnlineIOMultiplier">Variables!$K$42</definedName>
    <definedName name="varOutlookMode">Variables!$F$5:$F$6</definedName>
    <definedName name="varPassiveMCMF">Variables!$B$82</definedName>
    <definedName name="varPhysicalDiskOnly">Tables!$A$236:$A$252</definedName>
    <definedName name="varPrimaryDatacenter">Tables!$A$544</definedName>
    <definedName name="varRAID10Types">Tables!$A$169:$A$172</definedName>
    <definedName name="varRAID5Types">Tables!$A$176:$A$194</definedName>
    <definedName name="varRAID6Types">Tables!$A$198:$A$200</definedName>
    <definedName name="varRAIDCacheReqd">Tables!$B$536</definedName>
    <definedName name="varRAIDOptions">Variables!$I$5:$I$8</definedName>
    <definedName name="varRequired">Variables!$O$5:$O$6</definedName>
    <definedName name="varRWRatio">Tables!$B$259:$B$263</definedName>
    <definedName name="varSCCNodes">Variables!$G$7:$G$13</definedName>
    <definedName name="varServerArch">Variables!$O$33:$O$34</definedName>
    <definedName name="varServerOffset">Variables!$K$39</definedName>
    <definedName name="varServerVersion">Variables!$P$33:$P$33</definedName>
    <definedName name="varSIRVersionsFactor">Variables!$B$74</definedName>
    <definedName name="varSRModel">Variables!$N$5:$N$6</definedName>
    <definedName name="varStatusOK_FD">Tables!$B$537</definedName>
    <definedName name="varStorageArchitecture">Variables!$D$5:$D$6</definedName>
    <definedName name="varSupportAutoReseed">Variables!$K$49</definedName>
    <definedName name="varTraceFile">Variables!$K$47</definedName>
    <definedName name="varUserProfile">Tables!$A$4:$A$13</definedName>
    <definedName name="varVirtualDiskOnly">Tables!$A$253:$A$255</definedName>
    <definedName name="varVolDesign">Variables!$S$5:$S$7</definedName>
    <definedName name="varVolSizeResponse">Tables!$B$530</definedName>
    <definedName name="varVolumeArchitecture">Variables!$R$5:$R$8</definedName>
    <definedName name="varWizardConfiguration">Variables!$K$51</definedName>
    <definedName name="varWizardTamperLock">Variables!$K$50</definedName>
    <definedName name="varWorkWeek">Variables!$N$33:$N$34</definedName>
    <definedName name="varYNQuestion">Variables!$B$5:$B$6</definedName>
    <definedName name="VirtCores">Input!$E$135:$E$139</definedName>
    <definedName name="VirtCPUFactor">Input!$C$142</definedName>
    <definedName name="VirtCPURatio">Input!$C$143</definedName>
    <definedName name="VirtDiskCheck">'Role Requirements'!$I$193</definedName>
    <definedName name="VirtDiskCheckPDC">'Role Requirements'!$I$157</definedName>
    <definedName name="VirtDiskCheckSDC">'Role Requirements'!$I$162</definedName>
    <definedName name="VirtualizationEnabled">Input!$C$23</definedName>
    <definedName name="VolArchitecture">'Volume Requirements'!$C$110</definedName>
    <definedName name="VolDesign">'Volume Requirements'!$I$6</definedName>
    <definedName name="VolGrowth">Input!$C$38</definedName>
    <definedName name="WizardStatus">Input!$G$20</definedName>
    <definedName name="WorkWeekDays">Input!$C$51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47" i="13" l="1"/>
  <c r="B257" i="13"/>
  <c r="C194" i="13"/>
  <c r="C116" i="13"/>
  <c r="I16" i="13" l="1"/>
  <c r="I42" i="13"/>
  <c r="C42" i="13"/>
  <c r="C211" i="1" l="1"/>
  <c r="C212" i="1"/>
  <c r="C213" i="1"/>
  <c r="C214" i="1"/>
  <c r="I67" i="13" l="1"/>
  <c r="I85" i="13" l="1"/>
  <c r="C194" i="8" l="1"/>
  <c r="D194" i="8"/>
  <c r="D191" i="8"/>
  <c r="C191" i="8"/>
  <c r="E118" i="4" l="1"/>
  <c r="B15" i="1" l="1"/>
  <c r="B14" i="1"/>
  <c r="B13" i="1"/>
  <c r="B3" i="12"/>
  <c r="B5" i="13"/>
  <c r="B3" i="13"/>
  <c r="B1" i="21"/>
  <c r="B2" i="12"/>
  <c r="B2" i="13"/>
  <c r="B1" i="12"/>
  <c r="B1" i="11"/>
  <c r="B1" i="4"/>
  <c r="B1" i="13"/>
  <c r="D157" i="8" l="1"/>
  <c r="D175" i="8"/>
  <c r="C157" i="8"/>
  <c r="C175" i="8"/>
  <c r="I69" i="13" l="1"/>
  <c r="B91" i="13" l="1"/>
  <c r="B90" i="13" l="1"/>
  <c r="G147" i="1" l="1"/>
  <c r="B52" i="16" l="1"/>
  <c r="B47" i="16"/>
  <c r="B42" i="16"/>
  <c r="B37" i="16"/>
  <c r="B32" i="16"/>
  <c r="B27" i="16"/>
  <c r="E153" i="8" l="1"/>
  <c r="E149" i="8"/>
  <c r="C149" i="8"/>
  <c r="E8" i="15"/>
  <c r="D8" i="15"/>
  <c r="C8" i="15"/>
  <c r="D133" i="8" l="1"/>
  <c r="E133" i="8" s="1"/>
  <c r="C133" i="8"/>
  <c r="G128" i="8"/>
  <c r="G125" i="8"/>
  <c r="D67" i="8"/>
  <c r="C67" i="8"/>
  <c r="D61" i="8"/>
  <c r="E61" i="8" s="1"/>
  <c r="C61" i="8"/>
  <c r="D56" i="16" l="1"/>
  <c r="D52" i="16"/>
  <c r="D51" i="16"/>
  <c r="D47" i="16"/>
  <c r="D46" i="16"/>
  <c r="D45" i="16"/>
  <c r="D44" i="16"/>
  <c r="D43" i="16"/>
  <c r="D41" i="16"/>
  <c r="D37" i="16"/>
  <c r="D36" i="16"/>
  <c r="D32" i="16"/>
  <c r="D31" i="16"/>
  <c r="D30" i="16"/>
  <c r="D29" i="16"/>
  <c r="D28" i="16"/>
  <c r="D26" i="16"/>
  <c r="E148" i="8" l="1"/>
  <c r="D148" i="8"/>
  <c r="D149" i="8" s="1"/>
  <c r="E147" i="8"/>
  <c r="D147" i="8"/>
  <c r="E135" i="8"/>
  <c r="D135" i="8"/>
  <c r="C135" i="8"/>
  <c r="H128" i="8"/>
  <c r="F128" i="8"/>
  <c r="H125" i="8"/>
  <c r="F125" i="8"/>
  <c r="D55" i="8"/>
  <c r="C55" i="8"/>
  <c r="D49" i="8"/>
  <c r="E49" i="8" s="1"/>
  <c r="C49" i="8"/>
  <c r="D48" i="8"/>
  <c r="E48" i="8" s="1"/>
  <c r="C48" i="8"/>
  <c r="G48" i="16"/>
  <c r="G33" i="16"/>
  <c r="G16" i="16"/>
  <c r="D16" i="16"/>
  <c r="D224" i="13"/>
  <c r="C224" i="13"/>
  <c r="F286" i="13"/>
  <c r="E286" i="13"/>
  <c r="D286" i="13"/>
  <c r="C281" i="13"/>
  <c r="C280" i="13"/>
  <c r="C279" i="13"/>
  <c r="C274" i="13"/>
  <c r="E260" i="13"/>
  <c r="E224" i="13"/>
  <c r="E55" i="8" l="1"/>
  <c r="A132" i="7"/>
  <c r="B204" i="7"/>
  <c r="A204" i="7"/>
  <c r="D45" i="8" l="1"/>
  <c r="D52" i="8"/>
  <c r="E52" i="8" s="1"/>
  <c r="D58" i="8"/>
  <c r="E58" i="8" s="1"/>
  <c r="C45" i="8"/>
  <c r="C46" i="8" s="1"/>
  <c r="D64" i="8"/>
  <c r="C58" i="8"/>
  <c r="C64" i="8"/>
  <c r="C52" i="8"/>
  <c r="L14" i="2"/>
  <c r="E45" i="8" l="1"/>
  <c r="E46" i="8" s="1"/>
  <c r="C98" i="13" l="1"/>
  <c r="K57" i="2" l="1"/>
  <c r="C148" i="13" l="1"/>
  <c r="I95" i="13" l="1"/>
  <c r="B162" i="1"/>
  <c r="B173" i="1"/>
  <c r="B164" i="1"/>
  <c r="B168" i="1"/>
  <c r="B169" i="1"/>
  <c r="B171" i="1"/>
  <c r="B160" i="1"/>
  <c r="B165" i="1"/>
  <c r="B161" i="1"/>
  <c r="B172" i="1"/>
  <c r="B159" i="1"/>
  <c r="B174" i="1"/>
  <c r="B167" i="1"/>
  <c r="B163" i="1"/>
  <c r="B170" i="1"/>
  <c r="B166" i="1"/>
  <c r="C10" i="16" l="1"/>
  <c r="H2" i="1"/>
  <c r="B81" i="2" l="1"/>
  <c r="D18" i="17" l="1"/>
  <c r="B82" i="2"/>
  <c r="B83" i="2" l="1"/>
  <c r="K58" i="2"/>
  <c r="D91" i="2" l="1"/>
  <c r="I187" i="13"/>
  <c r="I186" i="13" l="1"/>
  <c r="C21" i="13"/>
  <c r="D65" i="8" l="1"/>
  <c r="C65" i="8"/>
  <c r="C101" i="13" l="1"/>
  <c r="B532" i="7" l="1"/>
  <c r="B256" i="13"/>
  <c r="I21" i="13" l="1"/>
  <c r="F245" i="1" l="1"/>
  <c r="F232" i="1"/>
  <c r="C245" i="1" l="1"/>
  <c r="C232" i="1"/>
  <c r="C10" i="13" l="1"/>
  <c r="C36" i="13"/>
  <c r="I10" i="13"/>
  <c r="I36" i="13"/>
  <c r="I86" i="13"/>
  <c r="D46" i="8"/>
  <c r="C122" i="8"/>
  <c r="C121" i="8"/>
  <c r="C120" i="8"/>
  <c r="I47" i="13"/>
  <c r="C47" i="13"/>
  <c r="B30" i="15"/>
  <c r="B28" i="15"/>
  <c r="C205" i="1"/>
  <c r="E10" i="12"/>
  <c r="C67" i="12"/>
  <c r="C43" i="12"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E130" i="12"/>
  <c r="D130" i="12" s="1"/>
  <c r="B130"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C53" i="8"/>
  <c r="D53" i="8"/>
  <c r="G146" i="12"/>
  <c r="G145" i="12"/>
  <c r="E102" i="12"/>
  <c r="D102" i="12" s="1"/>
  <c r="B102" i="12" s="1"/>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F71" i="12"/>
  <c r="G71" i="12"/>
  <c r="H71" i="12"/>
  <c r="I71" i="12"/>
  <c r="J71" i="12"/>
  <c r="K71" i="12"/>
  <c r="L71" i="12"/>
  <c r="M71" i="12"/>
  <c r="N71" i="12"/>
  <c r="O71" i="12"/>
  <c r="P71" i="12"/>
  <c r="Q71" i="12"/>
  <c r="R71" i="12"/>
  <c r="S71" i="12"/>
  <c r="T71" i="12"/>
  <c r="U71" i="12"/>
  <c r="V71" i="12"/>
  <c r="W71" i="12"/>
  <c r="X71" i="12"/>
  <c r="Y71" i="12"/>
  <c r="Z71" i="12"/>
  <c r="AA71" i="12"/>
  <c r="AB71" i="12"/>
  <c r="E71" i="12"/>
  <c r="B21" i="12"/>
  <c r="B22" i="12"/>
  <c r="B23" i="12"/>
  <c r="B24" i="12"/>
  <c r="B25" i="12"/>
  <c r="B26" i="12"/>
  <c r="B27" i="12"/>
  <c r="B28" i="12"/>
  <c r="B29" i="12"/>
  <c r="B30" i="12"/>
  <c r="B31" i="12"/>
  <c r="B32" i="12"/>
  <c r="B33" i="12"/>
  <c r="B34" i="12"/>
  <c r="B35" i="12"/>
  <c r="B36" i="12"/>
  <c r="B37" i="12"/>
  <c r="B38" i="12"/>
  <c r="B39" i="12"/>
  <c r="B40" i="12"/>
  <c r="B41" i="12"/>
  <c r="B42" i="12"/>
  <c r="B43" i="12"/>
  <c r="B20" i="12"/>
  <c r="B151" i="12"/>
  <c r="C231" i="13" l="1"/>
  <c r="E53" i="8"/>
  <c r="D231" i="13"/>
  <c r="F231" i="13"/>
  <c r="E231" i="13"/>
  <c r="C11" i="13"/>
  <c r="C23" i="13" s="1"/>
  <c r="I45" i="13"/>
  <c r="C62" i="22" s="1"/>
  <c r="I19" i="13"/>
  <c r="C31" i="22" s="1"/>
  <c r="C45" i="13"/>
  <c r="C46" i="22" s="1"/>
  <c r="C19" i="13"/>
  <c r="C15" i="22" s="1"/>
  <c r="C63" i="22"/>
  <c r="C20" i="13"/>
  <c r="C59" i="8"/>
  <c r="D59" i="8"/>
  <c r="E59" i="8" s="1"/>
  <c r="I37" i="13"/>
  <c r="I49" i="13" s="1"/>
  <c r="I11" i="13"/>
  <c r="C37" i="13"/>
  <c r="C55" i="13" s="1"/>
  <c r="I39" i="13"/>
  <c r="C39" i="13"/>
  <c r="I13" i="13"/>
  <c r="I20" i="13"/>
  <c r="I18" i="13"/>
  <c r="D234" i="13" s="1"/>
  <c r="I17" i="13"/>
  <c r="C13" i="13"/>
  <c r="B25" i="15"/>
  <c r="B26" i="15"/>
  <c r="L13" i="2"/>
  <c r="L16" i="2"/>
  <c r="L15" i="2"/>
  <c r="L12" i="2"/>
  <c r="L18" i="2"/>
  <c r="L11" i="2"/>
  <c r="L10" i="2"/>
  <c r="L19" i="2"/>
  <c r="L17" i="2"/>
  <c r="L20" i="2"/>
  <c r="I44" i="13"/>
  <c r="F234" i="13" s="1"/>
  <c r="C46" i="13"/>
  <c r="B27" i="15"/>
  <c r="C43" i="13"/>
  <c r="C99" i="13"/>
  <c r="C18" i="13"/>
  <c r="C234" i="13" s="1"/>
  <c r="C17" i="13"/>
  <c r="I43" i="13"/>
  <c r="I46" i="13"/>
  <c r="I48" i="13" s="1"/>
  <c r="B29" i="15"/>
  <c r="C44" i="13"/>
  <c r="E234" i="13" s="1"/>
  <c r="D118" i="21" l="1"/>
  <c r="F45" i="13"/>
  <c r="C69" i="13"/>
  <c r="C68" i="13"/>
  <c r="C67" i="13"/>
  <c r="C66" i="13"/>
  <c r="I29" i="13"/>
  <c r="D236" i="13" s="1"/>
  <c r="I23" i="13"/>
  <c r="I55" i="13"/>
  <c r="F236" i="13" s="1"/>
  <c r="E236" i="13"/>
  <c r="C49" i="13"/>
  <c r="I22" i="13"/>
  <c r="F225" i="13"/>
  <c r="C48" i="13"/>
  <c r="C22" i="13"/>
  <c r="I52" i="13"/>
  <c r="F233" i="13"/>
  <c r="C61" i="22"/>
  <c r="C47" i="22"/>
  <c r="C45" i="22"/>
  <c r="C29" i="22"/>
  <c r="C30" i="22"/>
  <c r="C41" i="13"/>
  <c r="I41" i="13"/>
  <c r="I40" i="13"/>
  <c r="I14" i="13"/>
  <c r="I15" i="13"/>
  <c r="C40" i="13"/>
  <c r="C6" i="22"/>
  <c r="C7" i="22" s="1"/>
  <c r="O15" i="22" s="1"/>
  <c r="C12" i="13"/>
  <c r="C14" i="13"/>
  <c r="C16" i="13" s="1"/>
  <c r="C15" i="13"/>
  <c r="C14" i="22"/>
  <c r="C13" i="22"/>
  <c r="C54" i="22"/>
  <c r="C55" i="22" s="1"/>
  <c r="C57" i="22" s="1"/>
  <c r="C58" i="22" s="1"/>
  <c r="D119" i="21" s="1"/>
  <c r="C67" i="22"/>
  <c r="C22" i="22"/>
  <c r="C23" i="22" s="1"/>
  <c r="D29" i="22" s="1"/>
  <c r="C38" i="22"/>
  <c r="C39" i="22" s="1"/>
  <c r="B24" i="15"/>
  <c r="C185" i="13"/>
  <c r="E233" i="13" l="1"/>
  <c r="F44" i="13"/>
  <c r="C26" i="13"/>
  <c r="F42" i="13"/>
  <c r="D233" i="13"/>
  <c r="F43" i="13"/>
  <c r="D60" i="21"/>
  <c r="C35" i="22"/>
  <c r="I26" i="13"/>
  <c r="C41" i="22"/>
  <c r="C42" i="22" s="1"/>
  <c r="D90" i="21" s="1"/>
  <c r="C51" i="22"/>
  <c r="D89" i="21"/>
  <c r="C52" i="13"/>
  <c r="D31" i="21"/>
  <c r="C19" i="22"/>
  <c r="I12" i="13"/>
  <c r="I38" i="13"/>
  <c r="C38" i="13"/>
  <c r="J13" i="22"/>
  <c r="K14" i="22"/>
  <c r="R14" i="22"/>
  <c r="L15" i="22"/>
  <c r="C8" i="22"/>
  <c r="P14" i="22"/>
  <c r="Q15" i="22"/>
  <c r="E13" i="22"/>
  <c r="H14" i="22"/>
  <c r="P13" i="22"/>
  <c r="F15" i="22"/>
  <c r="D13" i="22"/>
  <c r="Q13" i="22"/>
  <c r="C9" i="22"/>
  <c r="C10" i="22" s="1"/>
  <c r="D32" i="21" s="1"/>
  <c r="N13" i="22"/>
  <c r="O14" i="22"/>
  <c r="P15" i="22"/>
  <c r="T14" i="22"/>
  <c r="D15" i="22"/>
  <c r="T13" i="22"/>
  <c r="E15" i="22"/>
  <c r="I14" i="22"/>
  <c r="J15" i="22"/>
  <c r="E14" i="22"/>
  <c r="F14" i="22"/>
  <c r="G15" i="22"/>
  <c r="S15" i="22"/>
  <c r="D14" i="22"/>
  <c r="R13" i="22"/>
  <c r="S14" i="22"/>
  <c r="T15" i="22"/>
  <c r="I15" i="22"/>
  <c r="K13" i="22"/>
  <c r="G13" i="22"/>
  <c r="H13" i="22"/>
  <c r="M14" i="22"/>
  <c r="N15" i="22"/>
  <c r="I13" i="22"/>
  <c r="J14" i="22"/>
  <c r="K15" i="22"/>
  <c r="F13" i="22"/>
  <c r="G14" i="22"/>
  <c r="H15" i="22"/>
  <c r="L14" i="22"/>
  <c r="M15" i="22"/>
  <c r="S13" i="22"/>
  <c r="O13" i="22"/>
  <c r="L13" i="22"/>
  <c r="Q14" i="22"/>
  <c r="R15" i="22"/>
  <c r="M13" i="22"/>
  <c r="N14" i="22"/>
  <c r="C25" i="22"/>
  <c r="C26" i="22" s="1"/>
  <c r="D61" i="21" s="1"/>
  <c r="D30" i="22"/>
  <c r="E30" i="22"/>
  <c r="D31"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23" i="15"/>
  <c r="C51" i="13"/>
  <c r="I25" i="13"/>
  <c r="I28" i="13" s="1"/>
  <c r="I51" i="13"/>
  <c r="I54" i="13" s="1"/>
  <c r="F46" i="13" l="1"/>
  <c r="C50" i="22"/>
  <c r="B50" i="22"/>
  <c r="C18" i="22"/>
  <c r="B18" i="22"/>
  <c r="C34" i="22"/>
  <c r="B34" i="22"/>
  <c r="C54" i="13"/>
  <c r="F55" i="13" l="1"/>
  <c r="F65" i="13" s="1"/>
  <c r="F54" i="13"/>
  <c r="F64" i="13" s="1"/>
  <c r="F52" i="13"/>
  <c r="F53" i="13"/>
  <c r="F63" i="13" s="1"/>
  <c r="C117" i="8"/>
  <c r="C116" i="8"/>
  <c r="C115" i="8"/>
  <c r="I71" i="13" l="1"/>
  <c r="C184" i="13"/>
  <c r="B16" i="11" l="1"/>
  <c r="B17" i="11" s="1"/>
  <c r="B18" i="11" l="1"/>
  <c r="B19" i="11" s="1"/>
  <c r="H17" i="11"/>
  <c r="F17" i="11"/>
  <c r="E17" i="11"/>
  <c r="I17" i="11"/>
  <c r="G17" i="11"/>
  <c r="C17" i="11"/>
  <c r="D17" i="11"/>
  <c r="C16" i="11"/>
  <c r="G16" i="11"/>
  <c r="I16" i="11"/>
  <c r="D16" i="11"/>
  <c r="E16" i="11"/>
  <c r="F16" i="11"/>
  <c r="H16" i="11"/>
  <c r="I19" i="11" l="1"/>
  <c r="H19" i="11"/>
  <c r="C19" i="11"/>
  <c r="D19" i="11"/>
  <c r="F19" i="11"/>
  <c r="E19" i="11"/>
  <c r="G19" i="11"/>
  <c r="G18" i="11"/>
  <c r="F18" i="11"/>
  <c r="E18" i="11"/>
  <c r="C18" i="11"/>
  <c r="D18" i="11"/>
  <c r="H18" i="11"/>
  <c r="I18" i="11"/>
  <c r="B20" i="11"/>
  <c r="E20" i="11" l="1"/>
  <c r="H20" i="11"/>
  <c r="F20" i="11"/>
  <c r="G20" i="11"/>
  <c r="C20" i="11"/>
  <c r="I20" i="11"/>
  <c r="D20" i="11"/>
  <c r="B21" i="11"/>
  <c r="H21" i="11" l="1"/>
  <c r="C21" i="11"/>
  <c r="E21" i="11"/>
  <c r="G21" i="11"/>
  <c r="F21" i="11"/>
  <c r="I21" i="11"/>
  <c r="D21" i="11"/>
  <c r="B22" i="11"/>
  <c r="B23" i="11" l="1"/>
  <c r="B24" i="11" s="1"/>
  <c r="H22" i="11"/>
  <c r="G22" i="11"/>
  <c r="D22" i="11"/>
  <c r="E22" i="11"/>
  <c r="C22" i="11"/>
  <c r="I22" i="11"/>
  <c r="F22" i="11"/>
  <c r="F24" i="11" l="1"/>
  <c r="G24" i="11"/>
  <c r="D24" i="11"/>
  <c r="I24" i="11"/>
  <c r="C24" i="11"/>
  <c r="H24" i="11"/>
  <c r="E24" i="11"/>
  <c r="E23" i="11"/>
  <c r="I23" i="11"/>
  <c r="F23" i="11"/>
  <c r="D23" i="11"/>
  <c r="G23" i="11"/>
  <c r="C23" i="11"/>
  <c r="B25" i="11"/>
  <c r="D25" i="11" s="1"/>
  <c r="H23" i="11"/>
  <c r="B26" i="11" l="1"/>
  <c r="F25" i="11"/>
  <c r="C25" i="11"/>
  <c r="G25" i="11"/>
  <c r="I25" i="11"/>
  <c r="E25" i="11"/>
  <c r="H25" i="11"/>
  <c r="H26" i="11" l="1"/>
  <c r="I26" i="11"/>
  <c r="E26" i="11"/>
  <c r="D26" i="11"/>
  <c r="F26" i="11"/>
  <c r="C26" i="11"/>
  <c r="G26" i="11"/>
  <c r="B27" i="11"/>
  <c r="D27" i="11" l="1"/>
  <c r="F27" i="11"/>
  <c r="C27" i="11"/>
  <c r="I27" i="11"/>
  <c r="G27" i="11"/>
  <c r="H27" i="11"/>
  <c r="E27" i="11"/>
  <c r="B28" i="11"/>
  <c r="B29" i="11" l="1"/>
  <c r="E29" i="11" s="1"/>
  <c r="E28" i="11"/>
  <c r="H28" i="11"/>
  <c r="I28" i="11"/>
  <c r="C28" i="11"/>
  <c r="F28" i="11"/>
  <c r="D28" i="11"/>
  <c r="G28" i="11"/>
  <c r="C29" i="11" l="1"/>
  <c r="F29" i="11"/>
  <c r="D29" i="11"/>
  <c r="G29" i="11"/>
  <c r="I29" i="11"/>
  <c r="H29" i="11"/>
  <c r="B30" i="11"/>
  <c r="E30" i="11" l="1"/>
  <c r="I30" i="11"/>
  <c r="B31" i="11"/>
  <c r="C30" i="11"/>
  <c r="F30" i="11"/>
  <c r="G30" i="11"/>
  <c r="H30" i="11"/>
  <c r="D30" i="11"/>
  <c r="H31" i="11" l="1"/>
  <c r="C31" i="11"/>
  <c r="F31" i="11"/>
  <c r="E31" i="11"/>
  <c r="I31" i="11"/>
  <c r="G31" i="11"/>
  <c r="D31" i="11"/>
  <c r="B32" i="11"/>
  <c r="B33" i="11" l="1"/>
  <c r="B34" i="11" s="1"/>
  <c r="F34" i="11" s="1"/>
  <c r="G32" i="11"/>
  <c r="C32" i="11"/>
  <c r="E32" i="11"/>
  <c r="I32" i="11"/>
  <c r="D32" i="11"/>
  <c r="H32" i="11"/>
  <c r="F32" i="11"/>
  <c r="B35" i="11" l="1"/>
  <c r="D35" i="11" s="1"/>
  <c r="H34" i="11"/>
  <c r="C34" i="11"/>
  <c r="E34" i="11"/>
  <c r="G34" i="11"/>
  <c r="I34" i="11"/>
  <c r="D34" i="11"/>
  <c r="D33" i="11"/>
  <c r="H33" i="11"/>
  <c r="C33" i="11"/>
  <c r="E33" i="11"/>
  <c r="F33" i="11"/>
  <c r="G33" i="11"/>
  <c r="I33" i="11"/>
  <c r="I35" i="11" l="1"/>
  <c r="C35" i="11"/>
  <c r="F35" i="11"/>
  <c r="B36" i="11"/>
  <c r="I36" i="11" s="1"/>
  <c r="G35" i="11"/>
  <c r="H35" i="11"/>
  <c r="E35" i="11"/>
  <c r="G36" i="11" l="1"/>
  <c r="H36" i="11"/>
  <c r="B37" i="11"/>
  <c r="E37" i="11" s="1"/>
  <c r="E36" i="11"/>
  <c r="F36" i="11"/>
  <c r="C36" i="11"/>
  <c r="D36" i="11"/>
  <c r="I37" i="11" l="1"/>
  <c r="B38" i="11"/>
  <c r="B39" i="11" s="1"/>
  <c r="E39" i="11" s="1"/>
  <c r="H37" i="11"/>
  <c r="D37" i="11"/>
  <c r="G37" i="11"/>
  <c r="F37" i="11"/>
  <c r="C37" i="11"/>
  <c r="D38" i="11" l="1"/>
  <c r="H38" i="11"/>
  <c r="F38" i="11"/>
  <c r="G39" i="11"/>
  <c r="G38" i="11"/>
  <c r="B40" i="11"/>
  <c r="G40" i="11" s="1"/>
  <c r="F39" i="11"/>
  <c r="I38" i="11"/>
  <c r="C39" i="11"/>
  <c r="I39" i="11"/>
  <c r="C38" i="11"/>
  <c r="H39" i="11"/>
  <c r="D39" i="11"/>
  <c r="E38" i="11"/>
  <c r="H40" i="11" l="1"/>
  <c r="D40" i="11"/>
  <c r="C40" i="11"/>
  <c r="E40" i="11"/>
  <c r="I40" i="11"/>
  <c r="B41" i="11"/>
  <c r="G41" i="11" s="1"/>
  <c r="F40" i="11"/>
  <c r="E41" i="11" l="1"/>
  <c r="C41" i="11"/>
  <c r="H41" i="11"/>
  <c r="I41" i="11"/>
  <c r="D41" i="11"/>
  <c r="B42" i="11"/>
  <c r="E42" i="11" s="1"/>
  <c r="F41" i="11"/>
  <c r="I42" i="11" l="1"/>
  <c r="B43" i="11"/>
  <c r="D43" i="11" s="1"/>
  <c r="D42" i="11"/>
  <c r="C42" i="11"/>
  <c r="G42" i="11"/>
  <c r="H42" i="11"/>
  <c r="F42" i="11"/>
  <c r="E43" i="11" l="1"/>
  <c r="B44" i="11"/>
  <c r="F44" i="11" s="1"/>
  <c r="I43" i="11"/>
  <c r="H43" i="11"/>
  <c r="C43" i="11"/>
  <c r="G43" i="11"/>
  <c r="F43" i="11"/>
  <c r="G44" i="11" l="1"/>
  <c r="I44" i="11"/>
  <c r="C44" i="11"/>
  <c r="E44" i="11"/>
  <c r="B45" i="11"/>
  <c r="D45" i="11" s="1"/>
  <c r="H44" i="11"/>
  <c r="D44" i="11"/>
  <c r="E45" i="11" l="1"/>
  <c r="F45" i="11"/>
  <c r="B46" i="11"/>
  <c r="F46" i="11" s="1"/>
  <c r="I45" i="11"/>
  <c r="H45" i="11"/>
  <c r="C45" i="11"/>
  <c r="G45" i="11"/>
  <c r="D46" i="11" l="1"/>
  <c r="B47" i="11"/>
  <c r="I47" i="11" s="1"/>
  <c r="C46" i="11"/>
  <c r="E46" i="11"/>
  <c r="G46" i="11"/>
  <c r="H46" i="11"/>
  <c r="I46" i="11"/>
  <c r="C47" i="11" l="1"/>
  <c r="B48" i="11"/>
  <c r="F48" i="11" s="1"/>
  <c r="H47" i="11"/>
  <c r="D47" i="11"/>
  <c r="G47" i="11"/>
  <c r="E47" i="11"/>
  <c r="F47" i="11"/>
  <c r="D48" i="11" l="1"/>
  <c r="H48" i="11"/>
  <c r="I48" i="11"/>
  <c r="B49" i="11"/>
  <c r="G49" i="11" s="1"/>
  <c r="G48" i="11"/>
  <c r="C48" i="11"/>
  <c r="E48" i="11"/>
  <c r="F49" i="11" l="1"/>
  <c r="B50" i="11"/>
  <c r="F50" i="11" s="1"/>
  <c r="E49" i="11"/>
  <c r="C49" i="11"/>
  <c r="H49" i="11"/>
  <c r="I49" i="11"/>
  <c r="D49" i="11"/>
  <c r="B51" i="11"/>
  <c r="B52" i="11" s="1"/>
  <c r="C50" i="11" l="1"/>
  <c r="G50" i="11"/>
  <c r="D50" i="11"/>
  <c r="I50" i="11"/>
  <c r="E50" i="11"/>
  <c r="H50" i="11"/>
  <c r="C52" i="11"/>
  <c r="F52" i="11"/>
  <c r="I52" i="11"/>
  <c r="D52" i="11"/>
  <c r="E52" i="11"/>
  <c r="H52" i="11"/>
  <c r="G52" i="11"/>
  <c r="B53" i="11"/>
  <c r="B54" i="11" s="1"/>
  <c r="I51" i="11"/>
  <c r="E51" i="11"/>
  <c r="F51" i="11"/>
  <c r="G51" i="11"/>
  <c r="C51" i="11"/>
  <c r="D51" i="11"/>
  <c r="H51" i="11"/>
  <c r="C54" i="11" l="1"/>
  <c r="H54" i="11"/>
  <c r="D54" i="11"/>
  <c r="E54" i="11"/>
  <c r="I54" i="11"/>
  <c r="F54" i="11"/>
  <c r="G54" i="11"/>
  <c r="B55" i="11"/>
  <c r="E53" i="11"/>
  <c r="D53" i="11"/>
  <c r="I53" i="11"/>
  <c r="H53" i="11"/>
  <c r="G53" i="11"/>
  <c r="F53" i="11"/>
  <c r="C53" i="11"/>
  <c r="B56" i="11" l="1"/>
  <c r="B57" i="11" s="1"/>
  <c r="C55" i="11"/>
  <c r="I55" i="11"/>
  <c r="D55" i="11"/>
  <c r="H55" i="11"/>
  <c r="E55" i="11"/>
  <c r="G55" i="11"/>
  <c r="F55" i="11"/>
  <c r="D56" i="11" l="1"/>
  <c r="G56" i="11"/>
  <c r="F56" i="11"/>
  <c r="E56" i="11"/>
  <c r="C56" i="11"/>
  <c r="I56" i="11"/>
  <c r="H57" i="11"/>
  <c r="E57" i="11"/>
  <c r="D57" i="11"/>
  <c r="G57" i="11"/>
  <c r="C57" i="11"/>
  <c r="F57" i="11"/>
  <c r="I57" i="11"/>
  <c r="H56" i="11"/>
  <c r="B58" i="11"/>
  <c r="B59" i="11" s="1"/>
  <c r="B60" i="11" s="1"/>
  <c r="C60" i="11" s="1"/>
  <c r="G58" i="11" l="1"/>
  <c r="D58" i="11"/>
  <c r="E58" i="11"/>
  <c r="C59" i="11"/>
  <c r="I59" i="11"/>
  <c r="C58" i="11"/>
  <c r="B61" i="11"/>
  <c r="B62" i="11" s="1"/>
  <c r="D62" i="11" s="1"/>
  <c r="D60" i="11"/>
  <c r="E59" i="11"/>
  <c r="F60" i="11"/>
  <c r="F59" i="11"/>
  <c r="H60" i="11"/>
  <c r="H58" i="11"/>
  <c r="H59" i="11"/>
  <c r="D59" i="11"/>
  <c r="G60" i="11"/>
  <c r="I58" i="11"/>
  <c r="E60" i="11"/>
  <c r="I60" i="11"/>
  <c r="G59" i="11"/>
  <c r="F58" i="11"/>
  <c r="I61" i="11" l="1"/>
  <c r="E62" i="11"/>
  <c r="D61" i="11"/>
  <c r="F62" i="11"/>
  <c r="E61" i="11"/>
  <c r="H62" i="11"/>
  <c r="B63" i="11"/>
  <c r="E63" i="11" s="1"/>
  <c r="C62" i="11"/>
  <c r="F61" i="11"/>
  <c r="I62" i="11"/>
  <c r="G61" i="11"/>
  <c r="C61" i="11"/>
  <c r="H61" i="11"/>
  <c r="G62" i="11"/>
  <c r="H63" i="11" l="1"/>
  <c r="I63" i="11"/>
  <c r="G63" i="11"/>
  <c r="F63" i="11"/>
  <c r="B64" i="11"/>
  <c r="G64" i="11" s="1"/>
  <c r="D63" i="11"/>
  <c r="C63" i="11"/>
  <c r="B65" i="11" l="1"/>
  <c r="H65" i="11" s="1"/>
  <c r="C64" i="11"/>
  <c r="I64" i="11"/>
  <c r="E64" i="11"/>
  <c r="F64" i="11"/>
  <c r="D64" i="11"/>
  <c r="H64" i="11"/>
  <c r="F65" i="11" l="1"/>
  <c r="I65" i="11"/>
  <c r="E65" i="11"/>
  <c r="D65" i="11"/>
  <c r="G65" i="11"/>
  <c r="B66" i="11"/>
  <c r="F66" i="11" s="1"/>
  <c r="C65" i="11"/>
  <c r="B67" i="11" l="1"/>
  <c r="B68" i="11" s="1"/>
  <c r="C68" i="11" s="1"/>
  <c r="E66" i="11"/>
  <c r="D66" i="11"/>
  <c r="C66" i="11"/>
  <c r="G66" i="11"/>
  <c r="I66" i="11"/>
  <c r="H66" i="11"/>
  <c r="E67" i="11" l="1"/>
  <c r="B69" i="11"/>
  <c r="E69" i="11" s="1"/>
  <c r="G67" i="11"/>
  <c r="D67" i="11"/>
  <c r="H67" i="11"/>
  <c r="C67" i="11"/>
  <c r="F67" i="11"/>
  <c r="I67" i="11"/>
  <c r="F68" i="11"/>
  <c r="H68" i="11"/>
  <c r="E68" i="11"/>
  <c r="G68" i="11"/>
  <c r="D68" i="11"/>
  <c r="I68" i="11"/>
  <c r="B70" i="11"/>
  <c r="G69" i="11" l="1"/>
  <c r="C69" i="11"/>
  <c r="I69" i="11"/>
  <c r="H69" i="11"/>
  <c r="D69" i="11"/>
  <c r="F69" i="11"/>
  <c r="F70" i="11"/>
  <c r="H70" i="11"/>
  <c r="E70" i="11"/>
  <c r="C70" i="11"/>
  <c r="D70" i="11"/>
  <c r="I70" i="11"/>
  <c r="G70" i="11"/>
  <c r="B71" i="11"/>
  <c r="G71" i="11" l="1"/>
  <c r="I71" i="11"/>
  <c r="H71" i="11"/>
  <c r="D71" i="11"/>
  <c r="F71" i="11"/>
  <c r="E71" i="11"/>
  <c r="C71" i="11"/>
  <c r="B72" i="11"/>
  <c r="H72" i="11" l="1"/>
  <c r="E72" i="11"/>
  <c r="C72" i="11"/>
  <c r="D72" i="11"/>
  <c r="I72" i="11"/>
  <c r="F72" i="11"/>
  <c r="G72" i="11"/>
  <c r="B73" i="11"/>
  <c r="D73" i="11" l="1"/>
  <c r="I73" i="11"/>
  <c r="F73" i="11"/>
  <c r="C73" i="11"/>
  <c r="E73" i="11"/>
  <c r="G73" i="11"/>
  <c r="H73" i="11"/>
  <c r="B74" i="11"/>
  <c r="C74" i="11" l="1"/>
  <c r="G74" i="11"/>
  <c r="H74" i="11"/>
  <c r="F74" i="11"/>
  <c r="I74" i="11"/>
  <c r="D74" i="11"/>
  <c r="E74" i="11"/>
  <c r="B75" i="11"/>
  <c r="D75" i="11" l="1"/>
  <c r="H75" i="11"/>
  <c r="E75" i="11"/>
  <c r="I75" i="11"/>
  <c r="C75" i="11"/>
  <c r="F75" i="11"/>
  <c r="G75" i="11"/>
  <c r="B76" i="11"/>
  <c r="E76" i="11" l="1"/>
  <c r="H76" i="11"/>
  <c r="F76" i="11"/>
  <c r="G76" i="11"/>
  <c r="C76" i="11"/>
  <c r="D76" i="11"/>
  <c r="I76" i="11"/>
  <c r="B77" i="11"/>
  <c r="C77" i="11" l="1"/>
  <c r="E77" i="11"/>
  <c r="F77" i="11"/>
  <c r="H77" i="11"/>
  <c r="I77" i="11"/>
  <c r="D77" i="11"/>
  <c r="G77" i="11"/>
  <c r="B78" i="11"/>
  <c r="I78" i="11" l="1"/>
  <c r="G78" i="11"/>
  <c r="H78" i="11"/>
  <c r="C78" i="11"/>
  <c r="F78" i="11"/>
  <c r="D78" i="11"/>
  <c r="E78" i="11"/>
  <c r="B79" i="11"/>
  <c r="E79" i="11" l="1"/>
  <c r="F79" i="11"/>
  <c r="I79" i="11"/>
  <c r="H79" i="11"/>
  <c r="G79" i="11"/>
  <c r="D79" i="11"/>
  <c r="C79" i="11"/>
  <c r="B80" i="11"/>
  <c r="C80" i="11" l="1"/>
  <c r="H80" i="11"/>
  <c r="I80" i="11"/>
  <c r="E80" i="11"/>
  <c r="F80" i="11"/>
  <c r="G80" i="11"/>
  <c r="D80" i="11"/>
  <c r="B81" i="11"/>
  <c r="E81" i="11" l="1"/>
  <c r="C81" i="11"/>
  <c r="H81" i="11"/>
  <c r="D81" i="11"/>
  <c r="G81" i="11"/>
  <c r="F81" i="11"/>
  <c r="I81" i="11"/>
  <c r="B82" i="11"/>
  <c r="D82" i="11" l="1"/>
  <c r="I82" i="11"/>
  <c r="F82" i="11"/>
  <c r="G82" i="11"/>
  <c r="C82" i="11"/>
  <c r="H82" i="11"/>
  <c r="E82" i="11"/>
  <c r="B83" i="11"/>
  <c r="E83" i="11" l="1"/>
  <c r="G83" i="11"/>
  <c r="I83" i="11"/>
  <c r="F83" i="11"/>
  <c r="C83" i="11"/>
  <c r="H83" i="11"/>
  <c r="D83" i="11"/>
  <c r="B84" i="11"/>
  <c r="I84" i="11" l="1"/>
  <c r="D84" i="11"/>
  <c r="F84" i="11"/>
  <c r="E84" i="11"/>
  <c r="G84" i="11"/>
  <c r="H84" i="11"/>
  <c r="C84" i="11"/>
  <c r="B85" i="11"/>
  <c r="F85" i="11" l="1"/>
  <c r="E85" i="11"/>
  <c r="D85" i="11"/>
  <c r="H85" i="11"/>
  <c r="I85" i="11"/>
  <c r="C85" i="11"/>
  <c r="G85" i="11"/>
  <c r="B86" i="11"/>
  <c r="H86" i="11" l="1"/>
  <c r="I86" i="11"/>
  <c r="F86" i="11"/>
  <c r="D86" i="11"/>
  <c r="G86" i="11"/>
  <c r="C86" i="11"/>
  <c r="E86" i="11"/>
  <c r="B87" i="11"/>
  <c r="H87" i="11" l="1"/>
  <c r="D87" i="11"/>
  <c r="I87" i="11"/>
  <c r="C87" i="11"/>
  <c r="F87" i="11"/>
  <c r="G87" i="11"/>
  <c r="E87" i="11"/>
  <c r="B88" i="11"/>
  <c r="I88" i="11" l="1"/>
  <c r="D88" i="11"/>
  <c r="E88" i="11"/>
  <c r="C88" i="11"/>
  <c r="G88" i="11"/>
  <c r="F88" i="11"/>
  <c r="H88" i="11"/>
  <c r="B89" i="11"/>
  <c r="C89" i="11" l="1"/>
  <c r="G89" i="11"/>
  <c r="F89" i="11"/>
  <c r="I89" i="11"/>
  <c r="H89" i="11"/>
  <c r="D89" i="11"/>
  <c r="E89" i="11"/>
  <c r="B90" i="11"/>
  <c r="F90" i="11" l="1"/>
  <c r="C90" i="11"/>
  <c r="E90" i="11"/>
  <c r="I90" i="11"/>
  <c r="H90" i="11"/>
  <c r="D90" i="11"/>
  <c r="G90" i="11"/>
  <c r="B91" i="11"/>
  <c r="F91" i="11" l="1"/>
  <c r="E91" i="11"/>
  <c r="H91" i="11"/>
  <c r="C91" i="11"/>
  <c r="I91" i="11"/>
  <c r="G91" i="11"/>
  <c r="D91" i="11"/>
  <c r="B92" i="11"/>
  <c r="F92" i="11" l="1"/>
  <c r="D92" i="11"/>
  <c r="E92" i="11"/>
  <c r="C92" i="11"/>
  <c r="H92" i="11"/>
  <c r="I92" i="11"/>
  <c r="G92" i="11"/>
  <c r="B93" i="11"/>
  <c r="C93" i="11" l="1"/>
  <c r="D93" i="11"/>
  <c r="F93" i="11"/>
  <c r="I93" i="11"/>
  <c r="G93" i="11"/>
  <c r="H93" i="11"/>
  <c r="E93" i="11"/>
  <c r="B94" i="11"/>
  <c r="I94" i="11" l="1"/>
  <c r="F94" i="11"/>
  <c r="H94" i="11"/>
  <c r="D94" i="11"/>
  <c r="C94" i="11"/>
  <c r="E94" i="11"/>
  <c r="G94" i="11"/>
  <c r="B95" i="11"/>
  <c r="E95" i="11" l="1"/>
  <c r="C95" i="11"/>
  <c r="F95" i="11"/>
  <c r="D95" i="11"/>
  <c r="G95" i="11"/>
  <c r="I95" i="11"/>
  <c r="H95" i="11"/>
  <c r="B96" i="11"/>
  <c r="I96" i="11" l="1"/>
  <c r="H96" i="11"/>
  <c r="D96" i="11"/>
  <c r="G96" i="11"/>
  <c r="C96" i="11"/>
  <c r="E96" i="11"/>
  <c r="F96" i="11"/>
  <c r="B97" i="11"/>
  <c r="I97" i="11" l="1"/>
  <c r="H97" i="11"/>
  <c r="C97" i="11"/>
  <c r="F97" i="11"/>
  <c r="G97" i="11"/>
  <c r="E97" i="11"/>
  <c r="D97" i="11"/>
  <c r="B98" i="11"/>
  <c r="F98" i="11" l="1"/>
  <c r="H98" i="11"/>
  <c r="C98" i="11"/>
  <c r="G98" i="11"/>
  <c r="E98" i="11"/>
  <c r="D98" i="11"/>
  <c r="I98" i="11"/>
  <c r="B99" i="11"/>
  <c r="I99" i="11" l="1"/>
  <c r="G99" i="11"/>
  <c r="E99" i="11"/>
  <c r="C99" i="11"/>
  <c r="H99" i="11"/>
  <c r="D99" i="11"/>
  <c r="F99" i="11"/>
  <c r="B100" i="11"/>
  <c r="F100" i="11" l="1"/>
  <c r="C100" i="11"/>
  <c r="H100" i="11"/>
  <c r="D100" i="11"/>
  <c r="G100" i="11"/>
  <c r="E100" i="11"/>
  <c r="I100" i="11"/>
  <c r="B101" i="11"/>
  <c r="I101" i="11" l="1"/>
  <c r="E101" i="11"/>
  <c r="C101" i="11"/>
  <c r="F101" i="11"/>
  <c r="H101" i="11"/>
  <c r="D101" i="11"/>
  <c r="G101" i="11"/>
  <c r="B102" i="11"/>
  <c r="C102" i="11" l="1"/>
  <c r="G102" i="11"/>
  <c r="F102" i="11"/>
  <c r="H102" i="11"/>
  <c r="I102" i="11"/>
  <c r="D102" i="11"/>
  <c r="E102" i="11"/>
  <c r="B103" i="11"/>
  <c r="I103" i="11" l="1"/>
  <c r="C103" i="11"/>
  <c r="D103" i="11"/>
  <c r="H103" i="11"/>
  <c r="F103" i="11"/>
  <c r="G103" i="11"/>
  <c r="E103" i="11"/>
  <c r="B104" i="11"/>
  <c r="F104" i="11" l="1"/>
  <c r="D104" i="11"/>
  <c r="H104" i="11"/>
  <c r="I104" i="11"/>
  <c r="C104" i="11"/>
  <c r="G104" i="11"/>
  <c r="E104" i="11"/>
  <c r="B105" i="11"/>
  <c r="F105" i="11" l="1"/>
  <c r="G105" i="11"/>
  <c r="I105" i="11"/>
  <c r="D105" i="11"/>
  <c r="E105" i="11"/>
  <c r="H105" i="11"/>
  <c r="C105" i="11"/>
  <c r="B106" i="11"/>
  <c r="I106" i="11" l="1"/>
  <c r="E106" i="11"/>
  <c r="D106" i="11"/>
  <c r="H106" i="11"/>
  <c r="C106" i="11"/>
  <c r="G106" i="11"/>
  <c r="F106" i="11"/>
  <c r="B107" i="11"/>
  <c r="F107" i="11" l="1"/>
  <c r="E107" i="11"/>
  <c r="H107" i="11"/>
  <c r="I107" i="11"/>
  <c r="D107" i="11"/>
  <c r="C107" i="11"/>
  <c r="G107" i="11"/>
  <c r="B108" i="11"/>
  <c r="E108" i="11" l="1"/>
  <c r="C108" i="11"/>
  <c r="I108" i="11"/>
  <c r="F108" i="11"/>
  <c r="G108" i="11"/>
  <c r="H108" i="11"/>
  <c r="D108" i="11"/>
  <c r="B109" i="11"/>
  <c r="C109" i="11" l="1"/>
  <c r="E109" i="11"/>
  <c r="D109" i="11"/>
  <c r="I109" i="11"/>
  <c r="H109" i="11"/>
  <c r="G109" i="11"/>
  <c r="F109" i="11"/>
  <c r="B110" i="11"/>
  <c r="H110" i="11" l="1"/>
  <c r="G110" i="11"/>
  <c r="F110" i="11"/>
  <c r="I110" i="11"/>
  <c r="C110" i="11"/>
  <c r="E110" i="11"/>
  <c r="D110" i="11"/>
  <c r="B111" i="11"/>
  <c r="I111" i="11" l="1"/>
  <c r="F111" i="11"/>
  <c r="C111" i="11"/>
  <c r="G111" i="11"/>
  <c r="H111" i="11"/>
  <c r="D111" i="11"/>
  <c r="E111" i="11"/>
  <c r="B112" i="11"/>
  <c r="G112" i="11" l="1"/>
  <c r="F112" i="11"/>
  <c r="E112" i="11"/>
  <c r="H112" i="11"/>
  <c r="D112" i="11"/>
  <c r="I112" i="11"/>
  <c r="C112" i="11"/>
  <c r="B113" i="11"/>
  <c r="E113" i="11" l="1"/>
  <c r="I113" i="11"/>
  <c r="D113" i="11"/>
  <c r="G113" i="11"/>
  <c r="C113" i="11"/>
  <c r="H113" i="11"/>
  <c r="F113" i="11"/>
  <c r="B114" i="11"/>
  <c r="F114" i="11" l="1"/>
  <c r="E114" i="11"/>
  <c r="D114" i="11"/>
  <c r="C114" i="11"/>
  <c r="G114" i="11"/>
  <c r="I114" i="11"/>
  <c r="H114" i="11"/>
  <c r="C154" i="13" l="1"/>
  <c r="C155" i="13" s="1"/>
  <c r="B104" i="13"/>
  <c r="C100" i="13"/>
  <c r="E225" i="13" s="1"/>
  <c r="B225" i="13"/>
  <c r="B77" i="13"/>
  <c r="E191" i="8"/>
  <c r="B249" i="13"/>
  <c r="B244" i="13"/>
  <c r="G38" i="1"/>
  <c r="B79" i="13"/>
  <c r="G37" i="1"/>
  <c r="B86" i="13"/>
  <c r="E194" i="8"/>
  <c r="B226" i="13"/>
  <c r="H122" i="4"/>
  <c r="F224" i="13"/>
  <c r="B80" i="13"/>
  <c r="C29" i="13"/>
  <c r="C113" i="13"/>
  <c r="C151" i="13"/>
  <c r="C114" i="13"/>
  <c r="I188" i="13" l="1"/>
  <c r="G113" i="1" s="1"/>
  <c r="K52" i="2"/>
  <c r="K53" i="2"/>
  <c r="C157" i="13"/>
  <c r="C160" i="13" s="1"/>
  <c r="C25" i="13"/>
  <c r="C28" i="13" s="1"/>
  <c r="C236" i="13"/>
  <c r="C132" i="13" l="1"/>
  <c r="D253" i="13" s="1"/>
  <c r="I175" i="13"/>
  <c r="B264" i="13"/>
  <c r="B152" i="1"/>
  <c r="I190" i="13"/>
  <c r="B117" i="1"/>
  <c r="B263" i="13"/>
  <c r="I176" i="13"/>
  <c r="D225" i="13"/>
  <c r="W138" i="12"/>
  <c r="I184" i="13"/>
  <c r="B124" i="1"/>
  <c r="C225" i="13"/>
  <c r="F191" i="8"/>
  <c r="F194" i="8"/>
  <c r="I65" i="13"/>
  <c r="I63" i="13"/>
  <c r="I177" i="13" l="1"/>
  <c r="D121" i="13"/>
  <c r="I70" i="13"/>
  <c r="C121" i="13"/>
  <c r="I189" i="13"/>
  <c r="D122" i="13" l="1"/>
  <c r="D123" i="13"/>
  <c r="K37" i="2"/>
  <c r="C153" i="13"/>
  <c r="C123" i="13"/>
  <c r="C122" i="13"/>
  <c r="P9" i="2"/>
  <c r="P15" i="2"/>
  <c r="P21" i="2"/>
  <c r="P19" i="2"/>
  <c r="P5" i="2"/>
  <c r="P6" i="2"/>
  <c r="P13" i="2"/>
  <c r="P18" i="2"/>
  <c r="P11" i="2"/>
  <c r="P17" i="2"/>
  <c r="P14" i="2"/>
  <c r="P16" i="2"/>
  <c r="P8" i="2"/>
  <c r="P7" i="2"/>
  <c r="P10" i="2"/>
  <c r="P12" i="2"/>
  <c r="I108" i="13" l="1"/>
  <c r="I109" i="13" s="1"/>
  <c r="I110" i="13" s="1"/>
  <c r="I157" i="13"/>
  <c r="B138" i="1"/>
  <c r="G137" i="1"/>
  <c r="E135" i="1"/>
  <c r="D135" i="1"/>
  <c r="C169" i="13"/>
  <c r="B137" i="1"/>
  <c r="C135" i="1"/>
  <c r="G138" i="1"/>
  <c r="I162" i="13"/>
  <c r="B139" i="1"/>
  <c r="C163" i="13"/>
  <c r="C196" i="13" s="1"/>
  <c r="I193" i="13" l="1"/>
  <c r="C179" i="13"/>
  <c r="C166" i="13"/>
  <c r="I149" i="13"/>
  <c r="C62" i="13" l="1"/>
  <c r="C63" i="13" s="1"/>
  <c r="C112" i="13"/>
  <c r="I11" i="4" s="1"/>
  <c r="E117" i="4" s="1"/>
  <c r="I6" i="4" l="1"/>
  <c r="C110" i="4" l="1"/>
  <c r="B277" i="13" l="1"/>
  <c r="J122" i="4"/>
  <c r="I122" i="4"/>
  <c r="C110" i="13"/>
  <c r="C111" i="13"/>
  <c r="B132" i="8"/>
  <c r="B77" i="8"/>
  <c r="B126" i="1"/>
  <c r="K122" i="4"/>
  <c r="B76" i="8"/>
  <c r="C160" i="8"/>
  <c r="B131" i="8"/>
  <c r="C165" i="8"/>
  <c r="B119" i="1"/>
  <c r="B74" i="8"/>
  <c r="B78" i="8"/>
  <c r="B79" i="8"/>
  <c r="B75" i="8"/>
  <c r="B72" i="8"/>
  <c r="B73" i="8"/>
  <c r="B115" i="4"/>
  <c r="I87" i="13" l="1"/>
  <c r="I151" i="13"/>
  <c r="I89" i="13"/>
  <c r="D12" i="16" s="1"/>
  <c r="I92" i="13"/>
  <c r="C165" i="13"/>
  <c r="C227" i="13"/>
  <c r="C211" i="13"/>
  <c r="C175" i="13"/>
  <c r="C115" i="13"/>
  <c r="I96" i="13"/>
  <c r="C226" i="13" s="1"/>
  <c r="C233" i="1" s="1"/>
  <c r="C37" i="16"/>
  <c r="C52" i="16"/>
  <c r="I150" i="13"/>
  <c r="E188" i="8" l="1"/>
  <c r="E152" i="8"/>
  <c r="E259" i="13"/>
  <c r="E143" i="8"/>
  <c r="I68" i="13"/>
  <c r="I62" i="13"/>
  <c r="I66" i="13"/>
  <c r="I64" i="13"/>
  <c r="C109" i="13" s="1"/>
  <c r="C228" i="13"/>
  <c r="I88" i="13"/>
  <c r="C12" i="16" s="1"/>
  <c r="C216" i="13"/>
  <c r="E256" i="13" s="1"/>
  <c r="C11" i="16"/>
  <c r="C131" i="13" l="1"/>
  <c r="B149" i="8"/>
  <c r="I50" i="13" l="1"/>
  <c r="I53" i="13" s="1"/>
  <c r="I56" i="13" s="1"/>
  <c r="F50" i="13" s="1"/>
  <c r="I24" i="13"/>
  <c r="I27" i="13" s="1"/>
  <c r="I30" i="13" s="1"/>
  <c r="F48" i="13" s="1"/>
  <c r="C50" i="13"/>
  <c r="C53" i="13" s="1"/>
  <c r="C56" i="13" s="1"/>
  <c r="F49" i="13" s="1"/>
  <c r="C24" i="13"/>
  <c r="C27" i="13" s="1"/>
  <c r="C30" i="13" s="1"/>
  <c r="F47" i="13" l="1"/>
  <c r="F51" i="13" s="1"/>
  <c r="C235" i="13"/>
  <c r="I31" i="13"/>
  <c r="D235" i="13"/>
  <c r="I57" i="13"/>
  <c r="F235" i="13"/>
  <c r="C57" i="13"/>
  <c r="E235" i="13"/>
  <c r="C31" i="13"/>
  <c r="F56" i="13" l="1"/>
  <c r="F59" i="13"/>
  <c r="F57" i="13"/>
  <c r="F58" i="13"/>
  <c r="I32" i="13"/>
  <c r="I33" i="13"/>
  <c r="I58" i="13"/>
  <c r="I59" i="13"/>
  <c r="C59" i="13"/>
  <c r="C58" i="13"/>
  <c r="C32" i="13"/>
  <c r="C33" i="13"/>
  <c r="I74" i="13" l="1"/>
  <c r="C74" i="8" l="1"/>
  <c r="C98" i="8" s="1"/>
  <c r="D74" i="8"/>
  <c r="C75" i="8"/>
  <c r="C100" i="8" s="1"/>
  <c r="D75" i="8"/>
  <c r="E75" i="8" l="1"/>
  <c r="E100" i="8" s="1"/>
  <c r="D100" i="8"/>
  <c r="E74" i="8"/>
  <c r="E98" i="8" s="1"/>
  <c r="D98" i="8"/>
  <c r="I9" i="4" l="1"/>
  <c r="E116" i="4" s="1"/>
  <c r="J221" i="4" l="1"/>
  <c r="J202" i="4"/>
  <c r="J130" i="4"/>
  <c r="J177" i="4"/>
  <c r="J205" i="4"/>
  <c r="J192" i="4"/>
  <c r="J128" i="4"/>
  <c r="J201" i="4"/>
  <c r="J214" i="4"/>
  <c r="J133" i="4"/>
  <c r="J206" i="4"/>
  <c r="J174" i="4"/>
  <c r="J142" i="4"/>
  <c r="J203" i="4"/>
  <c r="J175" i="4"/>
  <c r="J162" i="4"/>
  <c r="J163" i="4"/>
  <c r="J135" i="4"/>
  <c r="J144" i="4"/>
  <c r="J185" i="4"/>
  <c r="J147" i="4"/>
  <c r="J157" i="4"/>
  <c r="J212" i="4"/>
  <c r="J180" i="4"/>
  <c r="J148" i="4"/>
  <c r="J181" i="4"/>
  <c r="J186" i="4"/>
  <c r="J222" i="4"/>
  <c r="J141" i="4"/>
  <c r="J176" i="4"/>
  <c r="J217" i="4"/>
  <c r="J191" i="4"/>
  <c r="J198" i="4"/>
  <c r="J166" i="4"/>
  <c r="J134" i="4"/>
  <c r="J137" i="4"/>
  <c r="J139" i="4"/>
  <c r="J210" i="4"/>
  <c r="J146" i="4"/>
  <c r="J219" i="4"/>
  <c r="J200" i="4"/>
  <c r="J136" i="4"/>
  <c r="J169" i="4"/>
  <c r="J193" i="4"/>
  <c r="J125" i="4"/>
  <c r="J204" i="4"/>
  <c r="J172" i="4"/>
  <c r="J140" i="4"/>
  <c r="J161" i="4"/>
  <c r="J207" i="4"/>
  <c r="J170" i="4"/>
  <c r="J195" i="4"/>
  <c r="J167" i="4"/>
  <c r="J168" i="4"/>
  <c r="J145" i="4"/>
  <c r="J187" i="4"/>
  <c r="J197" i="4"/>
  <c r="J159" i="4"/>
  <c r="J190" i="4"/>
  <c r="J158" i="4"/>
  <c r="J126" i="4"/>
  <c r="J209" i="4"/>
  <c r="J213" i="4"/>
  <c r="J194" i="4"/>
  <c r="J138" i="4"/>
  <c r="J173" i="4"/>
  <c r="J184" i="4"/>
  <c r="J218" i="4"/>
  <c r="J211" i="4"/>
  <c r="J215" i="4"/>
  <c r="J183" i="4"/>
  <c r="J196" i="4"/>
  <c r="J164" i="4"/>
  <c r="J132" i="4"/>
  <c r="J171" i="4"/>
  <c r="J143" i="4"/>
  <c r="J154" i="4"/>
  <c r="J220" i="4"/>
  <c r="J131" i="4"/>
  <c r="J208" i="4"/>
  <c r="J152" i="4"/>
  <c r="J216" i="4"/>
  <c r="J155" i="4"/>
  <c r="J165" i="4"/>
  <c r="J127" i="4"/>
  <c r="J182" i="4"/>
  <c r="J150" i="4"/>
  <c r="J153" i="4"/>
  <c r="J149" i="4"/>
  <c r="J178" i="4"/>
  <c r="J129" i="4"/>
  <c r="J199" i="4"/>
  <c r="J160" i="4"/>
  <c r="J179" i="4"/>
  <c r="J189" i="4"/>
  <c r="J151" i="4"/>
  <c r="J188" i="4"/>
  <c r="J156" i="4"/>
  <c r="J123" i="4" l="1"/>
  <c r="J124" i="4" l="1"/>
  <c r="J223" i="4" s="1"/>
  <c r="J225" i="4" l="1"/>
  <c r="I98" i="13" l="1"/>
  <c r="D11" i="16" l="1"/>
  <c r="E9" i="12"/>
  <c r="H133" i="12" s="1"/>
  <c r="C82" i="13"/>
  <c r="C83" i="13" l="1"/>
  <c r="F68" i="13" s="1"/>
  <c r="I185" i="13"/>
  <c r="F62" i="13"/>
  <c r="C75" i="13" s="1"/>
  <c r="F67" i="13" l="1"/>
  <c r="F69" i="13"/>
  <c r="C64" i="13"/>
  <c r="C65" i="13" s="1"/>
  <c r="I7" i="4"/>
  <c r="E114" i="4" s="1"/>
  <c r="E113" i="4"/>
  <c r="I191" i="13"/>
  <c r="I75" i="13"/>
  <c r="F66" i="13"/>
  <c r="C74" i="13" l="1"/>
  <c r="I76" i="13"/>
  <c r="C76" i="13" l="1"/>
  <c r="C81" i="13" s="1"/>
  <c r="I172" i="13"/>
  <c r="I78" i="13"/>
  <c r="I79" i="13" s="1"/>
  <c r="I77" i="13"/>
  <c r="C77" i="13" l="1"/>
  <c r="C78" i="13" s="1"/>
  <c r="C80" i="13" s="1"/>
  <c r="C71" i="13"/>
  <c r="D232" i="13" s="1"/>
  <c r="D117" i="1"/>
  <c r="C72" i="13"/>
  <c r="E232" i="13" s="1"/>
  <c r="D124" i="1"/>
  <c r="C73" i="13"/>
  <c r="F232" i="13" s="1"/>
  <c r="C70" i="13"/>
  <c r="C38" i="8"/>
  <c r="C42" i="8" s="1"/>
  <c r="C37" i="8"/>
  <c r="C41" i="8" s="1"/>
  <c r="C35" i="8"/>
  <c r="C36" i="8"/>
  <c r="C40" i="8" s="1"/>
  <c r="C79" i="13" l="1"/>
  <c r="G153" i="1" s="1"/>
  <c r="C232" i="13"/>
  <c r="I103" i="13"/>
  <c r="I104" i="13" s="1"/>
  <c r="H275" i="13" s="1"/>
  <c r="D73" i="8"/>
  <c r="C73" i="8"/>
  <c r="D72" i="8"/>
  <c r="C72" i="8"/>
  <c r="C94" i="8" s="1"/>
  <c r="C87" i="13" l="1"/>
  <c r="D119" i="13" s="1"/>
  <c r="C202" i="13" s="1"/>
  <c r="C152" i="13"/>
  <c r="I112" i="13"/>
  <c r="I171" i="13" s="1" a="1"/>
  <c r="I171" i="13" s="1"/>
  <c r="I8" i="4"/>
  <c r="E115" i="4" s="1"/>
  <c r="E119" i="4" s="1"/>
  <c r="C156" i="13"/>
  <c r="C158" i="13" s="1"/>
  <c r="C86" i="13"/>
  <c r="C95" i="13" s="1"/>
  <c r="B226" i="4"/>
  <c r="I105" i="13"/>
  <c r="I106" i="13" s="1"/>
  <c r="D94" i="8"/>
  <c r="E72" i="8"/>
  <c r="E94" i="8" s="1"/>
  <c r="C96" i="8"/>
  <c r="E73" i="8"/>
  <c r="E96" i="8" s="1"/>
  <c r="D96" i="8"/>
  <c r="D141" i="8" l="1"/>
  <c r="D67" i="12"/>
  <c r="E67" i="12" s="1"/>
  <c r="D60" i="12"/>
  <c r="D36" i="12" s="1"/>
  <c r="D54" i="12"/>
  <c r="D45" i="12"/>
  <c r="D21" i="12" s="1"/>
  <c r="D44" i="12"/>
  <c r="E44" i="12" s="1"/>
  <c r="D49" i="12"/>
  <c r="C92" i="13"/>
  <c r="D50" i="12"/>
  <c r="E50" i="12" s="1"/>
  <c r="D66" i="12"/>
  <c r="C159" i="13"/>
  <c r="D48" i="12"/>
  <c r="D24" i="12" s="1"/>
  <c r="D58" i="12"/>
  <c r="E58" i="12" s="1"/>
  <c r="C93" i="13"/>
  <c r="D61" i="12"/>
  <c r="D37" i="12" s="1"/>
  <c r="I117" i="13"/>
  <c r="D59" i="12"/>
  <c r="E59" i="12" s="1"/>
  <c r="D46" i="12"/>
  <c r="D22" i="12" s="1"/>
  <c r="D52" i="12"/>
  <c r="D64" i="12"/>
  <c r="D62" i="12"/>
  <c r="D57" i="12"/>
  <c r="E57" i="12" s="1"/>
  <c r="E141" i="8"/>
  <c r="D56" i="12"/>
  <c r="D53" i="12"/>
  <c r="E53" i="12" s="1"/>
  <c r="D65" i="12"/>
  <c r="F66" i="12" s="1"/>
  <c r="D55" i="12"/>
  <c r="D47" i="12"/>
  <c r="C141" i="8"/>
  <c r="I154" i="13" s="1"/>
  <c r="D51" i="12"/>
  <c r="D27" i="12" s="1"/>
  <c r="D63" i="12"/>
  <c r="I120" i="13"/>
  <c r="I115" i="13"/>
  <c r="C94" i="13"/>
  <c r="I127" i="13" s="1"/>
  <c r="C119" i="13"/>
  <c r="C120" i="13" s="1"/>
  <c r="D201" i="13" s="1"/>
  <c r="C88" i="13"/>
  <c r="C89" i="13" s="1"/>
  <c r="C90" i="13"/>
  <c r="C91" i="13"/>
  <c r="D120" i="13"/>
  <c r="D202" i="13" s="1"/>
  <c r="E54" i="12"/>
  <c r="I91" i="13"/>
  <c r="I128" i="13"/>
  <c r="I159" i="13"/>
  <c r="E66" i="12"/>
  <c r="E45" i="12" l="1"/>
  <c r="D207" i="13"/>
  <c r="F67" i="12"/>
  <c r="D42" i="12"/>
  <c r="E65" i="12"/>
  <c r="F45" i="12"/>
  <c r="E51" i="12"/>
  <c r="G46" i="12"/>
  <c r="D20" i="12"/>
  <c r="D43" i="12"/>
  <c r="J48" i="12" s="1"/>
  <c r="D33" i="12"/>
  <c r="D41" i="12"/>
  <c r="E60" i="12"/>
  <c r="G67" i="12"/>
  <c r="F57" i="12"/>
  <c r="F60" i="12"/>
  <c r="F52" i="12"/>
  <c r="F54" i="12"/>
  <c r="D29" i="12"/>
  <c r="I116" i="13"/>
  <c r="I118" i="13" s="1"/>
  <c r="I53" i="12"/>
  <c r="I90" i="13"/>
  <c r="D35" i="12"/>
  <c r="D26" i="12"/>
  <c r="F51" i="12"/>
  <c r="E56" i="12"/>
  <c r="J55" i="12"/>
  <c r="I56" i="12"/>
  <c r="I119" i="13"/>
  <c r="I122" i="13" s="1"/>
  <c r="L56" i="12"/>
  <c r="D30" i="12"/>
  <c r="F50" i="12"/>
  <c r="I57" i="12"/>
  <c r="G54" i="12"/>
  <c r="F53" i="12"/>
  <c r="D25" i="12"/>
  <c r="G61" i="12"/>
  <c r="H53" i="12"/>
  <c r="F61" i="12"/>
  <c r="E61" i="12"/>
  <c r="E49" i="12"/>
  <c r="K56" i="12"/>
  <c r="K57" i="12"/>
  <c r="G51" i="12"/>
  <c r="G62" i="12"/>
  <c r="D32" i="12"/>
  <c r="F49" i="12"/>
  <c r="H52" i="12"/>
  <c r="I51" i="12"/>
  <c r="G66" i="12"/>
  <c r="H57" i="12"/>
  <c r="H54" i="12"/>
  <c r="G52" i="12"/>
  <c r="K65" i="12"/>
  <c r="M60" i="12"/>
  <c r="F64" i="12"/>
  <c r="F62" i="12"/>
  <c r="E55" i="12"/>
  <c r="C201" i="13"/>
  <c r="E52" i="12"/>
  <c r="I55" i="12"/>
  <c r="K55" i="12"/>
  <c r="L55" i="12"/>
  <c r="E46" i="12"/>
  <c r="C102" i="13"/>
  <c r="G55" i="12"/>
  <c r="D28" i="12"/>
  <c r="J56" i="12"/>
  <c r="F46" i="12"/>
  <c r="J54" i="12"/>
  <c r="J53" i="12"/>
  <c r="H60" i="12"/>
  <c r="H56" i="12"/>
  <c r="J62" i="12"/>
  <c r="G53" i="12"/>
  <c r="M57" i="12"/>
  <c r="I54" i="12"/>
  <c r="F55" i="12"/>
  <c r="I52" i="12"/>
  <c r="F65" i="12"/>
  <c r="I125" i="13"/>
  <c r="J57" i="12"/>
  <c r="H55" i="12"/>
  <c r="E48" i="12"/>
  <c r="L58" i="12"/>
  <c r="E62" i="12"/>
  <c r="P59" i="12"/>
  <c r="F59" i="12"/>
  <c r="I60" i="12"/>
  <c r="J61" i="12"/>
  <c r="L59" i="12"/>
  <c r="H61" i="12"/>
  <c r="D38" i="12"/>
  <c r="G60" i="12"/>
  <c r="Q65" i="12"/>
  <c r="G59" i="12"/>
  <c r="N60" i="12"/>
  <c r="N58" i="12"/>
  <c r="N63" i="12"/>
  <c r="T63" i="12"/>
  <c r="K59" i="12"/>
  <c r="O62" i="12"/>
  <c r="N61" i="12"/>
  <c r="O67" i="12"/>
  <c r="O61" i="12"/>
  <c r="J58" i="12"/>
  <c r="L60" i="12"/>
  <c r="O66" i="12"/>
  <c r="I61" i="12"/>
  <c r="H64" i="12"/>
  <c r="D34" i="12"/>
  <c r="K60" i="12"/>
  <c r="N62" i="12"/>
  <c r="K58" i="12"/>
  <c r="M59" i="12"/>
  <c r="H62" i="12"/>
  <c r="I62" i="12"/>
  <c r="K62" i="12"/>
  <c r="M61" i="12"/>
  <c r="G58" i="12"/>
  <c r="F58" i="12"/>
  <c r="R61" i="12"/>
  <c r="L57" i="12"/>
  <c r="D40" i="12"/>
  <c r="N67" i="12"/>
  <c r="Q60" i="12"/>
  <c r="E64" i="12"/>
  <c r="N59" i="12"/>
  <c r="U66" i="12"/>
  <c r="I58" i="12"/>
  <c r="P62" i="12"/>
  <c r="P60" i="12"/>
  <c r="Q61" i="12"/>
  <c r="O60" i="12"/>
  <c r="M62" i="12"/>
  <c r="K54" i="12"/>
  <c r="R62" i="12"/>
  <c r="O59" i="12"/>
  <c r="M58" i="12"/>
  <c r="L61" i="12"/>
  <c r="N57" i="12"/>
  <c r="P61" i="12"/>
  <c r="J59" i="12"/>
  <c r="G56" i="12"/>
  <c r="S62" i="12"/>
  <c r="I59" i="12"/>
  <c r="J60" i="12"/>
  <c r="H58" i="12"/>
  <c r="M56" i="12"/>
  <c r="M63" i="12"/>
  <c r="Q62" i="12"/>
  <c r="G50" i="12"/>
  <c r="H49" i="12"/>
  <c r="N53" i="12"/>
  <c r="X63" i="12"/>
  <c r="R58" i="12"/>
  <c r="G57" i="12"/>
  <c r="J66" i="12"/>
  <c r="D31" i="12"/>
  <c r="Z67" i="12"/>
  <c r="N55" i="12"/>
  <c r="F56" i="12"/>
  <c r="O58" i="12"/>
  <c r="O65" i="12"/>
  <c r="C104" i="13"/>
  <c r="F17" i="15" s="1"/>
  <c r="M52" i="12"/>
  <c r="H48" i="12"/>
  <c r="G47" i="12"/>
  <c r="M53" i="12"/>
  <c r="Q59" i="12"/>
  <c r="F48" i="12"/>
  <c r="O56" i="12"/>
  <c r="J50" i="12"/>
  <c r="W63" i="12"/>
  <c r="U61" i="12"/>
  <c r="K53" i="12"/>
  <c r="D23" i="12"/>
  <c r="V61" i="12"/>
  <c r="O54" i="12"/>
  <c r="T59" i="12"/>
  <c r="I49" i="12"/>
  <c r="T60" i="12"/>
  <c r="N54" i="12"/>
  <c r="L54" i="12"/>
  <c r="G49" i="12"/>
  <c r="R59" i="12"/>
  <c r="Q56" i="12"/>
  <c r="S58" i="12"/>
  <c r="U60" i="12"/>
  <c r="Q57" i="12"/>
  <c r="R60" i="12"/>
  <c r="J52" i="12"/>
  <c r="I48" i="12"/>
  <c r="J49" i="12"/>
  <c r="K50" i="12"/>
  <c r="K51" i="12"/>
  <c r="V62" i="12"/>
  <c r="L52" i="12"/>
  <c r="T62" i="12"/>
  <c r="M55" i="12"/>
  <c r="R57" i="12"/>
  <c r="L51" i="12"/>
  <c r="O55" i="12"/>
  <c r="P56" i="12"/>
  <c r="O57" i="12"/>
  <c r="U63" i="12"/>
  <c r="P55" i="12"/>
  <c r="W62" i="12"/>
  <c r="S59" i="12"/>
  <c r="H51" i="12"/>
  <c r="P58" i="12"/>
  <c r="T61" i="12"/>
  <c r="K61" i="12"/>
  <c r="P57" i="12"/>
  <c r="G48" i="12"/>
  <c r="U62" i="12"/>
  <c r="E47" i="12"/>
  <c r="L62" i="12"/>
  <c r="J51" i="12"/>
  <c r="K52" i="12"/>
  <c r="H59" i="12"/>
  <c r="H50" i="12"/>
  <c r="M54" i="12"/>
  <c r="N56" i="12"/>
  <c r="S61" i="12"/>
  <c r="L53" i="12"/>
  <c r="F47" i="12"/>
  <c r="S60" i="12"/>
  <c r="Q58" i="12"/>
  <c r="W64" i="12"/>
  <c r="I50" i="12"/>
  <c r="P67" i="12"/>
  <c r="M64" i="12"/>
  <c r="R65" i="12"/>
  <c r="AB67" i="12"/>
  <c r="I63" i="12"/>
  <c r="Q63" i="12"/>
  <c r="S63" i="12"/>
  <c r="D39" i="12"/>
  <c r="G64" i="12"/>
  <c r="U64" i="12"/>
  <c r="M66" i="12"/>
  <c r="S67" i="12"/>
  <c r="Q64" i="12"/>
  <c r="Y64" i="12"/>
  <c r="M67" i="12"/>
  <c r="N66" i="12"/>
  <c r="H67" i="12"/>
  <c r="J67" i="12"/>
  <c r="W65" i="12"/>
  <c r="V63" i="12"/>
  <c r="P63" i="12"/>
  <c r="K63" i="12"/>
  <c r="L67" i="12"/>
  <c r="AA67" i="12"/>
  <c r="V66" i="12"/>
  <c r="G65" i="12"/>
  <c r="T65" i="12"/>
  <c r="Q66" i="12"/>
  <c r="K64" i="12"/>
  <c r="Q67" i="12"/>
  <c r="K66" i="12"/>
  <c r="S65" i="12"/>
  <c r="Z66" i="12"/>
  <c r="X64" i="12"/>
  <c r="U65" i="12"/>
  <c r="S64" i="12"/>
  <c r="R67" i="12"/>
  <c r="K67" i="12"/>
  <c r="V65" i="12"/>
  <c r="W66" i="12"/>
  <c r="Y66" i="12"/>
  <c r="T67" i="12"/>
  <c r="M65" i="12"/>
  <c r="I64" i="12"/>
  <c r="U67" i="12"/>
  <c r="Y65" i="12"/>
  <c r="W67" i="12"/>
  <c r="V67" i="12"/>
  <c r="O64" i="12"/>
  <c r="G63" i="12"/>
  <c r="H66" i="12"/>
  <c r="X67" i="12"/>
  <c r="V64" i="12"/>
  <c r="N64" i="12"/>
  <c r="N65" i="12"/>
  <c r="O63" i="12"/>
  <c r="S66" i="12"/>
  <c r="AA66" i="12"/>
  <c r="Z65" i="12"/>
  <c r="J64" i="12"/>
  <c r="L64" i="12"/>
  <c r="R64" i="12"/>
  <c r="T66" i="12"/>
  <c r="T64" i="12"/>
  <c r="I67" i="12"/>
  <c r="R63" i="12"/>
  <c r="I65" i="12"/>
  <c r="I66" i="12"/>
  <c r="J63" i="12"/>
  <c r="Y67" i="12"/>
  <c r="L63" i="12"/>
  <c r="P64" i="12"/>
  <c r="R66" i="12"/>
  <c r="H63" i="12"/>
  <c r="L66" i="12"/>
  <c r="J65" i="12"/>
  <c r="E63" i="12"/>
  <c r="P65" i="12"/>
  <c r="H65" i="12"/>
  <c r="F63" i="12"/>
  <c r="L65" i="12"/>
  <c r="X66" i="12"/>
  <c r="P66" i="12"/>
  <c r="X65" i="12"/>
  <c r="D205" i="13"/>
  <c r="D206" i="13"/>
  <c r="I126" i="13"/>
  <c r="D214" i="13" l="1"/>
  <c r="C207" i="13"/>
  <c r="Y62" i="12"/>
  <c r="AA64" i="12"/>
  <c r="M51" i="12"/>
  <c r="M50" i="12"/>
  <c r="I47" i="12"/>
  <c r="U58" i="12"/>
  <c r="W61" i="12"/>
  <c r="G44" i="12"/>
  <c r="U59" i="12"/>
  <c r="P52" i="12"/>
  <c r="P54" i="12"/>
  <c r="T57" i="12"/>
  <c r="H47" i="12"/>
  <c r="W60" i="12"/>
  <c r="O52" i="12"/>
  <c r="V59" i="12"/>
  <c r="Q53" i="12"/>
  <c r="AA65" i="12"/>
  <c r="L50" i="12"/>
  <c r="V60" i="12"/>
  <c r="L49" i="12"/>
  <c r="T58" i="12"/>
  <c r="R55" i="12"/>
  <c r="V58" i="12"/>
  <c r="AB66" i="12"/>
  <c r="Z64" i="12"/>
  <c r="Z63" i="12"/>
  <c r="P53" i="12"/>
  <c r="H46" i="12"/>
  <c r="N50" i="12"/>
  <c r="O53" i="12"/>
  <c r="S57" i="12"/>
  <c r="K49" i="12"/>
  <c r="N51" i="12"/>
  <c r="AB65" i="12"/>
  <c r="Q54" i="12"/>
  <c r="S56" i="12"/>
  <c r="G45" i="12"/>
  <c r="X62" i="12"/>
  <c r="Y63" i="12"/>
  <c r="X61" i="12"/>
  <c r="Q55" i="12"/>
  <c r="V57" i="12"/>
  <c r="N52" i="12"/>
  <c r="F44" i="12"/>
  <c r="F72" i="12" s="1"/>
  <c r="K48" i="12"/>
  <c r="I46" i="12"/>
  <c r="J47" i="12"/>
  <c r="R56" i="12"/>
  <c r="K47" i="12"/>
  <c r="U57" i="12"/>
  <c r="T56" i="12"/>
  <c r="Y61" i="12"/>
  <c r="AA63" i="12"/>
  <c r="I45" i="12"/>
  <c r="AB64" i="12"/>
  <c r="M49" i="12"/>
  <c r="L48" i="12"/>
  <c r="Z62" i="12"/>
  <c r="O51" i="12"/>
  <c r="R54" i="12"/>
  <c r="W59" i="12"/>
  <c r="X60" i="12"/>
  <c r="H45" i="12"/>
  <c r="J46" i="12"/>
  <c r="S55" i="12"/>
  <c r="C205" i="13"/>
  <c r="I121" i="13"/>
  <c r="L47" i="12"/>
  <c r="S53" i="12"/>
  <c r="AB57" i="12"/>
  <c r="E72" i="12"/>
  <c r="C206" i="13"/>
  <c r="L44" i="12"/>
  <c r="AB45" i="12"/>
  <c r="D124" i="13"/>
  <c r="D125" i="13" s="1"/>
  <c r="Q46" i="12"/>
  <c r="E142" i="8"/>
  <c r="E176" i="8" s="1"/>
  <c r="E158" i="8" s="1"/>
  <c r="I97" i="13"/>
  <c r="D10" i="16" s="1"/>
  <c r="W52" i="12"/>
  <c r="Y48" i="12"/>
  <c r="AA55" i="12"/>
  <c r="Z45" i="12"/>
  <c r="F16" i="15"/>
  <c r="X52" i="12"/>
  <c r="X47" i="12"/>
  <c r="I111" i="13"/>
  <c r="AA44" i="12"/>
  <c r="Z60" i="12"/>
  <c r="C142" i="8"/>
  <c r="I155" i="13" s="1"/>
  <c r="M45" i="12"/>
  <c r="U53" i="12"/>
  <c r="AB62" i="12"/>
  <c r="C103" i="13"/>
  <c r="I12" i="4"/>
  <c r="W46" i="12"/>
  <c r="C136" i="13"/>
  <c r="Y57" i="12"/>
  <c r="D142" i="8"/>
  <c r="I160" i="13" s="1"/>
  <c r="AB51" i="12"/>
  <c r="R50" i="12"/>
  <c r="S48" i="12"/>
  <c r="R52" i="12"/>
  <c r="I81" i="13"/>
  <c r="M48" i="12"/>
  <c r="R47" i="12"/>
  <c r="T52" i="12"/>
  <c r="P48" i="12"/>
  <c r="T54" i="12"/>
  <c r="M47" i="12"/>
  <c r="U51" i="12"/>
  <c r="N45" i="12"/>
  <c r="W58" i="12"/>
  <c r="AB63" i="12"/>
  <c r="Y60" i="12"/>
  <c r="V51" i="12"/>
  <c r="AA59" i="12"/>
  <c r="Q49" i="12"/>
  <c r="Q51" i="12"/>
  <c r="AB44" i="12"/>
  <c r="O46" i="12"/>
  <c r="Z61" i="12"/>
  <c r="O50" i="12"/>
  <c r="X59" i="12"/>
  <c r="T49" i="12"/>
  <c r="V54" i="12"/>
  <c r="U55" i="12"/>
  <c r="Z54" i="12"/>
  <c r="X48" i="12"/>
  <c r="R53" i="12"/>
  <c r="P51" i="12"/>
  <c r="T55" i="12"/>
  <c r="S54" i="12"/>
  <c r="J45" i="12"/>
  <c r="H44" i="12"/>
  <c r="V50" i="12"/>
  <c r="X53" i="12"/>
  <c r="N46" i="12"/>
  <c r="AA50" i="12"/>
  <c r="V56" i="12"/>
  <c r="Q45" i="12"/>
  <c r="U56" i="12"/>
  <c r="N49" i="12"/>
  <c r="I44" i="12"/>
  <c r="W45" i="12"/>
  <c r="AA54" i="12"/>
  <c r="AA62" i="12"/>
  <c r="K46" i="12"/>
  <c r="Z53" i="12"/>
  <c r="Q52" i="12"/>
  <c r="X49" i="12"/>
  <c r="R45" i="12"/>
  <c r="AB61" i="12"/>
  <c r="Y58" i="12"/>
  <c r="Q47" i="12"/>
  <c r="W49" i="12"/>
  <c r="AB53" i="12"/>
  <c r="S45" i="12"/>
  <c r="Y54" i="12"/>
  <c r="AA56" i="12"/>
  <c r="O47" i="12"/>
  <c r="Z58" i="12"/>
  <c r="U44" i="12"/>
  <c r="K45" i="12"/>
  <c r="W57" i="12"/>
  <c r="Y53" i="12"/>
  <c r="U49" i="12"/>
  <c r="Y44" i="12"/>
  <c r="Z56" i="12"/>
  <c r="T44" i="12"/>
  <c r="AB54" i="12"/>
  <c r="Y51" i="12"/>
  <c r="R49" i="12"/>
  <c r="T51" i="12"/>
  <c r="AA47" i="12"/>
  <c r="O48" i="12"/>
  <c r="Q50" i="12"/>
  <c r="AA52" i="12"/>
  <c r="Z47" i="12"/>
  <c r="X46" i="12"/>
  <c r="Q44" i="12"/>
  <c r="Y52" i="12"/>
  <c r="U50" i="12"/>
  <c r="O44" i="12"/>
  <c r="S51" i="12"/>
  <c r="X56" i="12"/>
  <c r="V45" i="12"/>
  <c r="Y59" i="12"/>
  <c r="X58" i="12"/>
  <c r="S47" i="12"/>
  <c r="R46" i="12"/>
  <c r="AA57" i="12"/>
  <c r="N44" i="12"/>
  <c r="Y49" i="12"/>
  <c r="U45" i="12"/>
  <c r="V48" i="12"/>
  <c r="U47" i="12"/>
  <c r="AA58" i="12"/>
  <c r="V53" i="12"/>
  <c r="Y45" i="12"/>
  <c r="N47" i="12"/>
  <c r="T53" i="12"/>
  <c r="Z51" i="12"/>
  <c r="Y46" i="12"/>
  <c r="AB50" i="12"/>
  <c r="U48" i="12"/>
  <c r="N48" i="12"/>
  <c r="W51" i="12"/>
  <c r="T48" i="12"/>
  <c r="AB58" i="12"/>
  <c r="S49" i="12"/>
  <c r="Z50" i="12"/>
  <c r="T46" i="12"/>
  <c r="U52" i="12"/>
  <c r="W54" i="12"/>
  <c r="AA45" i="12"/>
  <c r="X44" i="12"/>
  <c r="P49" i="12"/>
  <c r="U54" i="12"/>
  <c r="W48" i="12"/>
  <c r="X45" i="12"/>
  <c r="Z48" i="12"/>
  <c r="S46" i="12"/>
  <c r="T50" i="12"/>
  <c r="P46" i="12"/>
  <c r="AB52" i="12"/>
  <c r="AA53" i="12"/>
  <c r="S50" i="12"/>
  <c r="Q48" i="12"/>
  <c r="AB46" i="12"/>
  <c r="AB48" i="12"/>
  <c r="R51" i="12"/>
  <c r="S52" i="12"/>
  <c r="Y50" i="12"/>
  <c r="AB49" i="12"/>
  <c r="AA49" i="12"/>
  <c r="X51" i="12"/>
  <c r="R48" i="12"/>
  <c r="X54" i="12"/>
  <c r="AA51" i="12"/>
  <c r="R44" i="12"/>
  <c r="M44" i="12"/>
  <c r="Z57" i="12"/>
  <c r="Z44" i="12"/>
  <c r="Z46" i="12"/>
  <c r="W56" i="12"/>
  <c r="L45" i="12"/>
  <c r="M46" i="12"/>
  <c r="T45" i="12"/>
  <c r="AA48" i="12"/>
  <c r="Y47" i="12"/>
  <c r="AB55" i="12"/>
  <c r="P45" i="12"/>
  <c r="Z55" i="12"/>
  <c r="W55" i="12"/>
  <c r="AB60" i="12"/>
  <c r="Z49" i="12"/>
  <c r="AA61" i="12"/>
  <c r="L46" i="12"/>
  <c r="O49" i="12"/>
  <c r="P44" i="12"/>
  <c r="AB47" i="12"/>
  <c r="V52" i="12"/>
  <c r="W53" i="12"/>
  <c r="V46" i="12"/>
  <c r="X50" i="12"/>
  <c r="X55" i="12"/>
  <c r="P47" i="12"/>
  <c r="X57" i="12"/>
  <c r="AA60" i="12"/>
  <c r="K44" i="12"/>
  <c r="U46" i="12"/>
  <c r="W44" i="12"/>
  <c r="T47" i="12"/>
  <c r="V49" i="12"/>
  <c r="P50" i="12"/>
  <c r="J44" i="12"/>
  <c r="AB56" i="12"/>
  <c r="AA46" i="12"/>
  <c r="O45" i="12"/>
  <c r="Y55" i="12"/>
  <c r="W47" i="12"/>
  <c r="Z52" i="12"/>
  <c r="AB59" i="12"/>
  <c r="Y56" i="12"/>
  <c r="V55" i="12"/>
  <c r="Z59" i="12"/>
  <c r="V47" i="12"/>
  <c r="S44" i="12"/>
  <c r="V44" i="12"/>
  <c r="W50" i="12"/>
  <c r="C208" i="13"/>
  <c r="D226" i="13"/>
  <c r="C124" i="13"/>
  <c r="C143" i="8"/>
  <c r="D143" i="8"/>
  <c r="I72" i="12" l="1"/>
  <c r="C214" i="13"/>
  <c r="I181" i="13"/>
  <c r="D210" i="13"/>
  <c r="C210" i="13"/>
  <c r="H72" i="12"/>
  <c r="I100" i="13"/>
  <c r="I183" i="13" s="1"/>
  <c r="I99" i="13"/>
  <c r="I192" i="13" s="1"/>
  <c r="G152" i="1" s="1"/>
  <c r="D209" i="13"/>
  <c r="C209" i="13"/>
  <c r="C130" i="13"/>
  <c r="C164" i="13"/>
  <c r="D208" i="13"/>
  <c r="G72" i="12"/>
  <c r="J72" i="12"/>
  <c r="K72" i="12"/>
  <c r="E202" i="13"/>
  <c r="I132" i="13" s="1"/>
  <c r="L72" i="12"/>
  <c r="C152" i="8"/>
  <c r="C176" i="8"/>
  <c r="C158" i="8" s="1"/>
  <c r="B147" i="8"/>
  <c r="C180" i="8" s="1"/>
  <c r="E180" i="8" s="1"/>
  <c r="D176" i="8"/>
  <c r="D158" i="8" s="1"/>
  <c r="D152" i="8"/>
  <c r="B148" i="8"/>
  <c r="D183" i="8" s="1"/>
  <c r="M72" i="12"/>
  <c r="Q72" i="12"/>
  <c r="N72" i="12"/>
  <c r="Z72" i="12"/>
  <c r="O72" i="12"/>
  <c r="AB72" i="12"/>
  <c r="V72" i="12"/>
  <c r="U72" i="12"/>
  <c r="R72" i="12"/>
  <c r="Y72" i="12"/>
  <c r="P72" i="12"/>
  <c r="S72" i="12"/>
  <c r="W72" i="12"/>
  <c r="X72" i="12"/>
  <c r="T72" i="12"/>
  <c r="AA72" i="12"/>
  <c r="C167" i="13"/>
  <c r="D127" i="13"/>
  <c r="D126" i="13"/>
  <c r="C186" i="13"/>
  <c r="C187" i="13" s="1"/>
  <c r="C188" i="13" s="1"/>
  <c r="C189" i="13" s="1"/>
  <c r="E226" i="13"/>
  <c r="C246" i="1"/>
  <c r="E201" i="13"/>
  <c r="C125" i="13"/>
  <c r="C253" i="13"/>
  <c r="I180" i="13"/>
  <c r="I182" i="13" l="1"/>
  <c r="G220" i="13" s="1"/>
  <c r="J224" i="4"/>
  <c r="C180" i="13"/>
  <c r="C195" i="13"/>
  <c r="C197" i="13" s="1"/>
  <c r="C215" i="13"/>
  <c r="C133" i="13"/>
  <c r="I140" i="13" s="1"/>
  <c r="E210" i="13"/>
  <c r="E207" i="13"/>
  <c r="D215" i="13"/>
  <c r="I146" i="13"/>
  <c r="I107" i="13"/>
  <c r="F201" i="13"/>
  <c r="F202" i="13"/>
  <c r="F210" i="13" s="1"/>
  <c r="E209" i="13"/>
  <c r="E208" i="13"/>
  <c r="D179" i="8"/>
  <c r="C179" i="8"/>
  <c r="E179" i="8" s="1"/>
  <c r="C183" i="8"/>
  <c r="E183" i="8" s="1"/>
  <c r="C184" i="8"/>
  <c r="E184" i="8" s="1"/>
  <c r="I139" i="13"/>
  <c r="I194" i="13"/>
  <c r="G149" i="1" s="1"/>
  <c r="C190" i="13"/>
  <c r="C191" i="13"/>
  <c r="E205" i="13"/>
  <c r="E206" i="13"/>
  <c r="C127" i="13"/>
  <c r="C126" i="13"/>
  <c r="F226" i="13"/>
  <c r="F209" i="13"/>
  <c r="F208" i="13"/>
  <c r="C105" i="13" l="1"/>
  <c r="C108" i="13" s="1"/>
  <c r="I137" i="13"/>
  <c r="I138" i="13" s="1"/>
  <c r="G202" i="13"/>
  <c r="G210" i="13" s="1"/>
  <c r="I141" i="13"/>
  <c r="I134" i="13"/>
  <c r="F20" i="16" s="1"/>
  <c r="F215" i="13"/>
  <c r="E215" i="13"/>
  <c r="E214" i="13"/>
  <c r="F205" i="13"/>
  <c r="F207" i="13"/>
  <c r="F206" i="13"/>
  <c r="I195" i="13"/>
  <c r="I131" i="13"/>
  <c r="G209" i="13"/>
  <c r="G208" i="13"/>
  <c r="C107" i="13" l="1"/>
  <c r="G201" i="13"/>
  <c r="G207" i="13" s="1"/>
  <c r="I80" i="13"/>
  <c r="D285" i="13" s="1"/>
  <c r="E285" i="13" s="1"/>
  <c r="F285" i="13" s="1"/>
  <c r="I133" i="13"/>
  <c r="C137" i="13"/>
  <c r="C138" i="13" s="1"/>
  <c r="G215" i="13"/>
  <c r="F214" i="13"/>
  <c r="F263" i="13" s="1"/>
  <c r="D276" i="13"/>
  <c r="E276" i="13" s="1"/>
  <c r="F276" i="13" s="1"/>
  <c r="D257" i="13"/>
  <c r="C277" i="13"/>
  <c r="D278" i="13"/>
  <c r="D83" i="8" s="1"/>
  <c r="D281" i="13"/>
  <c r="C278" i="13"/>
  <c r="C276" i="13"/>
  <c r="F18" i="16"/>
  <c r="C18" i="16"/>
  <c r="G17" i="16"/>
  <c r="F35" i="16"/>
  <c r="D263" i="13"/>
  <c r="D259" i="13"/>
  <c r="C48" i="16"/>
  <c r="C264" i="13"/>
  <c r="C54" i="16"/>
  <c r="E54" i="16" s="1"/>
  <c r="E264" i="13"/>
  <c r="H198" i="4"/>
  <c r="I198" i="4" s="1"/>
  <c r="H203" i="4"/>
  <c r="K203" i="4" s="1"/>
  <c r="D275" i="13"/>
  <c r="E275" i="13" s="1"/>
  <c r="F275" i="13" s="1"/>
  <c r="D269" i="13"/>
  <c r="F16" i="16"/>
  <c r="H217" i="4"/>
  <c r="I217" i="4" s="1"/>
  <c r="H152" i="4"/>
  <c r="I152" i="4" s="1"/>
  <c r="H178" i="4"/>
  <c r="K178" i="4" s="1"/>
  <c r="B6" i="4"/>
  <c r="C6" i="4" s="1"/>
  <c r="E269" i="13"/>
  <c r="C28" i="16"/>
  <c r="E271" i="13"/>
  <c r="H168" i="4"/>
  <c r="H140" i="4"/>
  <c r="I140" i="4" s="1"/>
  <c r="H163" i="4"/>
  <c r="I163" i="4" s="1"/>
  <c r="C40" i="16"/>
  <c r="E40" i="16" s="1"/>
  <c r="C43" i="16"/>
  <c r="D221" i="13"/>
  <c r="C10" i="11"/>
  <c r="F48" i="16"/>
  <c r="C269" i="13"/>
  <c r="H131" i="4"/>
  <c r="K131" i="4" s="1"/>
  <c r="H128" i="4"/>
  <c r="K128" i="4" s="1"/>
  <c r="H171" i="4"/>
  <c r="K171" i="4" s="1"/>
  <c r="E35" i="16"/>
  <c r="C16" i="16"/>
  <c r="F270" i="13"/>
  <c r="D258" i="13"/>
  <c r="G18" i="16"/>
  <c r="F269" i="13"/>
  <c r="E33" i="16"/>
  <c r="W141" i="12"/>
  <c r="G148" i="12" s="1"/>
  <c r="W146" i="12" s="1"/>
  <c r="H150" i="4"/>
  <c r="K150" i="4" s="1"/>
  <c r="H195" i="4"/>
  <c r="K195" i="4" s="1"/>
  <c r="C33" i="16"/>
  <c r="D240" i="13"/>
  <c r="H184" i="4"/>
  <c r="K184" i="4" s="1"/>
  <c r="H161" i="4"/>
  <c r="K161" i="4" s="1"/>
  <c r="C221" i="13"/>
  <c r="C244" i="13"/>
  <c r="F246" i="1"/>
  <c r="C263" i="13"/>
  <c r="F50" i="16"/>
  <c r="H137" i="4"/>
  <c r="K137" i="4" s="1"/>
  <c r="H135" i="4"/>
  <c r="I135" i="4" s="1"/>
  <c r="H183" i="4"/>
  <c r="K183" i="4" s="1"/>
  <c r="H174" i="4"/>
  <c r="I174" i="4" s="1"/>
  <c r="W140" i="12"/>
  <c r="E270" i="13"/>
  <c r="H172" i="4"/>
  <c r="I172" i="4" s="1"/>
  <c r="D271" i="13"/>
  <c r="F264" i="13"/>
  <c r="C45" i="16"/>
  <c r="C284" i="13"/>
  <c r="F233" i="1"/>
  <c r="H176" i="4"/>
  <c r="I176" i="4" s="1"/>
  <c r="H144" i="4"/>
  <c r="K144" i="4" s="1"/>
  <c r="H208" i="4"/>
  <c r="K208" i="4" s="1"/>
  <c r="H125" i="4"/>
  <c r="K125" i="4" s="1"/>
  <c r="C22" i="16"/>
  <c r="C50" i="16"/>
  <c r="F34" i="16"/>
  <c r="D18" i="16"/>
  <c r="C39" i="16"/>
  <c r="E39" i="16" s="1"/>
  <c r="C29" i="16"/>
  <c r="F33" i="16"/>
  <c r="C258" i="13"/>
  <c r="D284" i="13"/>
  <c r="E284" i="13" s="1"/>
  <c r="F284" i="13" s="1"/>
  <c r="C239" i="13"/>
  <c r="H187" i="4"/>
  <c r="K187" i="4" s="1"/>
  <c r="H141" i="4"/>
  <c r="K141" i="4" s="1"/>
  <c r="H124" i="4"/>
  <c r="I124" i="4" s="1"/>
  <c r="H145" i="4"/>
  <c r="K145" i="4" s="1"/>
  <c r="H190" i="4"/>
  <c r="I190" i="4" s="1"/>
  <c r="H165" i="4"/>
  <c r="K165" i="4" s="1"/>
  <c r="H158" i="4"/>
  <c r="I158" i="4" s="1"/>
  <c r="H175" i="4"/>
  <c r="I175" i="4" s="1"/>
  <c r="H170" i="4"/>
  <c r="I170" i="4" s="1"/>
  <c r="E13" i="12"/>
  <c r="E16" i="12" s="1"/>
  <c r="H133" i="4"/>
  <c r="I133" i="4" s="1"/>
  <c r="H215" i="4"/>
  <c r="K215" i="4" s="1"/>
  <c r="H173" i="4"/>
  <c r="K173" i="4" s="1"/>
  <c r="C17" i="16"/>
  <c r="F139" i="12"/>
  <c r="C259" i="13"/>
  <c r="C55" i="16"/>
  <c r="E55" i="16" s="1"/>
  <c r="F17" i="16"/>
  <c r="D17" i="16"/>
  <c r="C30" i="16"/>
  <c r="E254" i="13"/>
  <c r="W139" i="12"/>
  <c r="C49" i="16"/>
  <c r="C240" i="13"/>
  <c r="H180" i="4"/>
  <c r="I180" i="4" s="1"/>
  <c r="H189" i="4"/>
  <c r="K189" i="4" s="1"/>
  <c r="H164" i="4"/>
  <c r="I164" i="4" s="1"/>
  <c r="H207" i="4"/>
  <c r="I207" i="4" s="1"/>
  <c r="H196" i="4"/>
  <c r="K196" i="4" s="1"/>
  <c r="H182" i="4"/>
  <c r="K182" i="4" s="1"/>
  <c r="H199" i="4"/>
  <c r="K199" i="4" s="1"/>
  <c r="H179" i="4"/>
  <c r="K179" i="4" s="1"/>
  <c r="H142" i="4"/>
  <c r="I142" i="4" s="1"/>
  <c r="H162" i="4"/>
  <c r="I162" i="4" s="1"/>
  <c r="H211" i="4"/>
  <c r="K211" i="4" s="1"/>
  <c r="D274" i="13"/>
  <c r="E274" i="13" s="1"/>
  <c r="F274" i="13" s="1"/>
  <c r="H149" i="4"/>
  <c r="I149" i="4" s="1"/>
  <c r="H129" i="4"/>
  <c r="I129" i="4" s="1"/>
  <c r="E14" i="12"/>
  <c r="F138" i="12"/>
  <c r="C23" i="16"/>
  <c r="D270" i="13"/>
  <c r="F271" i="13"/>
  <c r="C260" i="13"/>
  <c r="E17" i="16"/>
  <c r="C270" i="13"/>
  <c r="C9" i="11"/>
  <c r="G50" i="16"/>
  <c r="C11" i="11"/>
  <c r="F140" i="12"/>
  <c r="E48" i="16"/>
  <c r="H127" i="4"/>
  <c r="K127" i="4" s="1"/>
  <c r="D239" i="13"/>
  <c r="H213" i="4"/>
  <c r="I213" i="4" s="1"/>
  <c r="H181" i="4"/>
  <c r="I181" i="4" s="1"/>
  <c r="H191" i="4"/>
  <c r="K191" i="4" s="1"/>
  <c r="H201" i="4"/>
  <c r="K201" i="4" s="1"/>
  <c r="H138" i="4"/>
  <c r="I138" i="4" s="1"/>
  <c r="H154" i="4"/>
  <c r="I154" i="4" s="1"/>
  <c r="H148" i="4"/>
  <c r="K148" i="4" s="1"/>
  <c r="H160" i="4"/>
  <c r="I160" i="4" s="1"/>
  <c r="H216" i="4"/>
  <c r="I216" i="4" s="1"/>
  <c r="H218" i="4"/>
  <c r="I218" i="4" s="1"/>
  <c r="H206" i="4"/>
  <c r="I206" i="4" s="1"/>
  <c r="H219" i="4"/>
  <c r="K219" i="4" s="1"/>
  <c r="H222" i="4"/>
  <c r="I222" i="4" s="1"/>
  <c r="H205" i="4"/>
  <c r="I205" i="4" s="1"/>
  <c r="C245" i="13"/>
  <c r="C286" i="13"/>
  <c r="C44" i="16"/>
  <c r="C249" i="13"/>
  <c r="E257" i="13"/>
  <c r="F141" i="12"/>
  <c r="D260" i="13"/>
  <c r="C34" i="16"/>
  <c r="F18" i="15"/>
  <c r="C275" i="13"/>
  <c r="D22" i="16"/>
  <c r="W142" i="12"/>
  <c r="E49" i="16"/>
  <c r="H188" i="4"/>
  <c r="I188" i="4" s="1"/>
  <c r="B15" i="11"/>
  <c r="C15" i="11" s="1"/>
  <c r="H214" i="4"/>
  <c r="K214" i="4" s="1"/>
  <c r="H220" i="4"/>
  <c r="I220" i="4" s="1"/>
  <c r="H123" i="4"/>
  <c r="K123" i="4" s="1"/>
  <c r="H212" i="4"/>
  <c r="K212" i="4" s="1"/>
  <c r="H143" i="4"/>
  <c r="I143" i="4" s="1"/>
  <c r="H153" i="4"/>
  <c r="I153" i="4" s="1"/>
  <c r="D227" i="13"/>
  <c r="E227" i="13" s="1"/>
  <c r="H130" i="4"/>
  <c r="K130" i="4" s="1"/>
  <c r="H156" i="4"/>
  <c r="K156" i="4" s="1"/>
  <c r="H166" i="4"/>
  <c r="K166" i="4" s="1"/>
  <c r="H159" i="4"/>
  <c r="K159" i="4" s="1"/>
  <c r="H167" i="4"/>
  <c r="I167" i="4" s="1"/>
  <c r="F49" i="16"/>
  <c r="E255" i="13"/>
  <c r="C271" i="13"/>
  <c r="C53" i="16"/>
  <c r="E53" i="16" s="1"/>
  <c r="C21" i="16"/>
  <c r="E16" i="16"/>
  <c r="D249" i="13"/>
  <c r="E249" i="13" s="1"/>
  <c r="G49" i="16"/>
  <c r="C38" i="16"/>
  <c r="E38" i="16" s="1"/>
  <c r="E34" i="16"/>
  <c r="H126" i="4"/>
  <c r="K126" i="4" s="1"/>
  <c r="H200" i="4"/>
  <c r="I200" i="4" s="1"/>
  <c r="H139" i="4"/>
  <c r="I139" i="4" s="1"/>
  <c r="H193" i="4"/>
  <c r="I193" i="4" s="1"/>
  <c r="H169" i="4"/>
  <c r="I169" i="4" s="1"/>
  <c r="H155" i="4"/>
  <c r="I155" i="4" s="1"/>
  <c r="H185" i="4"/>
  <c r="I185" i="4" s="1"/>
  <c r="H132" i="4"/>
  <c r="K132" i="4" s="1"/>
  <c r="H192" i="4"/>
  <c r="I192" i="4" s="1"/>
  <c r="H210" i="4"/>
  <c r="K210" i="4" s="1"/>
  <c r="H204" i="4"/>
  <c r="I204" i="4" s="1"/>
  <c r="H186" i="4"/>
  <c r="K186" i="4" s="1"/>
  <c r="H202" i="4"/>
  <c r="I202" i="4" s="1"/>
  <c r="D280" i="13"/>
  <c r="E280" i="13" s="1"/>
  <c r="F280" i="13" s="1"/>
  <c r="E263" i="13"/>
  <c r="C233" i="13"/>
  <c r="D23" i="16"/>
  <c r="G34" i="16"/>
  <c r="E18" i="16"/>
  <c r="D264" i="13"/>
  <c r="C287" i="13"/>
  <c r="D287" i="13" s="1"/>
  <c r="E287" i="13" s="1"/>
  <c r="F287" i="13" s="1"/>
  <c r="G35" i="16"/>
  <c r="D21" i="16"/>
  <c r="C35" i="16"/>
  <c r="C19" i="15"/>
  <c r="E50" i="16"/>
  <c r="E281" i="13"/>
  <c r="C200" i="8" s="1"/>
  <c r="H146" i="4"/>
  <c r="I146" i="4" s="1"/>
  <c r="H177" i="4"/>
  <c r="I177" i="4" s="1"/>
  <c r="H221" i="4"/>
  <c r="I221" i="4" s="1"/>
  <c r="H134" i="4"/>
  <c r="K134" i="4" s="1"/>
  <c r="H197" i="4"/>
  <c r="K197" i="4" s="1"/>
  <c r="H151" i="4"/>
  <c r="I151" i="4" s="1"/>
  <c r="H194" i="4"/>
  <c r="I194" i="4" s="1"/>
  <c r="H136" i="4"/>
  <c r="I136" i="4" s="1"/>
  <c r="H209" i="4"/>
  <c r="I209" i="4" s="1"/>
  <c r="C168" i="13"/>
  <c r="E258" i="13" s="1"/>
  <c r="H157" i="4"/>
  <c r="K157" i="4" s="1"/>
  <c r="H147" i="4"/>
  <c r="K147" i="4" s="1"/>
  <c r="C139" i="13"/>
  <c r="C140" i="13"/>
  <c r="C142" i="13"/>
  <c r="C33" i="8"/>
  <c r="C34" i="8"/>
  <c r="C39" i="8" s="1"/>
  <c r="I82" i="13"/>
  <c r="C285" i="13" s="1"/>
  <c r="G205" i="13"/>
  <c r="G206" i="13"/>
  <c r="C177" i="13"/>
  <c r="C176" i="13"/>
  <c r="F27" i="16"/>
  <c r="D27" i="16" s="1"/>
  <c r="F9" i="16"/>
  <c r="F42" i="16"/>
  <c r="D42" i="16" s="1"/>
  <c r="I143" i="13"/>
  <c r="C178" i="13"/>
  <c r="K168" i="4"/>
  <c r="I168" i="4"/>
  <c r="D48" i="16"/>
  <c r="D35" i="16"/>
  <c r="D33" i="16"/>
  <c r="D49" i="16"/>
  <c r="D34" i="16"/>
  <c r="D50" i="16"/>
  <c r="D255" i="13" l="1"/>
  <c r="I142" i="13"/>
  <c r="I144" i="13" s="1"/>
  <c r="G214" i="13"/>
  <c r="C257" i="13"/>
  <c r="K181" i="4"/>
  <c r="K158" i="4"/>
  <c r="I184" i="4"/>
  <c r="K135" i="4"/>
  <c r="K152" i="4"/>
  <c r="D6" i="4"/>
  <c r="K163" i="4"/>
  <c r="K140" i="4"/>
  <c r="I128" i="4"/>
  <c r="K142" i="4"/>
  <c r="K174" i="4"/>
  <c r="I137" i="4"/>
  <c r="K198" i="4"/>
  <c r="F40" i="16"/>
  <c r="B7" i="4"/>
  <c r="B8" i="4" s="1"/>
  <c r="I195" i="4"/>
  <c r="K172" i="4"/>
  <c r="K217" i="4"/>
  <c r="K129" i="4"/>
  <c r="F39" i="16"/>
  <c r="K143" i="4"/>
  <c r="E239" i="13"/>
  <c r="I199" i="4"/>
  <c r="I208" i="4"/>
  <c r="I182" i="4"/>
  <c r="K177" i="4"/>
  <c r="K216" i="4"/>
  <c r="I165" i="4"/>
  <c r="K213" i="4"/>
  <c r="K167" i="4"/>
  <c r="K155" i="4"/>
  <c r="I212" i="4"/>
  <c r="E240" i="13"/>
  <c r="K185" i="4"/>
  <c r="K221" i="4"/>
  <c r="I191" i="4"/>
  <c r="K175" i="4"/>
  <c r="I187" i="4"/>
  <c r="K218" i="4"/>
  <c r="I150" i="4"/>
  <c r="I214" i="4"/>
  <c r="I144" i="4"/>
  <c r="K154" i="4"/>
  <c r="K124" i="4"/>
  <c r="E15" i="11"/>
  <c r="I132" i="4"/>
  <c r="K153" i="4"/>
  <c r="I189" i="4"/>
  <c r="K162" i="4"/>
  <c r="I125" i="4"/>
  <c r="K190" i="4"/>
  <c r="I147" i="4"/>
  <c r="I178" i="4"/>
  <c r="I183" i="4"/>
  <c r="K169" i="4"/>
  <c r="I179" i="4"/>
  <c r="C241" i="13"/>
  <c r="I159" i="4"/>
  <c r="I161" i="4"/>
  <c r="K160" i="4"/>
  <c r="F15" i="11"/>
  <c r="I173" i="4"/>
  <c r="E224" i="4"/>
  <c r="E225" i="4" s="1"/>
  <c r="K146" i="4"/>
  <c r="K206" i="4"/>
  <c r="I131" i="4"/>
  <c r="K202" i="4"/>
  <c r="E15" i="12"/>
  <c r="G147" i="12" s="1"/>
  <c r="W145" i="12" s="1"/>
  <c r="F54" i="16"/>
  <c r="I171" i="4"/>
  <c r="K188" i="4"/>
  <c r="I141" i="4"/>
  <c r="I203" i="4"/>
  <c r="K170" i="4"/>
  <c r="K180" i="4"/>
  <c r="I201" i="4"/>
  <c r="K176" i="4"/>
  <c r="I126" i="4"/>
  <c r="F55" i="16"/>
  <c r="K193" i="4"/>
  <c r="K209" i="4"/>
  <c r="I186" i="4"/>
  <c r="D224" i="4"/>
  <c r="D225" i="4" s="1"/>
  <c r="F224" i="4"/>
  <c r="F225" i="4" s="1"/>
  <c r="I145" i="4"/>
  <c r="K136" i="4"/>
  <c r="I148" i="4"/>
  <c r="K207" i="4"/>
  <c r="I215" i="4"/>
  <c r="I127" i="4"/>
  <c r="I166" i="4"/>
  <c r="F281" i="13"/>
  <c r="D200" i="8" s="1"/>
  <c r="K220" i="4"/>
  <c r="I157" i="4"/>
  <c r="I156" i="4"/>
  <c r="K192" i="4"/>
  <c r="D228" i="13"/>
  <c r="K200" i="4"/>
  <c r="H15" i="11"/>
  <c r="I211" i="4"/>
  <c r="K138" i="4"/>
  <c r="K133" i="4"/>
  <c r="K164" i="4"/>
  <c r="C83" i="8"/>
  <c r="C105" i="8" s="1"/>
  <c r="K205" i="4"/>
  <c r="G15" i="11"/>
  <c r="E278" i="13"/>
  <c r="F278" i="13" s="1"/>
  <c r="K222" i="4"/>
  <c r="I15" i="11"/>
  <c r="I130" i="4"/>
  <c r="K139" i="4"/>
  <c r="I219" i="4"/>
  <c r="D15" i="11"/>
  <c r="I197" i="4"/>
  <c r="I210" i="4"/>
  <c r="I134" i="4"/>
  <c r="D241" i="13"/>
  <c r="F38" i="16"/>
  <c r="K151" i="4"/>
  <c r="K149" i="4"/>
  <c r="I196" i="4"/>
  <c r="K194" i="4"/>
  <c r="K204" i="4"/>
  <c r="F53" i="16"/>
  <c r="G264" i="13"/>
  <c r="D256" i="13"/>
  <c r="D82" i="8"/>
  <c r="C82" i="8"/>
  <c r="C104" i="8" s="1"/>
  <c r="F227" i="13"/>
  <c r="F228" i="13" s="1"/>
  <c r="E228" i="13"/>
  <c r="C172" i="13"/>
  <c r="C173" i="13"/>
  <c r="C143" i="13"/>
  <c r="C174" i="13"/>
  <c r="B290" i="13"/>
  <c r="D7" i="4"/>
  <c r="E83" i="8"/>
  <c r="E105" i="8" s="1"/>
  <c r="D105" i="8"/>
  <c r="D84" i="8"/>
  <c r="C85" i="8"/>
  <c r="C106" i="8" s="1"/>
  <c r="D85" i="8"/>
  <c r="D40" i="16"/>
  <c r="D54" i="16"/>
  <c r="D38" i="16"/>
  <c r="D55" i="16"/>
  <c r="D39" i="16"/>
  <c r="D53" i="16"/>
  <c r="C7" i="4" l="1"/>
  <c r="C255" i="13"/>
  <c r="C141" i="13"/>
  <c r="C144" i="13" s="1"/>
  <c r="C145" i="13" s="1"/>
  <c r="I145" i="13" s="1"/>
  <c r="E241" i="13"/>
  <c r="C84" i="8"/>
  <c r="C134" i="8" s="1"/>
  <c r="K223" i="4"/>
  <c r="K224" i="4" s="1"/>
  <c r="K225" i="4" s="1"/>
  <c r="G263" i="13"/>
  <c r="C256" i="13"/>
  <c r="E84" i="8"/>
  <c r="E107" i="8" s="1"/>
  <c r="D107" i="8"/>
  <c r="D134" i="8"/>
  <c r="C8" i="4"/>
  <c r="D8" i="4"/>
  <c r="B9" i="4"/>
  <c r="E85" i="8"/>
  <c r="E106" i="8" s="1"/>
  <c r="D106" i="8"/>
  <c r="E82" i="8"/>
  <c r="E104" i="8" s="1"/>
  <c r="D104" i="8"/>
  <c r="C146" i="13" l="1"/>
  <c r="C106" i="13" s="1"/>
  <c r="C246" i="13" s="1"/>
  <c r="D254" i="13"/>
  <c r="C254" i="13"/>
  <c r="C107" i="8"/>
  <c r="B115" i="8"/>
  <c r="D125" i="8"/>
  <c r="C9" i="4"/>
  <c r="D9" i="4"/>
  <c r="B10" i="4"/>
  <c r="B116" i="8"/>
  <c r="D128" i="8"/>
  <c r="E134" i="8"/>
  <c r="B117" i="8" s="1"/>
  <c r="C10" i="4" l="1"/>
  <c r="D10" i="4"/>
  <c r="B11" i="4"/>
  <c r="C11" i="4" l="1"/>
  <c r="D11" i="4"/>
  <c r="B12" i="4"/>
  <c r="C12" i="4" l="1"/>
  <c r="D12" i="4"/>
  <c r="B13" i="4"/>
  <c r="C13" i="4" l="1"/>
  <c r="D13" i="4"/>
  <c r="B14" i="4"/>
  <c r="D14" i="4" l="1"/>
  <c r="C14" i="4"/>
  <c r="B15" i="4"/>
  <c r="C15" i="4" l="1"/>
  <c r="D15" i="4"/>
  <c r="B16" i="4"/>
  <c r="C16" i="4" l="1"/>
  <c r="D16" i="4"/>
  <c r="B17" i="4"/>
  <c r="C17" i="4" l="1"/>
  <c r="D17" i="4"/>
  <c r="B18" i="4"/>
  <c r="C18" i="4" l="1"/>
  <c r="D18" i="4"/>
  <c r="B19" i="4"/>
  <c r="D19" i="4" l="1"/>
  <c r="C19" i="4"/>
  <c r="B20" i="4"/>
  <c r="C20" i="4" l="1"/>
  <c r="D20" i="4"/>
  <c r="B21" i="4"/>
  <c r="D21" i="4" l="1"/>
  <c r="C21" i="4"/>
  <c r="B22" i="4"/>
  <c r="C22" i="4" l="1"/>
  <c r="D22" i="4"/>
  <c r="B23" i="4"/>
  <c r="C23" i="4" l="1"/>
  <c r="D23" i="4"/>
  <c r="B24" i="4"/>
  <c r="C24" i="4" l="1"/>
  <c r="D24" i="4"/>
  <c r="B25" i="4"/>
  <c r="D25" i="4" l="1"/>
  <c r="C25" i="4"/>
  <c r="B26" i="4"/>
  <c r="D26" i="4" l="1"/>
  <c r="C26" i="4"/>
  <c r="B27" i="4"/>
  <c r="D27" i="4" l="1"/>
  <c r="C27" i="4"/>
  <c r="B28" i="4"/>
  <c r="C28" i="4" l="1"/>
  <c r="D28" i="4"/>
  <c r="B29" i="4"/>
  <c r="C29" i="4" l="1"/>
  <c r="D29" i="4"/>
  <c r="B30" i="4"/>
  <c r="C30" i="4" l="1"/>
  <c r="D30" i="4"/>
  <c r="B31" i="4"/>
  <c r="C31" i="4" l="1"/>
  <c r="D31" i="4"/>
  <c r="B32" i="4"/>
  <c r="C32" i="4" l="1"/>
  <c r="D32" i="4"/>
  <c r="B33" i="4"/>
  <c r="D33" i="4" l="1"/>
  <c r="C33" i="4"/>
  <c r="B34" i="4"/>
  <c r="D34" i="4" l="1"/>
  <c r="C34" i="4"/>
  <c r="B35" i="4"/>
  <c r="D35" i="4" l="1"/>
  <c r="C35" i="4"/>
  <c r="B36" i="4"/>
  <c r="C36" i="4" l="1"/>
  <c r="D36" i="4"/>
  <c r="B37" i="4"/>
  <c r="D37" i="4" l="1"/>
  <c r="C37" i="4"/>
  <c r="B38" i="4"/>
  <c r="C38" i="4" l="1"/>
  <c r="D38" i="4"/>
  <c r="B39" i="4"/>
  <c r="D39" i="4" l="1"/>
  <c r="C39" i="4"/>
  <c r="B40" i="4"/>
  <c r="D40" i="4" l="1"/>
  <c r="C40" i="4"/>
  <c r="B41" i="4"/>
  <c r="C41" i="4" l="1"/>
  <c r="D41" i="4"/>
  <c r="B42" i="4"/>
  <c r="D42" i="4" l="1"/>
  <c r="C42" i="4"/>
  <c r="B43" i="4"/>
  <c r="C43" i="4" l="1"/>
  <c r="D43" i="4"/>
  <c r="B44" i="4"/>
  <c r="D44" i="4" l="1"/>
  <c r="C44" i="4"/>
  <c r="B45" i="4"/>
  <c r="C45" i="4" l="1"/>
  <c r="D45" i="4"/>
  <c r="B46" i="4"/>
  <c r="C46" i="4" l="1"/>
  <c r="D46" i="4"/>
  <c r="B47" i="4"/>
  <c r="D47" i="4" l="1"/>
  <c r="C47" i="4"/>
  <c r="B48" i="4"/>
  <c r="D48" i="4" l="1"/>
  <c r="C48" i="4"/>
  <c r="B49" i="4"/>
  <c r="C49" i="4" l="1"/>
  <c r="D49" i="4"/>
  <c r="B50" i="4"/>
  <c r="C50" i="4" l="1"/>
  <c r="D50" i="4"/>
  <c r="B51" i="4"/>
  <c r="C51" i="4" l="1"/>
  <c r="D51" i="4"/>
  <c r="B52" i="4"/>
  <c r="C52" i="4" l="1"/>
  <c r="D52" i="4"/>
  <c r="B53" i="4"/>
  <c r="D53" i="4" l="1"/>
  <c r="B54" i="4"/>
  <c r="C53" i="4"/>
  <c r="D54" i="4" l="1"/>
  <c r="B55" i="4"/>
  <c r="C54" i="4"/>
  <c r="D55" i="4" l="1"/>
  <c r="C55" i="4"/>
  <c r="B56" i="4"/>
  <c r="C56" i="4" l="1"/>
  <c r="D56" i="4"/>
  <c r="B57" i="4"/>
  <c r="D57" i="4" l="1"/>
  <c r="C57" i="4"/>
  <c r="B58" i="4"/>
  <c r="D58" i="4" l="1"/>
  <c r="C58" i="4"/>
  <c r="B59" i="4"/>
  <c r="C59" i="4" l="1"/>
  <c r="D59" i="4"/>
  <c r="B60" i="4"/>
  <c r="D60" i="4" l="1"/>
  <c r="C60" i="4"/>
  <c r="B61" i="4"/>
  <c r="C61" i="4" l="1"/>
  <c r="D61" i="4"/>
  <c r="B62" i="4"/>
  <c r="D62" i="4" l="1"/>
  <c r="C62" i="4"/>
  <c r="B63" i="4"/>
  <c r="C63" i="4" l="1"/>
  <c r="D63" i="4"/>
  <c r="B64" i="4"/>
  <c r="C64" i="4" l="1"/>
  <c r="D64" i="4"/>
  <c r="B65" i="4"/>
  <c r="C65" i="4" l="1"/>
  <c r="D65" i="4"/>
  <c r="B66" i="4"/>
  <c r="D66" i="4" l="1"/>
  <c r="C66" i="4"/>
  <c r="B67" i="4"/>
  <c r="C67" i="4" l="1"/>
  <c r="D67" i="4"/>
  <c r="B68" i="4"/>
  <c r="D68" i="4" l="1"/>
  <c r="C68" i="4"/>
  <c r="B69" i="4"/>
  <c r="C69" i="4" l="1"/>
  <c r="D69" i="4"/>
  <c r="B70" i="4"/>
  <c r="C70" i="4" l="1"/>
  <c r="D70" i="4"/>
  <c r="B71" i="4"/>
  <c r="C71" i="4" l="1"/>
  <c r="D71" i="4"/>
  <c r="B72" i="4"/>
  <c r="D72" i="4" l="1"/>
  <c r="C72" i="4"/>
  <c r="B73" i="4"/>
  <c r="D73" i="4" l="1"/>
  <c r="C73" i="4"/>
  <c r="B74" i="4"/>
  <c r="D74" i="4" l="1"/>
  <c r="C74" i="4"/>
  <c r="B75" i="4"/>
  <c r="D75" i="4" l="1"/>
  <c r="C75" i="4"/>
  <c r="B76" i="4"/>
  <c r="C76" i="4" l="1"/>
  <c r="D76" i="4"/>
  <c r="B77" i="4"/>
  <c r="D77" i="4" l="1"/>
  <c r="B78" i="4"/>
  <c r="C77" i="4"/>
  <c r="C78" i="4" l="1"/>
  <c r="D78" i="4"/>
  <c r="B79" i="4"/>
  <c r="C79" i="4" l="1"/>
  <c r="B80" i="4"/>
  <c r="D79" i="4"/>
  <c r="C80" i="4" l="1"/>
  <c r="D80" i="4"/>
  <c r="B81" i="4"/>
  <c r="C81" i="4" l="1"/>
  <c r="D81" i="4"/>
  <c r="B82" i="4"/>
  <c r="C82" i="4" l="1"/>
  <c r="D82" i="4"/>
  <c r="B83" i="4"/>
  <c r="C83" i="4" l="1"/>
  <c r="D83" i="4"/>
  <c r="B84" i="4"/>
  <c r="C84" i="4" l="1"/>
  <c r="D84" i="4"/>
  <c r="B85" i="4"/>
  <c r="D85" i="4" l="1"/>
  <c r="C85" i="4"/>
  <c r="B86" i="4"/>
  <c r="D86" i="4" l="1"/>
  <c r="B87" i="4"/>
  <c r="C86" i="4"/>
  <c r="D87" i="4" l="1"/>
  <c r="C87" i="4"/>
  <c r="B88" i="4"/>
  <c r="C88" i="4" l="1"/>
  <c r="D88" i="4"/>
  <c r="B89" i="4"/>
  <c r="C89" i="4" l="1"/>
  <c r="D89" i="4"/>
  <c r="B90" i="4"/>
  <c r="D90" i="4" l="1"/>
  <c r="C90" i="4"/>
  <c r="B91" i="4"/>
  <c r="B92" i="4" l="1"/>
  <c r="C91" i="4"/>
  <c r="D91" i="4"/>
  <c r="D92" i="4" l="1"/>
  <c r="C92" i="4"/>
  <c r="B93" i="4"/>
  <c r="C93" i="4" l="1"/>
  <c r="D93" i="4"/>
  <c r="B94" i="4"/>
  <c r="D94" i="4" l="1"/>
  <c r="C94" i="4"/>
  <c r="B95" i="4"/>
  <c r="D95" i="4" l="1"/>
  <c r="C95" i="4"/>
  <c r="B96" i="4"/>
  <c r="D96" i="4" l="1"/>
  <c r="C96" i="4"/>
  <c r="B97" i="4"/>
  <c r="D97" i="4" l="1"/>
  <c r="C97" i="4"/>
  <c r="B98" i="4"/>
  <c r="C98" i="4" l="1"/>
  <c r="D98" i="4"/>
  <c r="B99" i="4"/>
  <c r="D99" i="4" l="1"/>
  <c r="C99" i="4"/>
  <c r="B100" i="4"/>
  <c r="C100" i="4" l="1"/>
  <c r="B101" i="4"/>
  <c r="D100" i="4"/>
  <c r="C101" i="4" l="1"/>
  <c r="D101" i="4"/>
  <c r="B102" i="4"/>
  <c r="C102" i="4" l="1"/>
  <c r="D102" i="4"/>
  <c r="B103" i="4"/>
  <c r="B104" i="4" l="1"/>
  <c r="D103" i="4"/>
  <c r="C103" i="4"/>
  <c r="D104" i="4" l="1"/>
  <c r="B105" i="4"/>
  <c r="B221" i="4" s="1"/>
  <c r="C104" i="4"/>
  <c r="B213" i="4"/>
  <c r="B215" i="4" l="1"/>
  <c r="F215" i="4" s="1"/>
  <c r="B217" i="4"/>
  <c r="C217" i="4" s="1"/>
  <c r="B219" i="4"/>
  <c r="D219" i="4" s="1"/>
  <c r="F213" i="4"/>
  <c r="D213" i="4"/>
  <c r="E213" i="4"/>
  <c r="C213" i="4"/>
  <c r="C221" i="4"/>
  <c r="D221" i="4"/>
  <c r="E221" i="4"/>
  <c r="F221" i="4"/>
  <c r="D105" i="4"/>
  <c r="C105" i="4"/>
  <c r="B222" i="4"/>
  <c r="B123" i="4"/>
  <c r="B124" i="4"/>
  <c r="B125" i="4"/>
  <c r="B126" i="4"/>
  <c r="B127" i="4"/>
  <c r="B128" i="4"/>
  <c r="B129" i="4"/>
  <c r="B130" i="4"/>
  <c r="B134" i="4"/>
  <c r="B131" i="4"/>
  <c r="B135" i="4"/>
  <c r="B132" i="4"/>
  <c r="B136" i="4"/>
  <c r="B133" i="4"/>
  <c r="B137" i="4"/>
  <c r="B138" i="4"/>
  <c r="B140" i="4"/>
  <c r="B142" i="4"/>
  <c r="B139" i="4"/>
  <c r="B141" i="4"/>
  <c r="B143" i="4"/>
  <c r="B145" i="4"/>
  <c r="B144" i="4"/>
  <c r="B146" i="4"/>
  <c r="B151" i="4"/>
  <c r="B147" i="4"/>
  <c r="B148" i="4"/>
  <c r="B149" i="4"/>
  <c r="B150" i="4"/>
  <c r="B152" i="4"/>
  <c r="B153" i="4"/>
  <c r="B154" i="4"/>
  <c r="B156" i="4"/>
  <c r="B155" i="4"/>
  <c r="B157" i="4"/>
  <c r="B158" i="4"/>
  <c r="B159" i="4"/>
  <c r="B160" i="4"/>
  <c r="B161" i="4"/>
  <c r="B162" i="4"/>
  <c r="B163" i="4"/>
  <c r="B164" i="4"/>
  <c r="B166" i="4"/>
  <c r="B165" i="4"/>
  <c r="B168" i="4"/>
  <c r="B167" i="4"/>
  <c r="B169" i="4"/>
  <c r="B170" i="4"/>
  <c r="B171" i="4"/>
  <c r="B172" i="4"/>
  <c r="B173" i="4"/>
  <c r="B174" i="4"/>
  <c r="B175" i="4"/>
  <c r="B176" i="4"/>
  <c r="B178" i="4"/>
  <c r="B177" i="4"/>
  <c r="B179" i="4"/>
  <c r="B181" i="4"/>
  <c r="B180" i="4"/>
  <c r="B182" i="4"/>
  <c r="B183" i="4"/>
  <c r="B184" i="4"/>
  <c r="B185" i="4"/>
  <c r="B186" i="4"/>
  <c r="B187" i="4"/>
  <c r="B188" i="4"/>
  <c r="B189" i="4"/>
  <c r="B191" i="4"/>
  <c r="B190" i="4"/>
  <c r="B192" i="4"/>
  <c r="B193" i="4"/>
  <c r="B194" i="4"/>
  <c r="B195" i="4"/>
  <c r="B196" i="4"/>
  <c r="B198" i="4"/>
  <c r="B197" i="4"/>
  <c r="B199" i="4"/>
  <c r="B200" i="4"/>
  <c r="B201" i="4"/>
  <c r="B202" i="4"/>
  <c r="B203" i="4"/>
  <c r="B205" i="4"/>
  <c r="B204" i="4"/>
  <c r="B206" i="4"/>
  <c r="B207" i="4"/>
  <c r="B208" i="4"/>
  <c r="B209" i="4"/>
  <c r="B210" i="4"/>
  <c r="B211" i="4"/>
  <c r="B212" i="4"/>
  <c r="B220" i="4"/>
  <c r="B216" i="4"/>
  <c r="B218" i="4"/>
  <c r="B214" i="4"/>
  <c r="D217" i="4" l="1"/>
  <c r="E217" i="4"/>
  <c r="F217" i="4"/>
  <c r="F219" i="4"/>
  <c r="E219" i="4"/>
  <c r="C219" i="4"/>
  <c r="E215" i="4"/>
  <c r="C215" i="4"/>
  <c r="D215" i="4"/>
  <c r="F218" i="4"/>
  <c r="C218" i="4"/>
  <c r="E218" i="4"/>
  <c r="D218" i="4"/>
  <c r="C207" i="4"/>
  <c r="F207" i="4"/>
  <c r="E207" i="4"/>
  <c r="D207" i="4"/>
  <c r="E199" i="4"/>
  <c r="C199" i="4"/>
  <c r="D199" i="4"/>
  <c r="F199" i="4"/>
  <c r="E190" i="4"/>
  <c r="F190" i="4"/>
  <c r="D190" i="4"/>
  <c r="C190" i="4"/>
  <c r="D183" i="4"/>
  <c r="F183" i="4"/>
  <c r="E183" i="4"/>
  <c r="C183" i="4"/>
  <c r="C175" i="4"/>
  <c r="D175" i="4"/>
  <c r="F175" i="4"/>
  <c r="E175" i="4"/>
  <c r="C168" i="4"/>
  <c r="D168" i="4"/>
  <c r="F168" i="4"/>
  <c r="E168" i="4"/>
  <c r="C159" i="4"/>
  <c r="F159" i="4"/>
  <c r="D159" i="4"/>
  <c r="E159" i="4"/>
  <c r="C150" i="4"/>
  <c r="D150" i="4"/>
  <c r="F150" i="4"/>
  <c r="E150" i="4"/>
  <c r="C143" i="4"/>
  <c r="F143" i="4"/>
  <c r="D143" i="4"/>
  <c r="E143" i="4"/>
  <c r="F136" i="4"/>
  <c r="E136" i="4"/>
  <c r="C136" i="4"/>
  <c r="D136" i="4"/>
  <c r="C127" i="4"/>
  <c r="E127" i="4"/>
  <c r="F127" i="4"/>
  <c r="D127" i="4"/>
  <c r="E216" i="4"/>
  <c r="C216" i="4"/>
  <c r="D216" i="4"/>
  <c r="F216" i="4"/>
  <c r="E206" i="4"/>
  <c r="C206" i="4"/>
  <c r="F206" i="4"/>
  <c r="D206" i="4"/>
  <c r="C197" i="4"/>
  <c r="D197" i="4"/>
  <c r="F197" i="4"/>
  <c r="E197" i="4"/>
  <c r="E191" i="4"/>
  <c r="D191" i="4"/>
  <c r="C191" i="4"/>
  <c r="F191" i="4"/>
  <c r="F182" i="4"/>
  <c r="E182" i="4"/>
  <c r="C182" i="4"/>
  <c r="D182" i="4"/>
  <c r="E174" i="4"/>
  <c r="D174" i="4"/>
  <c r="F174" i="4"/>
  <c r="C174" i="4"/>
  <c r="C165" i="4"/>
  <c r="D165" i="4"/>
  <c r="E165" i="4"/>
  <c r="F165" i="4"/>
  <c r="C158" i="4"/>
  <c r="D158" i="4"/>
  <c r="F158" i="4"/>
  <c r="E158" i="4"/>
  <c r="F149" i="4"/>
  <c r="E149" i="4"/>
  <c r="D149" i="4"/>
  <c r="C149" i="4"/>
  <c r="E141" i="4"/>
  <c r="F141" i="4"/>
  <c r="D141" i="4"/>
  <c r="C141" i="4"/>
  <c r="F132" i="4"/>
  <c r="E132" i="4"/>
  <c r="D132" i="4"/>
  <c r="C132" i="4"/>
  <c r="F126" i="4"/>
  <c r="D126" i="4"/>
  <c r="C126" i="4"/>
  <c r="E126" i="4"/>
  <c r="E220" i="4"/>
  <c r="D220" i="4"/>
  <c r="C220" i="4"/>
  <c r="F220" i="4"/>
  <c r="D204" i="4"/>
  <c r="E204" i="4"/>
  <c r="F204" i="4"/>
  <c r="C204" i="4"/>
  <c r="D198" i="4"/>
  <c r="F198" i="4"/>
  <c r="E198" i="4"/>
  <c r="C198" i="4"/>
  <c r="E189" i="4"/>
  <c r="F189" i="4"/>
  <c r="C189" i="4"/>
  <c r="D189" i="4"/>
  <c r="D180" i="4"/>
  <c r="E180" i="4"/>
  <c r="F180" i="4"/>
  <c r="C180" i="4"/>
  <c r="C173" i="4"/>
  <c r="E173" i="4"/>
  <c r="D173" i="4"/>
  <c r="F173" i="4"/>
  <c r="F166" i="4"/>
  <c r="D166" i="4"/>
  <c r="C166" i="4"/>
  <c r="E166" i="4"/>
  <c r="C157" i="4"/>
  <c r="F157" i="4"/>
  <c r="E157" i="4"/>
  <c r="D157" i="4"/>
  <c r="F148" i="4"/>
  <c r="D148" i="4"/>
  <c r="E148" i="4"/>
  <c r="C148" i="4"/>
  <c r="C139" i="4"/>
  <c r="F139" i="4"/>
  <c r="D139" i="4"/>
  <c r="E139" i="4"/>
  <c r="E135" i="4"/>
  <c r="C135" i="4"/>
  <c r="F135" i="4"/>
  <c r="D135" i="4"/>
  <c r="E125" i="4"/>
  <c r="C125" i="4"/>
  <c r="F125" i="4"/>
  <c r="D125" i="4"/>
  <c r="D212" i="4"/>
  <c r="E212" i="4"/>
  <c r="F212" i="4"/>
  <c r="C212" i="4"/>
  <c r="F205" i="4"/>
  <c r="E205" i="4"/>
  <c r="C205" i="4"/>
  <c r="D205" i="4"/>
  <c r="E196" i="4"/>
  <c r="D196" i="4"/>
  <c r="C196" i="4"/>
  <c r="F196" i="4"/>
  <c r="D188" i="4"/>
  <c r="F188" i="4"/>
  <c r="C188" i="4"/>
  <c r="E188" i="4"/>
  <c r="F181" i="4"/>
  <c r="D181" i="4"/>
  <c r="C181" i="4"/>
  <c r="E181" i="4"/>
  <c r="E172" i="4"/>
  <c r="F172" i="4"/>
  <c r="D172" i="4"/>
  <c r="C172" i="4"/>
  <c r="E164" i="4"/>
  <c r="D164" i="4"/>
  <c r="C164" i="4"/>
  <c r="F164" i="4"/>
  <c r="C155" i="4"/>
  <c r="E155" i="4"/>
  <c r="D155" i="4"/>
  <c r="F155" i="4"/>
  <c r="E147" i="4"/>
  <c r="D147" i="4"/>
  <c r="C147" i="4"/>
  <c r="F147" i="4"/>
  <c r="C142" i="4"/>
  <c r="E142" i="4"/>
  <c r="D142" i="4"/>
  <c r="F142" i="4"/>
  <c r="E131" i="4"/>
  <c r="C131" i="4"/>
  <c r="F131" i="4"/>
  <c r="D131" i="4"/>
  <c r="D124" i="4"/>
  <c r="C124" i="4"/>
  <c r="F124" i="4"/>
  <c r="E124" i="4"/>
  <c r="D211" i="4"/>
  <c r="F211" i="4"/>
  <c r="E211" i="4"/>
  <c r="C211" i="4"/>
  <c r="F203" i="4"/>
  <c r="C203" i="4"/>
  <c r="E203" i="4"/>
  <c r="D203" i="4"/>
  <c r="E195" i="4"/>
  <c r="C195" i="4"/>
  <c r="D195" i="4"/>
  <c r="F195" i="4"/>
  <c r="F187" i="4"/>
  <c r="D187" i="4"/>
  <c r="C187" i="4"/>
  <c r="E187" i="4"/>
  <c r="C179" i="4"/>
  <c r="F179" i="4"/>
  <c r="D179" i="4"/>
  <c r="E179" i="4"/>
  <c r="D171" i="4"/>
  <c r="C171" i="4"/>
  <c r="F171" i="4"/>
  <c r="E171" i="4"/>
  <c r="F163" i="4"/>
  <c r="C163" i="4"/>
  <c r="D163" i="4"/>
  <c r="E163" i="4"/>
  <c r="D156" i="4"/>
  <c r="E156" i="4"/>
  <c r="F156" i="4"/>
  <c r="C156" i="4"/>
  <c r="E151" i="4"/>
  <c r="D151" i="4"/>
  <c r="F151" i="4"/>
  <c r="C151" i="4"/>
  <c r="F140" i="4"/>
  <c r="D140" i="4"/>
  <c r="C140" i="4"/>
  <c r="E140" i="4"/>
  <c r="F134" i="4"/>
  <c r="D134" i="4"/>
  <c r="C134" i="4"/>
  <c r="E134" i="4"/>
  <c r="E123" i="4"/>
  <c r="F123" i="4"/>
  <c r="C123" i="4"/>
  <c r="D123" i="4"/>
  <c r="E202" i="4"/>
  <c r="C202" i="4"/>
  <c r="D202" i="4"/>
  <c r="F202" i="4"/>
  <c r="E194" i="4"/>
  <c r="C194" i="4"/>
  <c r="F194" i="4"/>
  <c r="D194" i="4"/>
  <c r="E186" i="4"/>
  <c r="D186" i="4"/>
  <c r="C186" i="4"/>
  <c r="F186" i="4"/>
  <c r="E177" i="4"/>
  <c r="D177" i="4"/>
  <c r="F177" i="4"/>
  <c r="C177" i="4"/>
  <c r="C170" i="4"/>
  <c r="F170" i="4"/>
  <c r="E170" i="4"/>
  <c r="D170" i="4"/>
  <c r="E162" i="4"/>
  <c r="F162" i="4"/>
  <c r="C162" i="4"/>
  <c r="D162" i="4"/>
  <c r="E154" i="4"/>
  <c r="C154" i="4"/>
  <c r="F154" i="4"/>
  <c r="D154" i="4"/>
  <c r="D146" i="4"/>
  <c r="C146" i="4"/>
  <c r="E146" i="4"/>
  <c r="F146" i="4"/>
  <c r="F138" i="4"/>
  <c r="C138" i="4"/>
  <c r="D138" i="4"/>
  <c r="E138" i="4"/>
  <c r="E130" i="4"/>
  <c r="D130" i="4"/>
  <c r="C130" i="4"/>
  <c r="F130" i="4"/>
  <c r="D222" i="4"/>
  <c r="F222" i="4"/>
  <c r="C222" i="4"/>
  <c r="E222" i="4"/>
  <c r="D210" i="4"/>
  <c r="E210" i="4"/>
  <c r="C210" i="4"/>
  <c r="F210" i="4"/>
  <c r="F209" i="4"/>
  <c r="C209" i="4"/>
  <c r="D209" i="4"/>
  <c r="E209" i="4"/>
  <c r="D201" i="4"/>
  <c r="C201" i="4"/>
  <c r="F201" i="4"/>
  <c r="E201" i="4"/>
  <c r="C193" i="4"/>
  <c r="F193" i="4"/>
  <c r="D193" i="4"/>
  <c r="E193" i="4"/>
  <c r="F185" i="4"/>
  <c r="C185" i="4"/>
  <c r="E185" i="4"/>
  <c r="D185" i="4"/>
  <c r="D178" i="4"/>
  <c r="E178" i="4"/>
  <c r="F178" i="4"/>
  <c r="C178" i="4"/>
  <c r="C169" i="4"/>
  <c r="F169" i="4"/>
  <c r="D169" i="4"/>
  <c r="E169" i="4"/>
  <c r="C161" i="4"/>
  <c r="E161" i="4"/>
  <c r="D161" i="4"/>
  <c r="F161" i="4"/>
  <c r="D153" i="4"/>
  <c r="C153" i="4"/>
  <c r="F153" i="4"/>
  <c r="E153" i="4"/>
  <c r="F144" i="4"/>
  <c r="D144" i="4"/>
  <c r="C144" i="4"/>
  <c r="E144" i="4"/>
  <c r="F137" i="4"/>
  <c r="C137" i="4"/>
  <c r="D137" i="4"/>
  <c r="E137" i="4"/>
  <c r="C129" i="4"/>
  <c r="F129" i="4"/>
  <c r="E129" i="4"/>
  <c r="D129" i="4"/>
  <c r="D214" i="4"/>
  <c r="C214" i="4"/>
  <c r="E214" i="4"/>
  <c r="F214" i="4"/>
  <c r="F208" i="4"/>
  <c r="D208" i="4"/>
  <c r="E208" i="4"/>
  <c r="C208" i="4"/>
  <c r="D200" i="4"/>
  <c r="F200" i="4"/>
  <c r="E200" i="4"/>
  <c r="C200" i="4"/>
  <c r="E192" i="4"/>
  <c r="D192" i="4"/>
  <c r="F192" i="4"/>
  <c r="C192" i="4"/>
  <c r="C184" i="4"/>
  <c r="F184" i="4"/>
  <c r="D184" i="4"/>
  <c r="E184" i="4"/>
  <c r="F176" i="4"/>
  <c r="E176" i="4"/>
  <c r="C176" i="4"/>
  <c r="D176" i="4"/>
  <c r="F167" i="4"/>
  <c r="D167" i="4"/>
  <c r="C167" i="4"/>
  <c r="E167" i="4"/>
  <c r="C160" i="4"/>
  <c r="F160" i="4"/>
  <c r="D160" i="4"/>
  <c r="E160" i="4"/>
  <c r="F152" i="4"/>
  <c r="C152" i="4"/>
  <c r="D152" i="4"/>
  <c r="E152" i="4"/>
  <c r="C145" i="4"/>
  <c r="D145" i="4"/>
  <c r="E145" i="4"/>
  <c r="F145" i="4"/>
  <c r="C133" i="4"/>
  <c r="D133" i="4"/>
  <c r="E133" i="4"/>
  <c r="F133" i="4"/>
  <c r="D128" i="4"/>
  <c r="F128" i="4"/>
  <c r="C128" i="4"/>
  <c r="E128" i="4"/>
  <c r="I123" i="4" l="1"/>
  <c r="I223" i="4" s="1"/>
  <c r="D277" i="13" s="1"/>
  <c r="D223" i="4"/>
  <c r="C223" i="4"/>
  <c r="C224" i="4" s="1"/>
  <c r="C225" i="4" s="1"/>
  <c r="F223" i="4"/>
  <c r="E223" i="4"/>
  <c r="I10" i="4"/>
  <c r="D279" i="13" s="1"/>
  <c r="E279" i="13" l="1"/>
  <c r="F279" i="13" s="1"/>
  <c r="C144" i="8"/>
  <c r="E144" i="8"/>
  <c r="D144" i="8"/>
  <c r="I224" i="4"/>
  <c r="I225" i="4" s="1"/>
  <c r="E277" i="13"/>
  <c r="F277" i="13" s="1"/>
  <c r="I110" i="4"/>
  <c r="C88" i="8"/>
  <c r="D88" i="8"/>
  <c r="D76" i="8" l="1"/>
  <c r="D79" i="8" s="1"/>
  <c r="C76" i="8"/>
  <c r="C78" i="8" s="1"/>
  <c r="C99" i="8" s="1"/>
  <c r="I168" i="13"/>
  <c r="C124" i="1" s="1"/>
  <c r="I167" i="13"/>
  <c r="C117" i="1" s="1"/>
  <c r="C148" i="8"/>
  <c r="I161" i="13"/>
  <c r="I163" i="13" s="1"/>
  <c r="D91" i="8"/>
  <c r="E91" i="8" s="1"/>
  <c r="D89" i="8"/>
  <c r="E89" i="8" s="1"/>
  <c r="D90" i="8"/>
  <c r="E88" i="8"/>
  <c r="C91" i="8"/>
  <c r="C90" i="8"/>
  <c r="C136" i="8" s="1"/>
  <c r="C89" i="8"/>
  <c r="I156" i="13"/>
  <c r="C147" i="8"/>
  <c r="C79" i="8" l="1"/>
  <c r="C101" i="8" s="1"/>
  <c r="D77" i="8"/>
  <c r="E77" i="8" s="1"/>
  <c r="E97" i="8" s="1"/>
  <c r="C95" i="8"/>
  <c r="C77" i="8"/>
  <c r="C131" i="8" s="1"/>
  <c r="D78" i="8"/>
  <c r="E78" i="8" s="1"/>
  <c r="E99" i="8" s="1"/>
  <c r="D95" i="8"/>
  <c r="E76" i="8"/>
  <c r="E95" i="8" s="1"/>
  <c r="D101" i="8"/>
  <c r="E79" i="8"/>
  <c r="E101" i="8" s="1"/>
  <c r="E125" i="8"/>
  <c r="B120" i="8"/>
  <c r="D136" i="8"/>
  <c r="E90" i="8"/>
  <c r="C153" i="8"/>
  <c r="D180" i="8"/>
  <c r="C195" i="8" s="1"/>
  <c r="E195" i="8" s="1"/>
  <c r="I158" i="13"/>
  <c r="I164" i="13" s="1"/>
  <c r="G117" i="1" s="1"/>
  <c r="D153" i="8"/>
  <c r="D184" i="8"/>
  <c r="D195" i="8" s="1"/>
  <c r="F195" i="8" s="1"/>
  <c r="G118" i="1" l="1" a="1"/>
  <c r="G118" i="1" s="1"/>
  <c r="D97" i="8"/>
  <c r="D99" i="8"/>
  <c r="C97" i="8"/>
  <c r="D131" i="8"/>
  <c r="E131" i="8" s="1"/>
  <c r="C112" i="8" s="1"/>
  <c r="C199" i="8"/>
  <c r="D199" i="8" s="1"/>
  <c r="C110" i="8"/>
  <c r="C132" i="8"/>
  <c r="B121" i="8"/>
  <c r="E136" i="8"/>
  <c r="B122" i="8" s="1"/>
  <c r="E128" i="8"/>
  <c r="D132" i="8" l="1"/>
  <c r="E132" i="8" s="1"/>
  <c r="B112" i="8" s="1"/>
  <c r="C111" i="8"/>
  <c r="B125" i="8"/>
  <c r="C125" i="8"/>
  <c r="B110" i="8"/>
  <c r="B111" i="8" l="1"/>
  <c r="B128" i="8"/>
  <c r="C166" i="8" s="1"/>
  <c r="C128" i="8"/>
  <c r="C163" i="8"/>
  <c r="D163" i="8"/>
  <c r="D162" i="8" s="1"/>
  <c r="E161" i="8"/>
  <c r="C161" i="8"/>
  <c r="E163" i="8"/>
  <c r="E162" i="8" s="1"/>
  <c r="D161" i="8"/>
  <c r="E166" i="8" l="1"/>
  <c r="D166" i="8"/>
  <c r="D168" i="8"/>
  <c r="D167" i="8" s="1"/>
  <c r="C168" i="8"/>
  <c r="C167" i="8" s="1"/>
  <c r="E168" i="8"/>
  <c r="E167" i="8" s="1"/>
  <c r="C162" i="8"/>
  <c r="C192" i="8"/>
  <c r="E192" i="8" s="1"/>
  <c r="D192" i="8" l="1"/>
  <c r="F192" i="8" s="1"/>
  <c r="C198" i="8" s="1"/>
  <c r="C201" i="8" s="1"/>
  <c r="D198" i="8" l="1"/>
  <c r="D20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Ross Smith IV</author>
    <author>Brent Alinger</author>
    <author>Paul Galjan</author>
    <author>rosssmi</author>
    <author>David Mosier</author>
    <author>David Mosier (MCS)</author>
  </authors>
  <commentList>
    <comment ref="B22" authorId="0" shapeId="0" xr:uid="{00000000-0006-0000-0100-000001000000}">
      <text>
        <r>
          <rPr>
            <sz val="9"/>
            <color indexed="81"/>
            <rFont val="Tahoma"/>
            <family val="2"/>
          </rPr>
          <t>Select the Exchange version you are deploying.</t>
        </r>
      </text>
    </comment>
    <comment ref="G22" authorId="0" shapeId="0" xr:uid="{00000000-0006-0000-0100-00000400000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Regardless of the namespace or user distribution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
        </r>
      </text>
    </comment>
    <comment ref="B23" authorId="0" shapeId="0" xr:uid="{00000000-0006-0000-0100-00000700000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G23" authorId="1" shapeId="0" xr:uid="{2A136721-C1E4-4380-829E-A94D20D2B245}">
      <text>
        <r>
          <rPr>
            <sz val="9"/>
            <color indexed="81"/>
            <rFont val="Tahoma"/>
            <family val="2"/>
          </rPr>
          <t>The default behavior of the calculator is to allocate a single active database copy to a disk volume.  In some Active/Passive configurations, this leads to a solution which allocates significantly more disk space than is required.
Choosing this option will allow multiple active database copies on a single disk volume.  This maximizes disk utilization while remaining within the capacity and IO capabilities of the disk subsystem.  If the capacity needs are not met the calculator will indicate a disk capacity warning when this value is enabled.</t>
        </r>
      </text>
    </comment>
    <comment ref="B24" authorId="0" shapeId="0" xr:uid="{00000000-0006-0000-0100-000009000000}">
      <text>
        <r>
          <rPr>
            <sz val="9"/>
            <color indexed="81"/>
            <rFont val="Tahoma"/>
            <family val="2"/>
          </rPr>
          <t>Enabling High Availability has additional requirements in terms of storage, CPU, and memory.</t>
        </r>
      </text>
    </comment>
    <comment ref="G24" authorId="2" shapeId="0" xr:uid="{00000000-0006-0000-0100-00000600000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xr:uid="{00000000-0006-0000-0100-000002000000}">
      <text>
        <r>
          <rPr>
            <sz val="9"/>
            <color indexed="81"/>
            <rFont val="Tahoma"/>
            <family val="2"/>
          </rPr>
          <t>Select Yes if you plan to deploy mailbox resiliency in a site resilient configuration.</t>
        </r>
      </text>
    </comment>
    <comment ref="G25" authorId="0" shapeId="0" xr:uid="{00000000-0006-0000-0100-00000800000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1" shapeId="0" xr:uid="{F1008A45-25D0-4CB3-9FE2-BDCB93EF6D53}">
      <text>
        <r>
          <rPr>
            <sz val="9"/>
            <color indexed="81"/>
            <rFont val="Tahoma"/>
            <family val="2"/>
          </rPr>
          <t xml:space="preserve">Metacache Database is a feature added to Exchange Server 2019 which improves performance of larger disks.  Metacache Database is only available when deploying Exchange on physical servers.
</t>
        </r>
      </text>
    </comment>
    <comment ref="G26" authorId="0" shapeId="0" xr:uid="{00000000-0006-0000-0100-00000A000000}">
      <text>
        <r>
          <rPr>
            <sz val="9"/>
            <color indexed="81"/>
            <rFont val="Tahoma"/>
            <family val="2"/>
          </rPr>
          <t>When deploying a site resilient solution that involves a user distribution model of Active/Active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9" authorId="0" shapeId="0" xr:uid="{00000000-0006-0000-0100-00000B00000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G29" authorId="0" shapeId="0" xr:uid="{00000000-0006-0000-0100-00000E00000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0" authorId="0" shapeId="0" xr:uid="{00000000-0006-0000-0100-00000D00000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G30" authorId="0" shapeId="0" xr:uid="{00000000-0006-0000-0100-00001000000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1" authorId="0" shapeId="0" xr:uid="{00000000-0006-0000-0100-00000F000000}">
      <text>
        <r>
          <rPr>
            <sz val="9"/>
            <color indexed="81"/>
            <rFont val="Tahoma"/>
            <family val="2"/>
          </rPr>
          <t>Enter the number of database copies (non-lagged) that reside in the second datacenter for the database availability group.</t>
        </r>
      </text>
    </comment>
    <comment ref="G31" authorId="0" shapeId="0" xr:uid="{00000000-0006-0000-0100-000012000000}">
      <text>
        <r>
          <rPr>
            <sz val="9"/>
            <color indexed="81"/>
            <rFont val="Tahoma"/>
            <family val="2"/>
          </rPr>
          <t xml:space="preserve">Lagged copies can now care for themselves by invoking automatic log replay to play down the log files in certain scenarios:
- When a low disk space threshold is reached
- When the lagged copy has physical corruption and needs to be page patched
- When there are fewer than three available healthy copies (active or passive only; lagged database copies are not counted) for more than 24 hours
In Exchange 2010, page patching wasn't available for lagged copies. In Exchange 2013 and later versions, page patching is available for lagged copies through this automatic play down feature. If the system detects that page patching is required for a lagged copy, the logs are automatically replayed into the lagged copy to perform page patching. Lagged copies also invoke this auto replay feature when a low disk space threshold has been reached, and when the lagged copy has been detected as the only available copy for a specific period of time.
Lagged copy play down behavior is disabled by default, and can be enabled by running the following command.
 Set-DatabaseAvailabilityGroup &lt;DAGName&gt; -ReplayLagManagerEnabled $true
Note: The calculator prohibits replay lag manager when dedicated lagged copy servers are deployed, or when there are less than 3 HA copies and multiple databases / volume is not the volume architecture.
</t>
        </r>
      </text>
    </comment>
    <comment ref="B32" authorId="0" shapeId="0" xr:uid="{00000000-0006-0000-0100-000011000000}">
      <text>
        <r>
          <rPr>
            <sz val="9"/>
            <color indexed="81"/>
            <rFont val="Tahoma"/>
            <family val="2"/>
          </rPr>
          <t>Enter the number of lagged database copies you plan to deploy in the second datacenter.</t>
        </r>
      </text>
    </comment>
    <comment ref="G32" authorId="0" shapeId="0" xr:uid="{00000000-0006-0000-0100-000013000000}">
      <text>
        <r>
          <rPr>
            <sz val="9"/>
            <color indexed="81"/>
            <rFont val="Tahoma"/>
            <family val="2"/>
          </rPr>
          <t xml:space="preserve">Exchange 2016 includes the ability to defer the play down of the lagged database copy when disk latency is a concern. By default, play down can be deferred for 24 hours.
When utilizing this feature, ensure that the SafetyNetThreshold is configured to a value that is equal to or greater than the sum of ReplayLagTime+ReplayLagMaxDelay.
For more information on ReplayLagMaxDelay, please see https://blogs.technet.microsoft.com/exchange/2016/03/03/lagged-database-copy-enhancements-in-exchange-server-2016-cu1/.   </t>
        </r>
      </text>
    </comment>
    <comment ref="B35" authorId="3" shapeId="0" xr:uid="{00000000-0006-0000-0100-00001400000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starting value is 15%.  Values over 30% will significantly limit number of mailboxes supported by a DB.  </t>
        </r>
      </text>
    </comment>
    <comment ref="G35" authorId="0" shapeId="0" xr:uid="{00000000-0006-0000-0100-00001600000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Custom to this question, otherwise use the default settings by selecting Default.</t>
        </r>
      </text>
    </comment>
    <comment ref="B36" authorId="0" shapeId="0" xr:uid="{00000000-0006-0000-0100-00001500000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G36" authorId="0" shapeId="0" xr:uid="{00000000-0006-0000-0100-000018000000}">
      <text>
        <r>
          <rPr>
            <sz val="8"/>
            <color indexed="81"/>
            <rFont val="Tahoma"/>
            <family val="2"/>
          </rPr>
          <t>Enter in a custom maximum database size you would like to design toward. 
Note: You must select "Custom"  to the question "Maximum Database Size Configuration" in order for this value to be utilized.</t>
        </r>
      </text>
    </comment>
    <comment ref="B37" authorId="0" shapeId="0" xr:uid="{00000000-0006-0000-0100-00001700000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G37" authorId="0" shapeId="0" xr:uid="{00000000-0006-0000-0100-00001A00000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8" authorId="0" shapeId="0" xr:uid="{00000000-0006-0000-0100-00001900000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G38" authorId="0" shapeId="0" xr:uid="{00000000-0006-0000-0100-00001C00000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39" authorId="0" shapeId="0" xr:uid="{00000000-0006-0000-0100-00001B00000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G39" authorId="0" shapeId="0" xr:uid="{00000000-0006-0000-0100-00001E00000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0" authorId="0" shapeId="0" xr:uid="{00000000-0006-0000-0100-00001D00000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G42" authorId="0" shapeId="0" xr:uid="{00000000-0006-0000-0100-000020000000}">
      <text>
        <r>
          <rPr>
            <sz val="9"/>
            <color indexed="81"/>
            <rFont val="Tahoma"/>
            <family val="2"/>
          </rPr>
          <t>The number of days a message can remain in a transport queue before it is expired.  This value maps to the MessageExpirationTimeout parameter on Set-TransportService.  The default value is 2 days.</t>
        </r>
      </text>
    </comment>
    <comment ref="B43" authorId="0" shapeId="0" xr:uid="{00000000-0006-0000-0100-00001F00000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G43" authorId="0" shapeId="0" xr:uid="{00000000-0006-0000-0100-000022000000}">
      <text>
        <r>
          <rPr>
            <sz val="9"/>
            <color indexed="81"/>
            <rFont val="Tahoma"/>
            <family val="2"/>
          </rPr>
          <t>The number of days a message can remain in the Safety Net queue before it is expired.  This value maps to the SafetyNetHoldTime parameter on Set-TransportConfig.  The default is 2 days.  The value you set for this should be equal to or greater than ReplayLagTime+ReplayLagMaxDelay.</t>
        </r>
      </text>
    </comment>
    <comment ref="B44" authorId="0" shapeId="0" xr:uid="{00000000-0006-0000-0100-00002100000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B51" authorId="0" shapeId="0" xr:uid="{00000000-0006-0000-0100-000023000000}">
      <text>
        <r>
          <rPr>
            <sz val="9"/>
            <color indexed="81"/>
            <rFont val="Tahoma"/>
            <family val="2"/>
          </rPr>
          <t>Select the number of days considered to be a work-week for your environment.</t>
        </r>
      </text>
    </comment>
    <comment ref="B54" authorId="3" shapeId="0" xr:uid="{00000000-0006-0000-0100-000024000000}">
      <text>
        <r>
          <rPr>
            <sz val="8"/>
            <color rgb="FF000000"/>
            <rFont val="Tahoma"/>
            <family val="2"/>
          </rPr>
          <t xml:space="preserve">Total number of mailboxes that will be supported in the environment for this mailbox class.
</t>
        </r>
        <r>
          <rPr>
            <sz val="8"/>
            <color rgb="FF000000"/>
            <rFont val="Tahoma"/>
            <family val="2"/>
          </rPr>
          <t xml:space="preserve">
</t>
        </r>
        <r>
          <rPr>
            <sz val="8"/>
            <color rgb="FF000000"/>
            <rFont val="Tahoma"/>
            <family val="2"/>
          </rPr>
          <t>If you want multiple servers, enter in the total number of mailboxes within the environment here and the calculator will evenly distribute them across each server.</t>
        </r>
      </text>
    </comment>
    <comment ref="G54" authorId="3" shapeId="0" xr:uid="{00000000-0006-0000-0100-00002500000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5" authorId="0" shapeId="0" xr:uid="{00000000-0006-0000-0100-000026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G55" authorId="0" shapeId="0" xr:uid="{00000000-0006-0000-0100-000027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6" authorId="0" shapeId="0" xr:uid="{00000000-0006-0000-0100-00002800000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G56" authorId="0" shapeId="0" xr:uid="{00000000-0006-0000-0100-000029000000}">
      <text>
        <r>
          <rPr>
            <sz val="9"/>
            <color indexed="81"/>
            <rFont val="Tahoma"/>
            <family val="2"/>
          </rPr>
          <t xml:space="preserve">Select the knowledge worker profile that fits your user environment.
You can determine what value your environment is by using the Generate-MessageProfile.ps1 script.
http://blogs.technet.com/b/exchange/archive/2015/04/27/generating-user-message-profiles-for-use-with-the-exchange-calculators.aspx </t>
        </r>
      </text>
    </comment>
    <comment ref="B57" authorId="0" shapeId="0" xr:uid="{00000000-0006-0000-0100-00002A00000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G57" authorId="0" shapeId="0" xr:uid="{00000000-0006-0000-0100-00002B00000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B58" authorId="0" shapeId="0" xr:uid="{00000000-0006-0000-0100-00002C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G58" authorId="0" shapeId="0" xr:uid="{00000000-0006-0000-0100-00002D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59" authorId="3" shapeId="0" xr:uid="{00000000-0006-0000-0100-00002E000000}">
      <text>
        <r>
          <rPr>
            <sz val="8"/>
            <color indexed="81"/>
            <rFont val="Tahoma"/>
            <family val="2"/>
          </rPr>
          <t>Send/Receive Quota Limit that will be used for the majority of the mailboxes.</t>
        </r>
      </text>
    </comment>
    <comment ref="G59" authorId="3" shapeId="0" xr:uid="{00000000-0006-0000-0100-00002F000000}">
      <text>
        <r>
          <rPr>
            <sz val="8"/>
            <color indexed="81"/>
            <rFont val="Tahoma"/>
            <family val="2"/>
          </rPr>
          <t>Send/Receive Quota Limit that will be used for the majority of the mailboxes.</t>
        </r>
      </text>
    </comment>
    <comment ref="B60" authorId="3" shapeId="0" xr:uid="{00000000-0006-0000-0100-000030000000}">
      <text>
        <r>
          <rPr>
            <sz val="8"/>
            <color rgb="FF000000"/>
            <rFont val="Tahoma"/>
            <family val="2"/>
          </rPr>
          <t xml:space="preserve">The Archive Quota setting which specifies the archive mailbox size at which it no longer accepts messages.
</t>
        </r>
      </text>
    </comment>
    <comment ref="G60" authorId="3" shapeId="0" xr:uid="{00000000-0006-0000-0100-000031000000}">
      <text>
        <r>
          <rPr>
            <sz val="8"/>
            <color indexed="81"/>
            <rFont val="Tahoma"/>
            <family val="2"/>
          </rPr>
          <t xml:space="preserve">The Archive Quota setting which specifies the archive mailbox size at which it no longer accepts messages.
</t>
        </r>
      </text>
    </comment>
    <comment ref="B61" authorId="0" shapeId="0" xr:uid="{00000000-0006-0000-0100-000032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G61" authorId="0" shapeId="0" xr:uid="{00000000-0006-0000-0100-000033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2" authorId="0" shapeId="0" xr:uid="{00000000-0006-0000-0100-000034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G62" authorId="0" shapeId="0" xr:uid="{00000000-0006-0000-0100-000035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3" authorId="0" shapeId="0" xr:uid="{00000000-0006-0000-0100-000036000000}">
      <text>
        <r>
          <rPr>
            <sz val="9"/>
            <color rgb="FF000000"/>
            <rFont val="Tahoma"/>
            <family val="2"/>
          </rPr>
          <t xml:space="preserve">By default, all changes to a calendar item are recorded in the mailbox of a user to keep older versions of meeting items for 120 days.  This data is stored in the mailbox's dumpster folder. 
</t>
        </r>
        <r>
          <rPr>
            <sz val="9"/>
            <color rgb="FF000000"/>
            <rFont val="Tahoma"/>
            <family val="2"/>
          </rPr>
          <t xml:space="preserve">
</t>
        </r>
        <r>
          <rPr>
            <sz val="9"/>
            <color rgb="FF000000"/>
            <rFont val="Tahoma"/>
            <family val="2"/>
          </rPr>
          <t xml:space="preserve">This can be disabled via set-mailbox and using the CalendarVersionStoreDisabled parameter. The default value is $false.
</t>
        </r>
      </text>
    </comment>
    <comment ref="G63" authorId="0" shapeId="0" xr:uid="{00000000-0006-0000-0100-00003700000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4" authorId="0" shapeId="0" xr:uid="{00000000-0006-0000-0100-000038000000}">
      <text>
        <r>
          <rPr>
            <sz val="9"/>
            <color indexed="81"/>
            <rFont val="Tahoma"/>
            <family val="2"/>
          </rPr>
          <t>Enter the percentage of users within this tier that will have the IOPS and Megacycles Multiplication Factor applied.</t>
        </r>
      </text>
    </comment>
    <comment ref="G64" authorId="0" shapeId="0" xr:uid="{00000000-0006-0000-0100-000039000000}">
      <text>
        <r>
          <rPr>
            <sz val="9"/>
            <color indexed="81"/>
            <rFont val="Tahoma"/>
            <family val="2"/>
          </rPr>
          <t>Enter the percentage of users within this tier that will have the IOPS and Megacycles Multiplication Factor applied.</t>
        </r>
      </text>
    </comment>
    <comment ref="B65" authorId="0" shapeId="0" xr:uid="{00000000-0006-0000-0100-00003A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G65" authorId="0" shapeId="0" xr:uid="{00000000-0006-0000-0100-00003B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6" authorId="0" shapeId="0" xr:uid="{00000000-0006-0000-0100-00003C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G66" authorId="0" shapeId="0" xr:uid="{00000000-0006-0000-0100-00003D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7" authorId="1" shapeId="0" xr:uid="{366F4CC8-3F34-452E-B1E0-3607936A10DA}">
      <text>
        <r>
          <rPr>
            <sz val="9"/>
            <color indexed="81"/>
            <rFont val="Tahoma"/>
            <family val="2"/>
          </rPr>
          <t xml:space="preserve">Specify the dominant version of Outlook Client in use by this group of mailboxes.
</t>
        </r>
      </text>
    </comment>
    <comment ref="G67" authorId="1" shapeId="0" xr:uid="{CA27EB6E-A155-4C09-BB67-CBF021F03356}">
      <text>
        <r>
          <rPr>
            <sz val="9"/>
            <color indexed="81"/>
            <rFont val="Tahoma"/>
            <family val="2"/>
          </rPr>
          <t xml:space="preserve">Specify the dominant version of Outlook Client in use by this group of mailboxes.
</t>
        </r>
      </text>
    </comment>
    <comment ref="B68" authorId="1" shapeId="0" xr:uid="{15F956A1-031B-403E-BFC1-C70EA3462D53}">
      <text>
        <r>
          <rPr>
            <sz val="9"/>
            <color indexed="81"/>
            <rFont val="Tahoma"/>
            <family val="2"/>
          </rPr>
          <t>Specify whether client is using Cache or Online Mode.</t>
        </r>
      </text>
    </comment>
    <comment ref="G68" authorId="1" shapeId="0" xr:uid="{91A6C348-985E-4725-AA25-1754B20F8DCE}">
      <text>
        <r>
          <rPr>
            <sz val="9"/>
            <color indexed="81"/>
            <rFont val="Tahoma"/>
            <family val="2"/>
          </rPr>
          <t>Specify whether client is using Cache or Online Mode.</t>
        </r>
      </text>
    </comment>
    <comment ref="B69" authorId="0" shapeId="0" xr:uid="{00000000-0006-0000-0100-00003E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G69" authorId="0" shapeId="0" xr:uid="{00000000-0006-0000-0100-00003F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70" authorId="0" shapeId="0" xr:uid="{00000000-0006-0000-0100-000040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G70" authorId="0" shapeId="0" xr:uid="{00000000-0006-0000-0100-000041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1" authorId="3" shapeId="0" xr:uid="{00000000-0006-0000-0100-000042000000}">
      <text>
        <r>
          <rPr>
            <sz val="8"/>
            <color rgb="FF000000"/>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t>
        </r>
        <r>
          <rPr>
            <sz val="8"/>
            <color rgb="FF000000"/>
            <rFont val="Tahoma"/>
            <family val="2"/>
          </rPr>
          <t xml:space="preserve">
</t>
        </r>
        <r>
          <rPr>
            <sz val="8"/>
            <color rgb="FF000000"/>
            <rFont val="Tahoma"/>
            <family val="2"/>
          </rPr>
          <t xml:space="preserve">Note: Actual data gathering should be performed to determine an accurate storage design.  It should include all applications that may increase the I/O (mobility, AV, content indexing,).
</t>
        </r>
        <r>
          <rPr>
            <sz val="8"/>
            <color rgb="FF000000"/>
            <rFont val="Tahoma"/>
            <family val="2"/>
          </rPr>
          <t xml:space="preserve">
</t>
        </r>
        <r>
          <rPr>
            <b/>
            <sz val="8"/>
            <color rgb="FF000000"/>
            <rFont val="Tahoma"/>
            <family val="2"/>
          </rPr>
          <t>Validation</t>
        </r>
        <r>
          <rPr>
            <sz val="8"/>
            <color rgb="FF000000"/>
            <rFont val="Tahoma"/>
            <family val="2"/>
          </rPr>
          <t xml:space="preserve">
</t>
        </r>
        <r>
          <rPr>
            <sz val="8"/>
            <color rgb="FF000000"/>
            <rFont val="Tahoma"/>
            <family val="2"/>
          </rPr>
          <t>If you select No to "Predict IOPS Value", then you must define IOPS and read:write values for this configuration.</t>
        </r>
      </text>
    </comment>
    <comment ref="G71" authorId="3" shapeId="0" xr:uid="{2D088CD2-F372-46BD-8172-1115471B0925}">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2" authorId="0" shapeId="0" xr:uid="{00000000-0006-0000-0100-00004400000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G72" authorId="0" shapeId="0" xr:uid="{EA3709A6-278D-4102-A025-087462A8CF7D}">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5" authorId="3" shapeId="0" xr:uid="{00000000-0006-0000-0100-00004600000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G75" authorId="3" shapeId="0" xr:uid="{00000000-0006-0000-0100-00004700000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6" authorId="0" shapeId="0" xr:uid="{00000000-0006-0000-0100-000048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G76" authorId="0" shapeId="0" xr:uid="{00000000-0006-0000-0100-00004900000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7" authorId="0" shapeId="0" xr:uid="{00000000-0006-0000-0100-00004A00000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G77" authorId="0" shapeId="0" xr:uid="{00000000-0006-0000-0100-00004B00000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B78" authorId="0" shapeId="0" xr:uid="{00000000-0006-0000-0100-00004C000000}">
      <text>
        <r>
          <rPr>
            <sz val="8"/>
            <color rgb="FF000000"/>
            <rFont val="Tahoma"/>
            <family val="2"/>
          </rPr>
          <t xml:space="preserve">The average message size within the environment.
</t>
        </r>
        <r>
          <rPr>
            <sz val="8"/>
            <color rgb="FF000000"/>
            <rFont val="Tahoma"/>
            <family val="2"/>
          </rPr>
          <t xml:space="preserve">
</t>
        </r>
        <r>
          <rPr>
            <sz val="8"/>
            <color rgb="FF000000"/>
            <rFont val="Tahoma"/>
            <family val="2"/>
          </rPr>
          <t xml:space="preserve">Microsoft recommends using an average message size of 75KB if this data point is not known.  
</t>
        </r>
        <r>
          <rPr>
            <sz val="8"/>
            <color rgb="FF000000"/>
            <rFont val="Tahoma"/>
            <family val="2"/>
          </rPr>
          <t xml:space="preserve">
</t>
        </r>
        <r>
          <rPr>
            <sz val="8"/>
            <color rgb="FF000000"/>
            <rFont val="Tahoma"/>
            <family val="2"/>
          </rPr>
          <t xml:space="preserve">You can determine your average message size value for your environment by using the Generate-MessageProfile.ps1 script.
</t>
        </r>
        <r>
          <rPr>
            <sz val="8"/>
            <color rgb="FF000000"/>
            <rFont val="Tahoma"/>
            <family val="2"/>
          </rPr>
          <t xml:space="preserve">
</t>
        </r>
        <r>
          <rPr>
            <sz val="8"/>
            <color rgb="FF000000"/>
            <rFont val="Tahoma"/>
            <family val="2"/>
          </rPr>
          <t>http://blogs.technet.com/b/exchange/archive/2015/04/27/generating-user-message-profiles-for-use-with-the-exchange-calculators.aspx</t>
        </r>
      </text>
    </comment>
    <comment ref="G78" authorId="0" shapeId="0" xr:uid="{00000000-0006-0000-0100-00004D00000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B79" authorId="0" shapeId="0" xr:uid="{00000000-0006-0000-0100-00004E000000}">
      <text>
        <r>
          <rPr>
            <sz val="9"/>
            <color rgb="FF000000"/>
            <rFont val="Tahoma"/>
            <family val="2"/>
          </rPr>
          <t xml:space="preserve">Enter the average initial mailbox size for the mailbox tier that is being migrated to Exchange 2013 platform.  This value is only used for the Mailbox Modeling prediction formulas.
</t>
        </r>
        <r>
          <rPr>
            <sz val="9"/>
            <color rgb="FF000000"/>
            <rFont val="Tahoma"/>
            <family val="2"/>
          </rPr>
          <t xml:space="preserve">
</t>
        </r>
        <r>
          <rPr>
            <sz val="9"/>
            <color rgb="FF000000"/>
            <rFont val="Tahoma"/>
            <family val="2"/>
          </rPr>
          <t>For example, if the average mailbox size on the Exchange 2007 platform is 500MB, then enter 500MB into this field.</t>
        </r>
      </text>
    </comment>
    <comment ref="G79" authorId="0" shapeId="0" xr:uid="{00000000-0006-0000-0100-00004F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80" authorId="3" shapeId="0" xr:uid="{00000000-0006-0000-0100-000050000000}">
      <text>
        <r>
          <rPr>
            <sz val="8"/>
            <color rgb="FF000000"/>
            <rFont val="Tahoma"/>
            <family val="2"/>
          </rPr>
          <t>Send/Receive Quota Limit that will be used for the majority of the mailboxes.</t>
        </r>
      </text>
    </comment>
    <comment ref="G80" authorId="3" shapeId="0" xr:uid="{00000000-0006-0000-0100-000051000000}">
      <text>
        <r>
          <rPr>
            <sz val="8"/>
            <color indexed="81"/>
            <rFont val="Tahoma"/>
            <family val="2"/>
          </rPr>
          <t>Send/Receive Quota Limit that will be used for the majority of the mailboxes.</t>
        </r>
      </text>
    </comment>
    <comment ref="B81" authorId="3" shapeId="0" xr:uid="{00000000-0006-0000-0100-000052000000}">
      <text>
        <r>
          <rPr>
            <sz val="8"/>
            <color rgb="FF000000"/>
            <rFont val="Tahoma"/>
            <family val="2"/>
          </rPr>
          <t xml:space="preserve">The Archive Quota setting which specifies the archive mailbox size at which it no longer accepts messages.
</t>
        </r>
      </text>
    </comment>
    <comment ref="G81" authorId="3" shapeId="0" xr:uid="{00000000-0006-0000-0100-000053000000}">
      <text>
        <r>
          <rPr>
            <sz val="8"/>
            <color indexed="81"/>
            <rFont val="Tahoma"/>
            <family val="2"/>
          </rPr>
          <t xml:space="preserve">The Archive Quota setting which specifies the archive mailbox size at which it no longer accepts messages.
</t>
        </r>
      </text>
    </comment>
    <comment ref="B82" authorId="0" shapeId="0" xr:uid="{00000000-0006-0000-0100-000054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G82" authorId="0" shapeId="0" xr:uid="{00000000-0006-0000-0100-00005500000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3" authorId="0" shapeId="0" xr:uid="{00000000-0006-0000-0100-000056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G83" authorId="0" shapeId="0" xr:uid="{00000000-0006-0000-0100-00005700000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4" authorId="0" shapeId="0" xr:uid="{00000000-0006-0000-0100-00005800000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G84" authorId="0" shapeId="0" xr:uid="{00000000-0006-0000-0100-00005900000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5" authorId="0" shapeId="0" xr:uid="{00000000-0006-0000-0100-00005A000000}">
      <text>
        <r>
          <rPr>
            <sz val="9"/>
            <color indexed="81"/>
            <rFont val="Tahoma"/>
            <family val="2"/>
          </rPr>
          <t>Enter the percentage of users within this tier that will have the IOPS and Megacycles Multiplication Factor applied.</t>
        </r>
      </text>
    </comment>
    <comment ref="G85" authorId="0" shapeId="0" xr:uid="{00000000-0006-0000-0100-00005B000000}">
      <text>
        <r>
          <rPr>
            <sz val="9"/>
            <color indexed="81"/>
            <rFont val="Tahoma"/>
            <family val="2"/>
          </rPr>
          <t>Enter the percentage of users within this tier that will have the IOPS and Megacycles Multiplication Factor applied.</t>
        </r>
      </text>
    </comment>
    <comment ref="B86" authorId="0" shapeId="0" xr:uid="{00000000-0006-0000-0100-00005C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G86" authorId="0" shapeId="0" xr:uid="{00000000-0006-0000-0100-00005D00000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7" authorId="0" shapeId="0" xr:uid="{00000000-0006-0000-0100-00005E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G87" authorId="0" shapeId="0" xr:uid="{00000000-0006-0000-0100-00005F00000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8" authorId="1" shapeId="0" xr:uid="{EDB7CEA1-C3CA-4853-B4FA-88385C1C411B}">
      <text>
        <r>
          <rPr>
            <sz val="9"/>
            <color indexed="81"/>
            <rFont val="Tahoma"/>
            <family val="2"/>
          </rPr>
          <t xml:space="preserve">Specify the dominant version of Outlook Client in use by this group of mailboxes.
</t>
        </r>
      </text>
    </comment>
    <comment ref="G88" authorId="1" shapeId="0" xr:uid="{0C8B5308-49ED-4DF2-94AF-D8602072FFC2}">
      <text>
        <r>
          <rPr>
            <sz val="9"/>
            <color indexed="81"/>
            <rFont val="Tahoma"/>
            <family val="2"/>
          </rPr>
          <t xml:space="preserve">Specify the dominant version of Outlook Client in use by this group of mailboxes.
</t>
        </r>
      </text>
    </comment>
    <comment ref="B89" authorId="1" shapeId="0" xr:uid="{D6515894-F2E2-44E5-AD41-41569AB86E0C}">
      <text>
        <r>
          <rPr>
            <sz val="9"/>
            <color indexed="81"/>
            <rFont val="Tahoma"/>
            <family val="2"/>
          </rPr>
          <t>Specify whether client is using Cache or Online Mode.</t>
        </r>
      </text>
    </comment>
    <comment ref="G89" authorId="1" shapeId="0" xr:uid="{083FA328-622C-4A11-BB98-060982795C73}">
      <text>
        <r>
          <rPr>
            <sz val="9"/>
            <color indexed="81"/>
            <rFont val="Tahoma"/>
            <family val="2"/>
          </rPr>
          <t>Specify whether client is using Cache or Online Mode.</t>
        </r>
      </text>
    </comment>
    <comment ref="B90" authorId="0" shapeId="0" xr:uid="{00000000-0006-0000-0100-000060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G90" authorId="0" shapeId="0" xr:uid="{00000000-0006-0000-0100-00006100000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91" authorId="0" shapeId="0" xr:uid="{00000000-0006-0000-0100-000062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G91" authorId="0" shapeId="0" xr:uid="{00000000-0006-0000-0100-00006300000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92" authorId="3" shapeId="0" xr:uid="{00000000-0006-0000-0100-00006400000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G92" authorId="3" shapeId="0" xr:uid="{00000000-0006-0000-0100-00006500000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3" authorId="0" shapeId="0" xr:uid="{00000000-0006-0000-0100-00006600000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G93" authorId="0" shapeId="0" xr:uid="{00000000-0006-0000-0100-00006700000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100" authorId="0" shapeId="0" xr:uid="{00000000-0006-0000-0100-00006800000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101" authorId="0" shapeId="0" xr:uid="{00000000-0006-0000-0100-000069000000}">
      <text>
        <r>
          <rPr>
            <sz val="8"/>
            <color indexed="81"/>
            <rFont val="Tahoma"/>
            <family val="2"/>
          </rPr>
          <t>The frequency at which you perform a backup.</t>
        </r>
      </text>
    </comment>
    <comment ref="B102" authorId="0" shapeId="0" xr:uid="{00000000-0006-0000-0100-00006A00000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3" authorId="0" shapeId="0" xr:uid="{00000000-0006-0000-0100-00006B00000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10" authorId="0" shapeId="0" xr:uid="{00000000-0006-0000-0100-00006C00000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11" authorId="0" shapeId="0" xr:uid="{00000000-0006-0000-0100-00006D000000}">
      <text>
        <r>
          <rPr>
            <sz val="9"/>
            <color indexed="81"/>
            <rFont val="Tahoma"/>
            <family val="2"/>
          </rPr>
          <t>Exchange 2013 supports JBOD scenarios where you deploy multiple databases per volume to maximize the efficiency of the disk.</t>
        </r>
      </text>
    </comment>
    <comment ref="B112" authorId="0" shapeId="0" xr:uid="{00000000-0006-0000-0100-00006E00000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3" authorId="0" shapeId="0" xr:uid="{00000000-0006-0000-0100-00006F000000}">
      <text>
        <r>
          <rPr>
            <sz val="9"/>
            <color indexed="81"/>
            <rFont val="Tahoma"/>
            <family val="2"/>
          </rPr>
          <t>If your server architecture is limited to a certain number of disks, choose No and enter the number of disks available to house databases in the accompanying field.</t>
        </r>
      </text>
    </comment>
    <comment ref="B114" authorId="4" shapeId="0" xr:uid="{00000000-0006-0000-0100-00007000000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5" authorId="5" shapeId="0" xr:uid="{00000000-0006-0000-0100-000071000000}">
      <text>
        <r>
          <rPr>
            <b/>
            <sz val="9"/>
            <color indexed="81"/>
            <rFont val="Tahoma"/>
            <family val="2"/>
          </rPr>
          <t>The number of volumes used for AutoReseed for a DAG.  This number is used by the Diskpart.ps1 script to determine how many extra volumes to format and mount for automatic seeding.</t>
        </r>
      </text>
    </comment>
    <comment ref="B118" authorId="0" shapeId="0" xr:uid="{00000000-0006-0000-0100-000072000000}">
      <text>
        <r>
          <rPr>
            <sz val="9"/>
            <color indexed="81"/>
            <rFont val="Tahoma"/>
            <family val="2"/>
          </rPr>
          <t>Select the disk capacity and disk type that will be used in the storage design for the operating system/system volume.
Note: Not all capacity choices are available in each disk type.</t>
        </r>
      </text>
    </comment>
    <comment ref="B119" authorId="3" shapeId="0" xr:uid="{00000000-0006-0000-0100-000073000000}">
      <text>
        <r>
          <rPr>
            <sz val="8"/>
            <color indexed="81"/>
            <rFont val="Tahoma"/>
            <family val="2"/>
          </rPr>
          <t>Select the disk capacity and disk type that will be used in the storage design.
Note: Not all capacity choices are available in each disk type.</t>
        </r>
      </text>
    </comment>
    <comment ref="B120" authorId="0" shapeId="0" xr:uid="{00000000-0006-0000-0100-000074000000}">
      <text>
        <r>
          <rPr>
            <sz val="9"/>
            <color indexed="81"/>
            <rFont val="Tahoma"/>
            <family val="2"/>
          </rPr>
          <t>Select the disk capacity and disk type that will be used in the storage design.
Note: Not all capacity choices are available in each disk type.</t>
        </r>
      </text>
    </comment>
    <comment ref="B121" authorId="0" shapeId="0" xr:uid="{00000000-0006-0000-0100-000075000000}">
      <text>
        <r>
          <rPr>
            <sz val="9"/>
            <color indexed="81"/>
            <rFont val="Tahoma"/>
            <family val="2"/>
          </rPr>
          <t>Select the disk capacity and disk type that will be used in the storage design.
Note: Not all capacity choices are available in each disk type.</t>
        </r>
      </text>
    </comment>
    <comment ref="B125" authorId="0" shapeId="0" xr:uid="{00000000-0006-0000-0100-000076000000}">
      <text>
        <r>
          <rPr>
            <sz val="9"/>
            <color indexed="81"/>
            <rFont val="Tahoma"/>
            <family val="2"/>
          </rPr>
          <t>Select the disk capacity and disk type that will be used in the storage design for the operating system/system volume.
Note: Not all capacity choices are available in each disk type.</t>
        </r>
      </text>
    </comment>
    <comment ref="B126" authorId="3" shapeId="0" xr:uid="{00000000-0006-0000-0100-000077000000}">
      <text>
        <r>
          <rPr>
            <sz val="8"/>
            <color indexed="81"/>
            <rFont val="Tahoma"/>
            <family val="2"/>
          </rPr>
          <t>Select the disk capacity and disk type that will be used in the storage design.
Note: Not all capacity choices are available in each disk type.</t>
        </r>
      </text>
    </comment>
    <comment ref="B127" authorId="0" shapeId="0" xr:uid="{00000000-0006-0000-0100-000078000000}">
      <text>
        <r>
          <rPr>
            <sz val="9"/>
            <color indexed="81"/>
            <rFont val="Tahoma"/>
            <family val="2"/>
          </rPr>
          <t>Select the disk capacity and disk type that will be used in the storage design.
Note: Not all capacity choices are available in each disk type.</t>
        </r>
      </text>
    </comment>
    <comment ref="B128" authorId="0" shapeId="0" xr:uid="{00000000-0006-0000-0100-000079000000}">
      <text>
        <r>
          <rPr>
            <sz val="9"/>
            <color indexed="81"/>
            <rFont val="Tahoma"/>
            <family val="2"/>
          </rPr>
          <t>Select the disk capacity and disk type that will be used in the storage design.
Note: Not all capacity choices are available in each disk type.</t>
        </r>
      </text>
    </comment>
    <comment ref="B137" authorId="1" shapeId="0" xr:uid="{235D0205-27F7-4997-8D67-7C5BC06BCE42}">
      <text>
        <r>
          <rPr>
            <sz val="9"/>
            <color indexed="81"/>
            <rFont val="Tahoma"/>
            <family val="2"/>
          </rPr>
          <t>Select the processor configuration and SPECint2017 rate values for the mailbox servers you will deploy in your primary datacenter.
To determine your SPECint2017 Rate Value:
1. Open a web browser and navigate to www.spec.org. 
2. Highlight '</t>
        </r>
        <r>
          <rPr>
            <b/>
            <sz val="9"/>
            <color indexed="81"/>
            <rFont val="Tahoma"/>
            <family val="2"/>
          </rPr>
          <t>Results</t>
        </r>
        <r>
          <rPr>
            <sz val="9"/>
            <color indexed="81"/>
            <rFont val="Tahoma"/>
            <family val="2"/>
          </rPr>
          <t>', highlight '</t>
        </r>
        <r>
          <rPr>
            <b/>
            <sz val="9"/>
            <color indexed="81"/>
            <rFont val="Tahoma"/>
            <family val="2"/>
          </rPr>
          <t>SPEC CPU 2017</t>
        </r>
        <r>
          <rPr>
            <sz val="9"/>
            <color indexed="81"/>
            <rFont val="Tahoma"/>
            <family val="2"/>
          </rPr>
          <t>' and then select '</t>
        </r>
        <r>
          <rPr>
            <b/>
            <sz val="9"/>
            <color indexed="81"/>
            <rFont val="Tahoma"/>
            <family val="2"/>
          </rPr>
          <t>Search all SPEC Integer Rate 2017 results</t>
        </r>
        <r>
          <rPr>
            <sz val="9"/>
            <color indexed="81"/>
            <rFont val="Tahoma"/>
            <family val="2"/>
          </rPr>
          <t>'. 
3. Under '</t>
        </r>
        <r>
          <rPr>
            <b/>
            <sz val="9"/>
            <color indexed="81"/>
            <rFont val="Tahoma"/>
            <family val="2"/>
          </rPr>
          <t>Available Configurations</t>
        </r>
        <r>
          <rPr>
            <sz val="9"/>
            <color indexed="81"/>
            <rFont val="Tahoma"/>
            <family val="2"/>
          </rPr>
          <t>', confirm '</t>
        </r>
        <r>
          <rPr>
            <b/>
            <sz val="9"/>
            <color indexed="81"/>
            <rFont val="Tahoma"/>
            <family val="2"/>
          </rPr>
          <t>SPECint2017 Rates</t>
        </r>
        <r>
          <rPr>
            <sz val="9"/>
            <color indexed="81"/>
            <rFont val="Tahoma"/>
            <family val="2"/>
          </rPr>
          <t>' is selected, or select it and click '</t>
        </r>
        <r>
          <rPr>
            <b/>
            <sz val="9"/>
            <color indexed="81"/>
            <rFont val="Tahoma"/>
            <family val="2"/>
          </rPr>
          <t>Go</t>
        </r>
        <r>
          <rPr>
            <sz val="9"/>
            <color indexed="81"/>
            <rFont val="Tahoma"/>
            <family val="2"/>
          </rPr>
          <t>'.
4. Under '</t>
        </r>
        <r>
          <rPr>
            <b/>
            <sz val="9"/>
            <color indexed="81"/>
            <rFont val="Tahoma"/>
            <family val="2"/>
          </rPr>
          <t>Simple Request</t>
        </r>
        <r>
          <rPr>
            <sz val="9"/>
            <color indexed="81"/>
            <rFont val="Tahoma"/>
            <family val="2"/>
          </rPr>
          <t>', enter the search criteria (e.g. Processor matches 6144 or System matches &lt;insert systemname&gt;). 
5. In the web report, find the server hardware and processor you are planning to deploy taking note of the '</t>
        </r>
        <r>
          <rPr>
            <b/>
            <sz val="9"/>
            <color indexed="81"/>
            <rFont val="Tahoma"/>
            <family val="2"/>
          </rPr>
          <t>Result</t>
        </r>
        <r>
          <rPr>
            <sz val="9"/>
            <color indexed="81"/>
            <rFont val="Tahoma"/>
            <family val="2"/>
          </rPr>
          <t>' column's value and confirm the value in the '</t>
        </r>
        <r>
          <rPr>
            <b/>
            <sz val="9"/>
            <color indexed="81"/>
            <rFont val="Tahoma"/>
            <family val="2"/>
          </rPr>
          <t>Cores</t>
        </r>
        <r>
          <rPr>
            <sz val="9"/>
            <color indexed="81"/>
            <rFont val="Tahoma"/>
            <family val="2"/>
          </rPr>
          <t xml:space="preserve">' column.
</t>
        </r>
        <r>
          <rPr>
            <u/>
            <sz val="9"/>
            <color indexed="81"/>
            <rFont val="Tahoma"/>
            <family val="2"/>
          </rPr>
          <t>If not using virtualized servers:</t>
        </r>
        <r>
          <rPr>
            <sz val="9"/>
            <color indexed="81"/>
            <rFont val="Tahoma"/>
            <family val="2"/>
          </rPr>
          <t xml:space="preserve">
6.  Enter the value from the '</t>
        </r>
        <r>
          <rPr>
            <b/>
            <sz val="9"/>
            <color indexed="81"/>
            <rFont val="Tahoma"/>
            <family val="2"/>
          </rPr>
          <t>Results</t>
        </r>
        <r>
          <rPr>
            <sz val="9"/>
            <color indexed="81"/>
            <rFont val="Tahoma"/>
            <family val="2"/>
          </rPr>
          <t>' column into the '</t>
        </r>
        <r>
          <rPr>
            <b/>
            <sz val="9"/>
            <color indexed="81"/>
            <rFont val="Tahoma"/>
            <family val="2"/>
          </rPr>
          <t>Server SPECint2017 Rate Value</t>
        </r>
        <r>
          <rPr>
            <sz val="9"/>
            <color indexed="81"/>
            <rFont val="Tahoma"/>
            <family val="2"/>
          </rPr>
          <t>' cell in the calculator spreadsheet.  Also enter the value from the '</t>
        </r>
        <r>
          <rPr>
            <b/>
            <sz val="9"/>
            <color indexed="81"/>
            <rFont val="Tahoma"/>
            <family val="2"/>
          </rPr>
          <t>Cores</t>
        </r>
        <r>
          <rPr>
            <sz val="9"/>
            <color indexed="81"/>
            <rFont val="Tahoma"/>
            <family val="2"/>
          </rPr>
          <t>' column into the '</t>
        </r>
        <r>
          <rPr>
            <b/>
            <sz val="9"/>
            <color indexed="81"/>
            <rFont val="Tahoma"/>
            <family val="2"/>
          </rPr>
          <t>Physical Cores/Server</t>
        </r>
        <r>
          <rPr>
            <sz val="9"/>
            <color indexed="81"/>
            <rFont val="Tahoma"/>
            <family val="2"/>
          </rPr>
          <t>' cell in the calculator spreadsheet.
7.  Into the '</t>
        </r>
        <r>
          <rPr>
            <b/>
            <sz val="9"/>
            <color indexed="81"/>
            <rFont val="Tahoma"/>
            <family val="2"/>
          </rPr>
          <t>Cores/Server</t>
        </r>
        <r>
          <rPr>
            <sz val="9"/>
            <color indexed="81"/>
            <rFont val="Tahoma"/>
            <family val="2"/>
          </rPr>
          <t>' cell in the calculator spreadsheet, enter the value in the '</t>
        </r>
        <r>
          <rPr>
            <b/>
            <sz val="9"/>
            <color indexed="81"/>
            <rFont val="Tahoma"/>
            <family val="2"/>
          </rPr>
          <t>Cores</t>
        </r>
        <r>
          <rPr>
            <sz val="9"/>
            <color indexed="81"/>
            <rFont val="Tahoma"/>
            <family val="2"/>
          </rPr>
          <t xml:space="preserve">' column from the web report.
</t>
        </r>
        <r>
          <rPr>
            <u/>
            <sz val="9"/>
            <color indexed="81"/>
            <rFont val="Tahoma"/>
            <family val="2"/>
          </rPr>
          <t>If using virtualized servers:</t>
        </r>
        <r>
          <rPr>
            <sz val="9"/>
            <color indexed="81"/>
            <rFont val="Tahoma"/>
            <family val="2"/>
          </rPr>
          <t xml:space="preserve">
6.  Enter the value from the '</t>
        </r>
        <r>
          <rPr>
            <b/>
            <sz val="9"/>
            <color indexed="81"/>
            <rFont val="Tahoma"/>
            <family val="2"/>
          </rPr>
          <t>Results</t>
        </r>
        <r>
          <rPr>
            <sz val="9"/>
            <color indexed="81"/>
            <rFont val="Tahoma"/>
            <family val="2"/>
          </rPr>
          <t>' column into the '</t>
        </r>
        <r>
          <rPr>
            <b/>
            <sz val="9"/>
            <color indexed="81"/>
            <rFont val="Tahoma"/>
            <family val="2"/>
          </rPr>
          <t>VM Host SPECint2017 Rate Value</t>
        </r>
        <r>
          <rPr>
            <sz val="9"/>
            <color indexed="81"/>
            <rFont val="Tahoma"/>
            <family val="2"/>
          </rPr>
          <t>' cell in the calculator spreadsheet.  Also enter the value from the '</t>
        </r>
        <r>
          <rPr>
            <b/>
            <sz val="9"/>
            <color indexed="81"/>
            <rFont val="Tahoma"/>
            <family val="2"/>
          </rPr>
          <t>Cores</t>
        </r>
        <r>
          <rPr>
            <sz val="9"/>
            <color indexed="81"/>
            <rFont val="Tahoma"/>
            <family val="2"/>
          </rPr>
          <t>' column into the '</t>
        </r>
        <r>
          <rPr>
            <b/>
            <sz val="9"/>
            <color indexed="81"/>
            <rFont val="Tahoma"/>
            <family val="2"/>
          </rPr>
          <t>Physical Cores/VM Host</t>
        </r>
        <r>
          <rPr>
            <sz val="9"/>
            <color indexed="81"/>
            <rFont val="Tahoma"/>
            <family val="2"/>
          </rPr>
          <t>' cell in the calculator spreadsheet.
7.  Into the '</t>
        </r>
        <r>
          <rPr>
            <b/>
            <sz val="9"/>
            <color indexed="81"/>
            <rFont val="Tahoma"/>
            <family val="2"/>
          </rPr>
          <t>Cores/VM</t>
        </r>
        <r>
          <rPr>
            <sz val="9"/>
            <color indexed="81"/>
            <rFont val="Tahoma"/>
            <family val="2"/>
          </rPr>
          <t xml:space="preserve">' cell in the calculator spreadsheet, enter the number of virtual cpu cores you have defined for the VM in your chosen hypervisor.
In addition, when using virtualization you must ensure that you enter the correct Hypervisor CPU Adjustment Factor to account for the CPU overhead associated guest machines.  Work with your hypervisor vendor to determine the correct value.
</t>
        </r>
      </text>
    </comment>
    <comment ref="B138" authorId="1" shapeId="0" xr:uid="{8291C5E5-4760-4EC9-9B12-184B4134B73B}">
      <text>
        <r>
          <rPr>
            <sz val="9"/>
            <color indexed="81"/>
            <rFont val="Tahoma"/>
            <family val="2"/>
          </rPr>
          <t>Select the processor configuration and SPECint2017 rate values for the mailbox servers you will deploy in your secondary datacenter.
To determine your SPECint2017 Rate Value:
1. Open a web browser and navigate to www.spec.org. 
2. Highlight '</t>
        </r>
        <r>
          <rPr>
            <b/>
            <sz val="9"/>
            <color indexed="81"/>
            <rFont val="Tahoma"/>
            <family val="2"/>
          </rPr>
          <t>Results</t>
        </r>
        <r>
          <rPr>
            <sz val="9"/>
            <color indexed="81"/>
            <rFont val="Tahoma"/>
            <family val="2"/>
          </rPr>
          <t>', highlight '</t>
        </r>
        <r>
          <rPr>
            <b/>
            <sz val="9"/>
            <color indexed="81"/>
            <rFont val="Tahoma"/>
            <family val="2"/>
          </rPr>
          <t>SPEC CPU 2017</t>
        </r>
        <r>
          <rPr>
            <sz val="9"/>
            <color indexed="81"/>
            <rFont val="Tahoma"/>
            <family val="2"/>
          </rPr>
          <t>' and then select '</t>
        </r>
        <r>
          <rPr>
            <b/>
            <sz val="9"/>
            <color indexed="81"/>
            <rFont val="Tahoma"/>
            <family val="2"/>
          </rPr>
          <t>Search all SPEC Integer Rate 2017 results</t>
        </r>
        <r>
          <rPr>
            <sz val="9"/>
            <color indexed="81"/>
            <rFont val="Tahoma"/>
            <family val="2"/>
          </rPr>
          <t>'. 
3. Under '</t>
        </r>
        <r>
          <rPr>
            <b/>
            <sz val="9"/>
            <color indexed="81"/>
            <rFont val="Tahoma"/>
            <family val="2"/>
          </rPr>
          <t>Available Configurations</t>
        </r>
        <r>
          <rPr>
            <sz val="9"/>
            <color indexed="81"/>
            <rFont val="Tahoma"/>
            <family val="2"/>
          </rPr>
          <t>', confirm '</t>
        </r>
        <r>
          <rPr>
            <b/>
            <sz val="9"/>
            <color indexed="81"/>
            <rFont val="Tahoma"/>
            <family val="2"/>
          </rPr>
          <t>SPECint2017 Rates</t>
        </r>
        <r>
          <rPr>
            <sz val="9"/>
            <color indexed="81"/>
            <rFont val="Tahoma"/>
            <family val="2"/>
          </rPr>
          <t>' is selected, or select it and click '</t>
        </r>
        <r>
          <rPr>
            <b/>
            <sz val="9"/>
            <color indexed="81"/>
            <rFont val="Tahoma"/>
            <family val="2"/>
          </rPr>
          <t>Go</t>
        </r>
        <r>
          <rPr>
            <sz val="9"/>
            <color indexed="81"/>
            <rFont val="Tahoma"/>
            <family val="2"/>
          </rPr>
          <t>'.
4. Under '</t>
        </r>
        <r>
          <rPr>
            <b/>
            <sz val="9"/>
            <color indexed="81"/>
            <rFont val="Tahoma"/>
            <family val="2"/>
          </rPr>
          <t>Simple Request</t>
        </r>
        <r>
          <rPr>
            <sz val="9"/>
            <color indexed="81"/>
            <rFont val="Tahoma"/>
            <family val="2"/>
          </rPr>
          <t>', enter the search criteria (e.g. Processor matches 6144 or System matches &lt;insert systemname&gt;). 
5. In the web report, find the server hardware and processor you are planning to deploy taking note of the '</t>
        </r>
        <r>
          <rPr>
            <b/>
            <sz val="9"/>
            <color indexed="81"/>
            <rFont val="Tahoma"/>
            <family val="2"/>
          </rPr>
          <t>Result</t>
        </r>
        <r>
          <rPr>
            <sz val="9"/>
            <color indexed="81"/>
            <rFont val="Tahoma"/>
            <family val="2"/>
          </rPr>
          <t>' column's value and confirm the value in the '</t>
        </r>
        <r>
          <rPr>
            <b/>
            <sz val="9"/>
            <color indexed="81"/>
            <rFont val="Tahoma"/>
            <family val="2"/>
          </rPr>
          <t>Cores</t>
        </r>
        <r>
          <rPr>
            <sz val="9"/>
            <color indexed="81"/>
            <rFont val="Tahoma"/>
            <family val="2"/>
          </rPr>
          <t xml:space="preserve">' column.
</t>
        </r>
        <r>
          <rPr>
            <u/>
            <sz val="9"/>
            <color indexed="81"/>
            <rFont val="Tahoma"/>
            <family val="2"/>
          </rPr>
          <t>If not using virtualized servers:</t>
        </r>
        <r>
          <rPr>
            <sz val="9"/>
            <color indexed="81"/>
            <rFont val="Tahoma"/>
            <family val="2"/>
          </rPr>
          <t xml:space="preserve">
6.  Enter the value from the '</t>
        </r>
        <r>
          <rPr>
            <b/>
            <sz val="9"/>
            <color indexed="81"/>
            <rFont val="Tahoma"/>
            <family val="2"/>
          </rPr>
          <t>Results</t>
        </r>
        <r>
          <rPr>
            <sz val="9"/>
            <color indexed="81"/>
            <rFont val="Tahoma"/>
            <family val="2"/>
          </rPr>
          <t>' column into the '</t>
        </r>
        <r>
          <rPr>
            <b/>
            <sz val="9"/>
            <color indexed="81"/>
            <rFont val="Tahoma"/>
            <family val="2"/>
          </rPr>
          <t>Server SPECint2017 Rate Value</t>
        </r>
        <r>
          <rPr>
            <sz val="9"/>
            <color indexed="81"/>
            <rFont val="Tahoma"/>
            <family val="2"/>
          </rPr>
          <t>' cell in the calculator spreadsheet.  Also enter the value from the '</t>
        </r>
        <r>
          <rPr>
            <b/>
            <sz val="9"/>
            <color indexed="81"/>
            <rFont val="Tahoma"/>
            <family val="2"/>
          </rPr>
          <t>Cores</t>
        </r>
        <r>
          <rPr>
            <sz val="9"/>
            <color indexed="81"/>
            <rFont val="Tahoma"/>
            <family val="2"/>
          </rPr>
          <t>' column into the '</t>
        </r>
        <r>
          <rPr>
            <b/>
            <sz val="9"/>
            <color indexed="81"/>
            <rFont val="Tahoma"/>
            <family val="2"/>
          </rPr>
          <t>Physical Cores/Server</t>
        </r>
        <r>
          <rPr>
            <sz val="9"/>
            <color indexed="81"/>
            <rFont val="Tahoma"/>
            <family val="2"/>
          </rPr>
          <t>' cell in the calculator spreadsheet.
7.  Into the '</t>
        </r>
        <r>
          <rPr>
            <b/>
            <sz val="9"/>
            <color indexed="81"/>
            <rFont val="Tahoma"/>
            <family val="2"/>
          </rPr>
          <t>Cores/Server</t>
        </r>
        <r>
          <rPr>
            <sz val="9"/>
            <color indexed="81"/>
            <rFont val="Tahoma"/>
            <family val="2"/>
          </rPr>
          <t>' cell in the calculator spreadsheet, enter the value in the '</t>
        </r>
        <r>
          <rPr>
            <b/>
            <sz val="9"/>
            <color indexed="81"/>
            <rFont val="Tahoma"/>
            <family val="2"/>
          </rPr>
          <t>Cores</t>
        </r>
        <r>
          <rPr>
            <sz val="9"/>
            <color indexed="81"/>
            <rFont val="Tahoma"/>
            <family val="2"/>
          </rPr>
          <t xml:space="preserve">' column from the web report.
</t>
        </r>
        <r>
          <rPr>
            <u/>
            <sz val="9"/>
            <color indexed="81"/>
            <rFont val="Tahoma"/>
            <family val="2"/>
          </rPr>
          <t xml:space="preserve">
If using virtualized servers:</t>
        </r>
        <r>
          <rPr>
            <sz val="9"/>
            <color indexed="81"/>
            <rFont val="Tahoma"/>
            <family val="2"/>
          </rPr>
          <t xml:space="preserve">
6.  Enter the value from the '</t>
        </r>
        <r>
          <rPr>
            <b/>
            <sz val="9"/>
            <color indexed="81"/>
            <rFont val="Tahoma"/>
            <family val="2"/>
          </rPr>
          <t>Results</t>
        </r>
        <r>
          <rPr>
            <sz val="9"/>
            <color indexed="81"/>
            <rFont val="Tahoma"/>
            <family val="2"/>
          </rPr>
          <t>' column into the '</t>
        </r>
        <r>
          <rPr>
            <b/>
            <sz val="9"/>
            <color indexed="81"/>
            <rFont val="Tahoma"/>
            <family val="2"/>
          </rPr>
          <t>VM Host SPECint2017 Rate Value</t>
        </r>
        <r>
          <rPr>
            <sz val="9"/>
            <color indexed="81"/>
            <rFont val="Tahoma"/>
            <family val="2"/>
          </rPr>
          <t>' cell in the calculator spreadsheet.  Also enter the value from the '</t>
        </r>
        <r>
          <rPr>
            <b/>
            <sz val="9"/>
            <color indexed="81"/>
            <rFont val="Tahoma"/>
            <family val="2"/>
          </rPr>
          <t>Cores</t>
        </r>
        <r>
          <rPr>
            <sz val="9"/>
            <color indexed="81"/>
            <rFont val="Tahoma"/>
            <family val="2"/>
          </rPr>
          <t>' column into the '</t>
        </r>
        <r>
          <rPr>
            <b/>
            <sz val="9"/>
            <color indexed="81"/>
            <rFont val="Tahoma"/>
            <family val="2"/>
          </rPr>
          <t>Physical Cores/VM Host</t>
        </r>
        <r>
          <rPr>
            <sz val="9"/>
            <color indexed="81"/>
            <rFont val="Tahoma"/>
            <family val="2"/>
          </rPr>
          <t>' cell in the calculator spreadsheet.
7.  Into the '</t>
        </r>
        <r>
          <rPr>
            <b/>
            <sz val="9"/>
            <color indexed="81"/>
            <rFont val="Tahoma"/>
            <family val="2"/>
          </rPr>
          <t>Cores/VM</t>
        </r>
        <r>
          <rPr>
            <sz val="9"/>
            <color indexed="81"/>
            <rFont val="Tahoma"/>
            <family val="2"/>
          </rPr>
          <t>' cell in the calculator spreadsheet, enter the number of virtual cpu cores you have defined for the VM in your chosen hypervisor.
In addition, when using virtualization you must ensure that you enter the correct Hypervisor CPU Adjustment Factor to account for the CPU overhead associated guest machines.  Work with your hypervisor vendor to determine the correct value.</t>
        </r>
      </text>
    </comment>
    <comment ref="B139" authorId="1" shapeId="0" xr:uid="{46FE9DD3-D9DE-49AB-8CDB-98AC9E1DAAF5}">
      <text>
        <r>
          <rPr>
            <sz val="9"/>
            <color indexed="81"/>
            <rFont val="Tahoma"/>
            <family val="2"/>
          </rPr>
          <t>Select the processor configuration and SPECint2017 rate values for the mailbox servers with lagged copies you will deploy in your datacenter.
To determine your SPECint2017 Rate Value:
1. Open a web browser and navigate to www.spec.org. 
2. Highlight '</t>
        </r>
        <r>
          <rPr>
            <b/>
            <sz val="9"/>
            <color indexed="81"/>
            <rFont val="Tahoma"/>
            <family val="2"/>
          </rPr>
          <t>Results</t>
        </r>
        <r>
          <rPr>
            <sz val="9"/>
            <color indexed="81"/>
            <rFont val="Tahoma"/>
            <family val="2"/>
          </rPr>
          <t>', highlight '</t>
        </r>
        <r>
          <rPr>
            <b/>
            <sz val="9"/>
            <color indexed="81"/>
            <rFont val="Tahoma"/>
            <family val="2"/>
          </rPr>
          <t>SPEC CPU 2017</t>
        </r>
        <r>
          <rPr>
            <sz val="9"/>
            <color indexed="81"/>
            <rFont val="Tahoma"/>
            <family val="2"/>
          </rPr>
          <t>' and then select '</t>
        </r>
        <r>
          <rPr>
            <b/>
            <sz val="9"/>
            <color indexed="81"/>
            <rFont val="Tahoma"/>
            <family val="2"/>
          </rPr>
          <t>Search all SPEC Integer Rate 2017 results</t>
        </r>
        <r>
          <rPr>
            <sz val="9"/>
            <color indexed="81"/>
            <rFont val="Tahoma"/>
            <family val="2"/>
          </rPr>
          <t>'. 
3. Under '</t>
        </r>
        <r>
          <rPr>
            <b/>
            <sz val="9"/>
            <color indexed="81"/>
            <rFont val="Tahoma"/>
            <family val="2"/>
          </rPr>
          <t>Available Configurations</t>
        </r>
        <r>
          <rPr>
            <sz val="9"/>
            <color indexed="81"/>
            <rFont val="Tahoma"/>
            <family val="2"/>
          </rPr>
          <t>', confirm '</t>
        </r>
        <r>
          <rPr>
            <b/>
            <sz val="9"/>
            <color indexed="81"/>
            <rFont val="Tahoma"/>
            <family val="2"/>
          </rPr>
          <t>SPECint2017 Rates</t>
        </r>
        <r>
          <rPr>
            <sz val="9"/>
            <color indexed="81"/>
            <rFont val="Tahoma"/>
            <family val="2"/>
          </rPr>
          <t>' is selected, or select it and click '</t>
        </r>
        <r>
          <rPr>
            <b/>
            <sz val="9"/>
            <color indexed="81"/>
            <rFont val="Tahoma"/>
            <family val="2"/>
          </rPr>
          <t>Go</t>
        </r>
        <r>
          <rPr>
            <sz val="9"/>
            <color indexed="81"/>
            <rFont val="Tahoma"/>
            <family val="2"/>
          </rPr>
          <t>'.
4. Under '</t>
        </r>
        <r>
          <rPr>
            <b/>
            <sz val="9"/>
            <color indexed="81"/>
            <rFont val="Tahoma"/>
            <family val="2"/>
          </rPr>
          <t>Simple Request</t>
        </r>
        <r>
          <rPr>
            <sz val="9"/>
            <color indexed="81"/>
            <rFont val="Tahoma"/>
            <family val="2"/>
          </rPr>
          <t>', enter the search criteria (e.g. Processor matches 6144 or System matches &lt;insert systemname&gt;). 
5. In the web report, find the server hardware and processor you are planning to deploy taking note of the '</t>
        </r>
        <r>
          <rPr>
            <b/>
            <sz val="9"/>
            <color indexed="81"/>
            <rFont val="Tahoma"/>
            <family val="2"/>
          </rPr>
          <t>Result</t>
        </r>
        <r>
          <rPr>
            <sz val="9"/>
            <color indexed="81"/>
            <rFont val="Tahoma"/>
            <family val="2"/>
          </rPr>
          <t>' column's value and confirm the value in the '</t>
        </r>
        <r>
          <rPr>
            <b/>
            <sz val="9"/>
            <color indexed="81"/>
            <rFont val="Tahoma"/>
            <family val="2"/>
          </rPr>
          <t>Cores</t>
        </r>
        <r>
          <rPr>
            <sz val="9"/>
            <color indexed="81"/>
            <rFont val="Tahoma"/>
            <family val="2"/>
          </rPr>
          <t xml:space="preserve">' column.
</t>
        </r>
        <r>
          <rPr>
            <u/>
            <sz val="9"/>
            <color indexed="81"/>
            <rFont val="Tahoma"/>
            <family val="2"/>
          </rPr>
          <t>If not using virtualized servers:</t>
        </r>
        <r>
          <rPr>
            <sz val="9"/>
            <color indexed="81"/>
            <rFont val="Tahoma"/>
            <family val="2"/>
          </rPr>
          <t xml:space="preserve">
6.  Enter the value from the '</t>
        </r>
        <r>
          <rPr>
            <b/>
            <sz val="9"/>
            <color indexed="81"/>
            <rFont val="Tahoma"/>
            <family val="2"/>
          </rPr>
          <t>Results</t>
        </r>
        <r>
          <rPr>
            <sz val="9"/>
            <color indexed="81"/>
            <rFont val="Tahoma"/>
            <family val="2"/>
          </rPr>
          <t>' column into the '</t>
        </r>
        <r>
          <rPr>
            <b/>
            <sz val="9"/>
            <color indexed="81"/>
            <rFont val="Tahoma"/>
            <family val="2"/>
          </rPr>
          <t>Server SPECint2017 Rate Value</t>
        </r>
        <r>
          <rPr>
            <sz val="9"/>
            <color indexed="81"/>
            <rFont val="Tahoma"/>
            <family val="2"/>
          </rPr>
          <t>' cell in the calculator spreadsheet.  Also enter the value from the '</t>
        </r>
        <r>
          <rPr>
            <b/>
            <sz val="9"/>
            <color indexed="81"/>
            <rFont val="Tahoma"/>
            <family val="2"/>
          </rPr>
          <t>Cores</t>
        </r>
        <r>
          <rPr>
            <sz val="9"/>
            <color indexed="81"/>
            <rFont val="Tahoma"/>
            <family val="2"/>
          </rPr>
          <t>' column into the '</t>
        </r>
        <r>
          <rPr>
            <b/>
            <sz val="9"/>
            <color indexed="81"/>
            <rFont val="Tahoma"/>
            <family val="2"/>
          </rPr>
          <t>Physical Cores/Server</t>
        </r>
        <r>
          <rPr>
            <sz val="9"/>
            <color indexed="81"/>
            <rFont val="Tahoma"/>
            <family val="2"/>
          </rPr>
          <t>' cell in the calculator spreadsheet.
7.  Into the '</t>
        </r>
        <r>
          <rPr>
            <b/>
            <sz val="9"/>
            <color indexed="81"/>
            <rFont val="Tahoma"/>
            <family val="2"/>
          </rPr>
          <t>Cores/Server</t>
        </r>
        <r>
          <rPr>
            <sz val="9"/>
            <color indexed="81"/>
            <rFont val="Tahoma"/>
            <family val="2"/>
          </rPr>
          <t>' cell in the calculator spreadsheet, enter the value in the '</t>
        </r>
        <r>
          <rPr>
            <b/>
            <sz val="9"/>
            <color indexed="81"/>
            <rFont val="Tahoma"/>
            <family val="2"/>
          </rPr>
          <t>Cores</t>
        </r>
        <r>
          <rPr>
            <sz val="9"/>
            <color indexed="81"/>
            <rFont val="Tahoma"/>
            <family val="2"/>
          </rPr>
          <t xml:space="preserve">' column from the web report.
</t>
        </r>
        <r>
          <rPr>
            <u/>
            <sz val="9"/>
            <color indexed="81"/>
            <rFont val="Tahoma"/>
            <family val="2"/>
          </rPr>
          <t>If using virtualized servers:</t>
        </r>
        <r>
          <rPr>
            <sz val="9"/>
            <color indexed="81"/>
            <rFont val="Tahoma"/>
            <family val="2"/>
          </rPr>
          <t xml:space="preserve">
6.  Enter the value from the '</t>
        </r>
        <r>
          <rPr>
            <b/>
            <sz val="9"/>
            <color indexed="81"/>
            <rFont val="Tahoma"/>
            <family val="2"/>
          </rPr>
          <t>Results</t>
        </r>
        <r>
          <rPr>
            <sz val="9"/>
            <color indexed="81"/>
            <rFont val="Tahoma"/>
            <family val="2"/>
          </rPr>
          <t>' column into the '</t>
        </r>
        <r>
          <rPr>
            <b/>
            <sz val="9"/>
            <color indexed="81"/>
            <rFont val="Tahoma"/>
            <family val="2"/>
          </rPr>
          <t>VM Host SPECint2017 Rate Value</t>
        </r>
        <r>
          <rPr>
            <sz val="9"/>
            <color indexed="81"/>
            <rFont val="Tahoma"/>
            <family val="2"/>
          </rPr>
          <t>' cell in the calculator spreadsheet.  Also enter the value from the 'Cores' column into the '</t>
        </r>
        <r>
          <rPr>
            <b/>
            <sz val="9"/>
            <color indexed="81"/>
            <rFont val="Tahoma"/>
            <family val="2"/>
          </rPr>
          <t>Physical Cores/VM Host</t>
        </r>
        <r>
          <rPr>
            <sz val="9"/>
            <color indexed="81"/>
            <rFont val="Tahoma"/>
            <family val="2"/>
          </rPr>
          <t xml:space="preserve">' cell in the calculator spreadsheet.
7.  Into the </t>
        </r>
        <r>
          <rPr>
            <b/>
            <sz val="9"/>
            <color indexed="81"/>
            <rFont val="Tahoma"/>
            <family val="2"/>
          </rPr>
          <t>'Cores/VM</t>
        </r>
        <r>
          <rPr>
            <sz val="9"/>
            <color indexed="81"/>
            <rFont val="Tahoma"/>
            <family val="2"/>
          </rPr>
          <t>' cell in the calculator spreadsheet, enter the number of virtual cpu cores you have defined for the VM in your chosen hypervisor.
In addition, when using virtualization you must ensure that you enter the correct Hypervisor CPU Adjustment Factor to account for the CPU overhead associated guest machines.  Work with your hypervisor vendor to determine the correct value.</t>
        </r>
      </text>
    </comment>
    <comment ref="B142" authorId="0" shapeId="0" xr:uid="{00000000-0006-0000-0100-00007D00000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3" authorId="1" shapeId="0" xr:uid="{09EDBEDD-E966-44A2-BDEA-3BF43B775EA7}">
      <text>
        <r>
          <rPr>
            <sz val="9"/>
            <color indexed="81"/>
            <rFont val="Tahoma"/>
            <family val="2"/>
          </rPr>
          <t>When using virtuatlization it is recommended to not oversubscribe the number of CPU's in virtual machines where Exchange is used.  CPU subscription should not exceed a ratio of 2:1 where 2 is the number of virtual CPU's backed by a single physical CPU resource.
Note:  Physical CPU resource refers to a single processor core</t>
        </r>
      </text>
    </comment>
    <comment ref="B146" authorId="5" shapeId="0" xr:uid="{00000000-0006-0000-0100-00007E000000}">
      <text>
        <r>
          <rPr>
            <sz val="9"/>
            <color indexed="81"/>
            <rFont val="Tahoma"/>
            <family val="2"/>
          </rPr>
          <t xml:space="preserve">Providing Exchange with more memory than it requires can degrade performance.  Selecting 'Yes' will limit the goal seeking process to the Microsoft recommended maximum for Mailbox server memory.
Microsoft does not recommend exceeding the recommended limits as defined in http://aka.ms/e2013cpu. </t>
        </r>
      </text>
    </comment>
    <comment ref="B147" authorId="5" shapeId="0" xr:uid="{00000000-0006-0000-0100-00007F000000}">
      <text>
        <r>
          <rPr>
            <sz val="9"/>
            <color indexed="81"/>
            <rFont val="Tahoma"/>
            <family val="2"/>
          </rPr>
          <t>The goal seek process for the number of DAGs and servers will use this value instead of the Microsoft recommended maximum for server memory.  This can be useful to limit the seek process to memory configurations available for the target server model.</t>
        </r>
      </text>
    </comment>
    <comment ref="B150" authorId="5" shapeId="0" xr:uid="{00000000-0006-0000-0100-000084000000}">
      <text>
        <r>
          <rPr>
            <sz val="9"/>
            <color indexed="81"/>
            <rFont val="Tahoma"/>
            <family val="2"/>
          </rPr>
          <t>Enables functionality to seek the minimum recommended number of DAGs and servers with the user load defined in the User Mailbox Configuration sections with the server configuration specified.
To use this feature you must enter valid SPECInt 2006 data for the target server model.  In addition you should enter accurate information for Maximum Mailbox Memory and the number, capacity, and speed of the Exchange data volumes.</t>
        </r>
      </text>
    </comment>
    <comment ref="B151" authorId="5" shapeId="0" xr:uid="{00000000-0006-0000-0100-000085000000}">
      <text>
        <r>
          <rPr>
            <sz val="9"/>
            <color indexed="81"/>
            <rFont val="Tahoma"/>
            <family val="2"/>
          </rPr>
          <t xml:space="preserve">Determines the method used to seek the number of DAGs and servers.
Optimize for fewest DAGs:
The process will only add another DAG after the all DAGs have 16 servers.
Optimize for fewest servers:
The goal seek process will return the opton with the fewest servers, even if the option requires requires more DAGs than another option. For example, if 60 servers will meet the requirements, it may return an option with five twelve-server DAGs instead of four sixteen-server DAGs. 
</t>
        </r>
      </text>
    </comment>
    <comment ref="B152" authorId="0" shapeId="0" xr:uid="{00000000-0006-0000-0100-00008600000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B153" authorId="0" shapeId="0" xr:uid="{00000000-0006-0000-0100-00008700000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C158" authorId="0" shapeId="0" xr:uid="{00000000-0006-0000-0100-000088000000}">
      <text>
        <r>
          <rPr>
            <sz val="9"/>
            <color indexed="81"/>
            <rFont val="Tahoma"/>
            <family val="2"/>
          </rPr>
          <t>Enter the names you would like to use to represent your servers.</t>
        </r>
      </text>
    </comment>
    <comment ref="H158" authorId="0" shapeId="0" xr:uid="{00000000-0006-0000-0100-000089000000}">
      <text>
        <r>
          <rPr>
            <sz val="9"/>
            <color indexed="81"/>
            <rFont val="Tahoma"/>
            <family val="2"/>
          </rPr>
          <t>Enter the Database naming prefix you would like to use in your environment; this value will be used in the script generation.</t>
        </r>
      </text>
    </comment>
    <comment ref="B180" authorId="0" shapeId="0" xr:uid="{00000000-0006-0000-0100-000080000000}">
      <text>
        <r>
          <rPr>
            <sz val="9"/>
            <color indexed="81"/>
            <rFont val="Tahoma"/>
            <family val="2"/>
          </rPr>
          <t>This column represents the hours in the day.</t>
        </r>
      </text>
    </comment>
    <comment ref="C180" authorId="0" shapeId="0" xr:uid="{00000000-0006-0000-0100-000081000000}">
      <text>
        <r>
          <rPr>
            <sz val="9"/>
            <color indexed="81"/>
            <rFont val="Tahoma"/>
            <family val="2"/>
          </rPr>
          <t>This is the percentage of logs generated on the server for each hour in the day within your existing messaging environment.
You can analyze your existing Exchange environment utilizing the script found at https://blogs.technet.microsoft.com/exchange/2013/10/07/analyzing-exchange-transaction-log-generation-statistics/
If the messaging environment is not using Exchange, then evaluate the messaging environment and enter in the rate of change per hour here.</t>
        </r>
      </text>
    </comment>
    <comment ref="G181" authorId="0" shapeId="0" xr:uid="{00000000-0006-0000-0100-000082000000}">
      <text>
        <r>
          <rPr>
            <sz val="9"/>
            <color indexed="81"/>
            <rFont val="Tahoma"/>
            <family val="2"/>
          </rPr>
          <t>Select the network link that will be used between the two physical locations.</t>
        </r>
      </text>
    </comment>
    <comment ref="G182" authorId="0" shapeId="0" xr:uid="{00000000-0006-0000-0100-000083000000}">
      <text>
        <r>
          <rPr>
            <sz val="9"/>
            <color indexed="81"/>
            <rFont val="Tahoma"/>
            <family val="2"/>
          </rPr>
          <t>Enter the network link latency.</t>
        </r>
      </text>
    </comment>
    <comment ref="B219" authorId="4" shapeId="0" xr:uid="{00000000-0006-0000-0100-00008A000000}">
      <text>
        <r>
          <rPr>
            <sz val="9"/>
            <color indexed="81"/>
            <rFont val="Tahoma"/>
            <family val="2"/>
          </rPr>
          <t>Determines if sets of servers are grouped together for database distribution or if the distribution is spread evenly over all servers.</t>
        </r>
      </text>
    </comment>
    <comment ref="B220" authorId="4" shapeId="0" xr:uid="{00000000-0006-0000-0100-00008B00000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221" authorId="4" shapeId="0" xr:uid="{00000000-0006-0000-0100-00008C00000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223" authorId="0" shapeId="0" xr:uid="{00000000-0006-0000-0100-00008D000000}">
      <text>
        <r>
          <rPr>
            <sz val="9"/>
            <color indexed="81"/>
            <rFont val="Tahoma"/>
            <family val="2"/>
          </rPr>
          <t>Enter the number of servers in each failure domain.</t>
        </r>
      </text>
    </comment>
    <comment ref="F223" authorId="0" shapeId="0" xr:uid="{00000000-0006-0000-0100-00008E000000}">
      <text>
        <r>
          <rPr>
            <sz val="9"/>
            <color indexed="81"/>
            <rFont val="Tahoma"/>
            <family val="2"/>
          </rPr>
          <t>Enter the number of database copies for each database that exists within a failure domain.</t>
        </r>
      </text>
    </comment>
    <comment ref="B232" authorId="4" shapeId="0" xr:uid="{00000000-0006-0000-0100-00008F00000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33" authorId="4" shapeId="0" xr:uid="{00000000-0006-0000-0100-000090000000}">
      <text>
        <r>
          <rPr>
            <b/>
            <sz val="9"/>
            <color indexed="81"/>
            <rFont val="Tahoma"/>
            <family val="2"/>
          </rPr>
          <t>This is the number of mailbox servers calculated to be in the primary site.</t>
        </r>
      </text>
    </comment>
    <comment ref="C236" authorId="0" shapeId="0" xr:uid="{00000000-0006-0000-0100-000091000000}">
      <text>
        <r>
          <rPr>
            <sz val="9"/>
            <color indexed="81"/>
            <rFont val="Tahoma"/>
            <family val="2"/>
          </rPr>
          <t>Enter the number of servers in each failure domain.</t>
        </r>
      </text>
    </comment>
    <comment ref="F236" authorId="0" shapeId="0" xr:uid="{00000000-0006-0000-0100-000092000000}">
      <text>
        <r>
          <rPr>
            <sz val="9"/>
            <color indexed="81"/>
            <rFont val="Tahoma"/>
            <family val="2"/>
          </rPr>
          <t>Enter the number of database copies for each database that exists within a failure domain.</t>
        </r>
      </text>
    </comment>
    <comment ref="B245" authorId="4" shapeId="0" xr:uid="{00000000-0006-0000-0100-00009300000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46" authorId="4" shapeId="0" xr:uid="{00000000-0006-0000-0100-00009400000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Ross Smith IV</author>
    <author>rosssmi</author>
    <author>David Mosier</author>
    <author>Brent Alinger</author>
  </authors>
  <commentList>
    <comment ref="B10" authorId="0" shapeId="0" xr:uid="{00000000-0006-0000-0200-000001000000}">
      <text>
        <r>
          <rPr>
            <sz val="9"/>
            <color indexed="81"/>
            <rFont val="Tahoma"/>
            <family val="2"/>
          </rPr>
          <t>Calculated number of mailboxes that includes growth factor.</t>
        </r>
      </text>
    </comment>
    <comment ref="H10" authorId="0" shapeId="0" xr:uid="{00000000-0006-0000-0200-000002000000}">
      <text>
        <r>
          <rPr>
            <sz val="9"/>
            <color indexed="81"/>
            <rFont val="Tahoma"/>
            <family val="2"/>
          </rPr>
          <t>Calculated number of mailboxes that includes growth factor.</t>
        </r>
      </text>
    </comment>
    <comment ref="B11" authorId="0" shapeId="0" xr:uid="{00000000-0006-0000-0200-000003000000}">
      <text>
        <r>
          <rPr>
            <sz val="8"/>
            <color indexed="81"/>
            <rFont val="Tahoma"/>
            <family val="2"/>
          </rPr>
          <t>This is the user profile based on the number of messages a user sends and receives each day.</t>
        </r>
      </text>
    </comment>
    <comment ref="H11" authorId="0" shapeId="0" xr:uid="{00000000-0006-0000-0200-000004000000}">
      <text>
        <r>
          <rPr>
            <sz val="8"/>
            <color indexed="81"/>
            <rFont val="Tahoma"/>
            <family val="2"/>
          </rPr>
          <t>This is the user profile based on the number of messages a user sends and receives each day.</t>
        </r>
      </text>
    </comment>
    <comment ref="B12" authorId="0" shapeId="0" xr:uid="{00000000-0006-0000-0200-000005000000}">
      <text>
        <r>
          <rPr>
            <sz val="9"/>
            <color indexed="81"/>
            <rFont val="Tahoma"/>
            <family val="2"/>
          </rPr>
          <t>Calculated IOPS Multiplication Factor based on user population</t>
        </r>
      </text>
    </comment>
    <comment ref="H12" authorId="0" shapeId="0" xr:uid="{00000000-0006-0000-0200-000006000000}">
      <text>
        <r>
          <rPr>
            <sz val="9"/>
            <color indexed="81"/>
            <rFont val="Tahoma"/>
            <family val="2"/>
          </rPr>
          <t>Calculated IOPS Multiplication Factor based on user population</t>
        </r>
      </text>
    </comment>
    <comment ref="B13" authorId="0" shapeId="0" xr:uid="{00000000-0006-0000-0200-000007000000}">
      <text>
        <r>
          <rPr>
            <sz val="9"/>
            <color indexed="81"/>
            <rFont val="Tahoma"/>
            <family val="2"/>
          </rPr>
          <t>Calculated megacycles multiplication factor based on user population</t>
        </r>
      </text>
    </comment>
    <comment ref="H13" authorId="0" shapeId="0" xr:uid="{00000000-0006-0000-0200-000008000000}">
      <text>
        <r>
          <rPr>
            <sz val="9"/>
            <color indexed="81"/>
            <rFont val="Tahoma"/>
            <family val="2"/>
          </rPr>
          <t>Calculated megacycles multiplication factor based on user population</t>
        </r>
      </text>
    </comment>
    <comment ref="B14" authorId="0" shapeId="0" xr:uid="{00000000-0006-0000-0200-000009000000}">
      <text>
        <r>
          <rPr>
            <sz val="9"/>
            <color indexed="81"/>
            <rFont val="Tahoma"/>
            <family val="2"/>
          </rPr>
          <t>The total number of megacycles required to support the active mailbox.</t>
        </r>
      </text>
    </comment>
    <comment ref="H14" authorId="0" shapeId="0" xr:uid="{00000000-0006-0000-0200-00000A000000}">
      <text>
        <r>
          <rPr>
            <sz val="9"/>
            <color indexed="81"/>
            <rFont val="Tahoma"/>
            <family val="2"/>
          </rPr>
          <t>The total number of megacycles required to support the active mailbox.</t>
        </r>
      </text>
    </comment>
    <comment ref="B15" authorId="0" shapeId="0" xr:uid="{00000000-0006-0000-0200-00000B000000}">
      <text>
        <r>
          <rPr>
            <sz val="9"/>
            <color indexed="81"/>
            <rFont val="Tahoma"/>
            <family val="2"/>
          </rPr>
          <t>The total number of megacycles to support the mailbox on a passive database.</t>
        </r>
      </text>
    </comment>
    <comment ref="H15" authorId="0" shapeId="0" xr:uid="{00000000-0006-0000-0200-00000C000000}">
      <text>
        <r>
          <rPr>
            <sz val="9"/>
            <color indexed="81"/>
            <rFont val="Tahoma"/>
            <family val="2"/>
          </rPr>
          <t>The total number of megacycles to support the mailbox on a passive database.</t>
        </r>
      </text>
    </comment>
    <comment ref="B16" authorId="0" shapeId="0" xr:uid="{00000000-0006-0000-0200-00000D000000}">
      <text>
        <r>
          <rPr>
            <sz val="9"/>
            <color indexed="81"/>
            <rFont val="Tahoma"/>
            <family val="2"/>
          </rPr>
          <t>Total Number of megacycles required to support the mailbox on the CAS.</t>
        </r>
      </text>
    </comment>
    <comment ref="H16" authorId="0" shapeId="0" xr:uid="{00000000-0006-0000-0200-00000E000000}">
      <text>
        <r>
          <rPr>
            <sz val="9"/>
            <color indexed="81"/>
            <rFont val="Tahoma"/>
            <family val="2"/>
          </rPr>
          <t>Total Number of megacycles required to support the mailbox on the CAS.</t>
        </r>
      </text>
    </comment>
    <comment ref="B17" authorId="0" shapeId="0" xr:uid="{00000000-0006-0000-0200-00000F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xr:uid="{00000000-0006-0000-0200-000010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xr:uid="{00000000-0006-0000-0200-000011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xr:uid="{00000000-0006-0000-0200-000012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xr:uid="{00000000-0006-0000-0200-000013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xr:uid="{00000000-0006-0000-0200-000014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xr:uid="{00000000-0006-0000-0200-000015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xr:uid="{00000000-0006-0000-0200-000016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xr:uid="{00000000-0006-0000-0200-000017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xr:uid="{00000000-0006-0000-0200-000018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xr:uid="{00000000-0006-0000-0200-000019000000}">
      <text>
        <r>
          <rPr>
            <sz val="8"/>
            <color indexed="81"/>
            <rFont val="Tahoma"/>
            <family val="2"/>
          </rPr>
          <t>This is the actual mailbox you must allocate in terms of capacity design.  This value includes deleted item retention and whitespace calculations.</t>
        </r>
      </text>
    </comment>
    <comment ref="H22" authorId="0" shapeId="0" xr:uid="{00000000-0006-0000-0200-00001A000000}">
      <text>
        <r>
          <rPr>
            <sz val="8"/>
            <color indexed="81"/>
            <rFont val="Tahoma"/>
            <family val="2"/>
          </rPr>
          <t>This is the actual mailbox you must allocate in terms of capacity design.  This value includes deleted item retention and whitespace calculations.</t>
        </r>
      </text>
    </comment>
    <comment ref="B23" authorId="0" shapeId="0" xr:uid="{00000000-0006-0000-0200-00001B000000}">
      <text>
        <r>
          <rPr>
            <sz val="9"/>
            <color indexed="81"/>
            <rFont val="Tahoma"/>
            <family val="2"/>
          </rPr>
          <t>This is the base IOPS profile based on the message profile</t>
        </r>
      </text>
    </comment>
    <comment ref="H23" authorId="0" shapeId="0" xr:uid="{00000000-0006-0000-0200-00001C000000}">
      <text>
        <r>
          <rPr>
            <sz val="9"/>
            <color indexed="81"/>
            <rFont val="Tahoma"/>
            <family val="2"/>
          </rPr>
          <t>This is the base IOPS profile based on the message profile</t>
        </r>
      </text>
    </comment>
    <comment ref="B24" authorId="0" shapeId="0" xr:uid="{00000000-0006-0000-0200-00001D000000}">
      <text>
        <r>
          <rPr>
            <sz val="9"/>
            <color indexed="81"/>
            <rFont val="Tahoma"/>
            <family val="2"/>
          </rPr>
          <t>Calculated read I/Os for the base mailbox IOPS profile.</t>
        </r>
      </text>
    </comment>
    <comment ref="H24" authorId="0" shapeId="0" xr:uid="{00000000-0006-0000-0200-00001E000000}">
      <text>
        <r>
          <rPr>
            <sz val="9"/>
            <color indexed="81"/>
            <rFont val="Tahoma"/>
            <family val="2"/>
          </rPr>
          <t>Calculated read I/Os for the base mailbox IOPS profile.</t>
        </r>
      </text>
    </comment>
    <comment ref="B25" authorId="0" shapeId="0" xr:uid="{00000000-0006-0000-0200-00001F000000}">
      <text>
        <r>
          <rPr>
            <sz val="9"/>
            <color indexed="81"/>
            <rFont val="Tahoma"/>
            <family val="2"/>
          </rPr>
          <t>Calculated writes I/Os for the base mailbox IOPS profile.</t>
        </r>
      </text>
    </comment>
    <comment ref="H25" authorId="0" shapeId="0" xr:uid="{00000000-0006-0000-0200-000020000000}">
      <text>
        <r>
          <rPr>
            <sz val="9"/>
            <color indexed="81"/>
            <rFont val="Tahoma"/>
            <family val="2"/>
          </rPr>
          <t>Calculated writes I/Os for the base mailbox IOPS profile.</t>
        </r>
      </text>
    </comment>
    <comment ref="B26" authorId="0" shapeId="0" xr:uid="{00000000-0006-0000-0200-000021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xr:uid="{00000000-0006-0000-0200-000022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xr:uid="{00000000-0006-0000-0200-000023000000}">
      <text>
        <r>
          <rPr>
            <sz val="8"/>
            <color indexed="81"/>
            <rFont val="Tahoma"/>
            <family val="2"/>
          </rPr>
          <t>This calculation determines the database reads that will occur per mailbox.</t>
        </r>
      </text>
    </comment>
    <comment ref="H27" authorId="0" shapeId="0" xr:uid="{00000000-0006-0000-0200-000024000000}">
      <text>
        <r>
          <rPr>
            <sz val="8"/>
            <color indexed="81"/>
            <rFont val="Tahoma"/>
            <family val="2"/>
          </rPr>
          <t>This calculation determines the database reads that will occur per mailbox.</t>
        </r>
      </text>
    </comment>
    <comment ref="B28" authorId="0" shapeId="0" xr:uid="{00000000-0006-0000-0200-000025000000}">
      <text>
        <r>
          <rPr>
            <sz val="8"/>
            <color indexed="81"/>
            <rFont val="Tahoma"/>
            <family val="2"/>
          </rPr>
          <t>This calculation will determine the number of database writes / mailbox.</t>
        </r>
      </text>
    </comment>
    <comment ref="H28" authorId="0" shapeId="0" xr:uid="{00000000-0006-0000-0200-000026000000}">
      <text>
        <r>
          <rPr>
            <sz val="8"/>
            <color indexed="81"/>
            <rFont val="Tahoma"/>
            <family val="2"/>
          </rPr>
          <t>This calculation will determine the number of database writes / mailbox.</t>
        </r>
      </text>
    </comment>
    <comment ref="B29" authorId="0" shapeId="0" xr:uid="{00000000-0006-0000-0200-000027000000}">
      <text>
        <r>
          <rPr>
            <sz val="9"/>
            <color indexed="81"/>
            <rFont val="Tahoma"/>
            <family val="2"/>
          </rPr>
          <t>This is the calculated read:write ratio for the mailbox tier based on the calculated database reads and writes as a result of the IOPS prediction formula.</t>
        </r>
      </text>
    </comment>
    <comment ref="H29" authorId="0" shapeId="0" xr:uid="{00000000-0006-0000-0200-000028000000}">
      <text>
        <r>
          <rPr>
            <sz val="9"/>
            <color indexed="81"/>
            <rFont val="Tahoma"/>
            <family val="2"/>
          </rPr>
          <t>This is the calculated read:write ratio for the mailbox tier based on the calculated database reads and writes as a result of the IOPS prediction formula.</t>
        </r>
      </text>
    </comment>
    <comment ref="B30" authorId="0" shapeId="0" xr:uid="{00000000-0006-0000-0200-000029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xr:uid="{00000000-0006-0000-0200-00002A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xr:uid="{00000000-0006-0000-0200-00002B000000}">
      <text>
        <r>
          <rPr>
            <sz val="9"/>
            <color indexed="81"/>
            <rFont val="Tahoma"/>
            <family val="2"/>
          </rPr>
          <t>This is the amount of database disk transfers (host perspective) generated by the mailbox tier.  This value also takes into account user concurrency.</t>
        </r>
      </text>
    </comment>
    <comment ref="H31" authorId="0" shapeId="0" xr:uid="{00000000-0006-0000-0200-00002C000000}">
      <text>
        <r>
          <rPr>
            <sz val="9"/>
            <color indexed="81"/>
            <rFont val="Tahoma"/>
            <family val="2"/>
          </rPr>
          <t>This is the amount of database disk transfers (host perspective) generated by the mailbox tier.  This value also takes into account user concurrency.</t>
        </r>
      </text>
    </comment>
    <comment ref="B32" authorId="0" shapeId="0" xr:uid="{00000000-0006-0000-0200-00002D000000}">
      <text>
        <r>
          <rPr>
            <sz val="9"/>
            <color indexed="81"/>
            <rFont val="Tahoma"/>
            <family val="2"/>
          </rPr>
          <t>This is the number of database read disk transfers (host perspective) generated by the mailbox tier.</t>
        </r>
      </text>
    </comment>
    <comment ref="H32" authorId="0" shapeId="0" xr:uid="{00000000-0006-0000-0200-00002E000000}">
      <text>
        <r>
          <rPr>
            <sz val="9"/>
            <color indexed="81"/>
            <rFont val="Tahoma"/>
            <family val="2"/>
          </rPr>
          <t>This is the number of database read disk transfers (host perspective) generated by the mailbox tier.</t>
        </r>
      </text>
    </comment>
    <comment ref="B33" authorId="0" shapeId="0" xr:uid="{00000000-0006-0000-0200-00002F000000}">
      <text>
        <r>
          <rPr>
            <sz val="9"/>
            <color indexed="81"/>
            <rFont val="Tahoma"/>
            <family val="2"/>
          </rPr>
          <t>This is the number of database write transfers (host perspective) generated by the mailbox tier.</t>
        </r>
      </text>
    </comment>
    <comment ref="H33" authorId="0" shapeId="0" xr:uid="{00000000-0006-0000-0200-000030000000}">
      <text>
        <r>
          <rPr>
            <sz val="9"/>
            <color indexed="81"/>
            <rFont val="Tahoma"/>
            <family val="2"/>
          </rPr>
          <t>This is the number of database write transfers (host perspective) generated by the mailbox tier.</t>
        </r>
      </text>
    </comment>
    <comment ref="B36" authorId="0" shapeId="0" xr:uid="{00000000-0006-0000-0200-000031000000}">
      <text>
        <r>
          <rPr>
            <sz val="9"/>
            <color indexed="81"/>
            <rFont val="Tahoma"/>
            <family val="2"/>
          </rPr>
          <t>Calculated number of mailboxes that includes growth factor.</t>
        </r>
      </text>
    </comment>
    <comment ref="H36" authorId="0" shapeId="0" xr:uid="{00000000-0006-0000-0200-000032000000}">
      <text>
        <r>
          <rPr>
            <sz val="9"/>
            <color indexed="81"/>
            <rFont val="Tahoma"/>
            <family val="2"/>
          </rPr>
          <t>Calculated number of mailboxes that includes growth factor.</t>
        </r>
      </text>
    </comment>
    <comment ref="B37" authorId="0" shapeId="0" xr:uid="{00000000-0006-0000-0200-000033000000}">
      <text>
        <r>
          <rPr>
            <sz val="8"/>
            <color indexed="81"/>
            <rFont val="Tahoma"/>
            <family val="2"/>
          </rPr>
          <t>This is the user profile based on the number of messages a user sends and receives each day.</t>
        </r>
      </text>
    </comment>
    <comment ref="H37" authorId="0" shapeId="0" xr:uid="{00000000-0006-0000-0200-000034000000}">
      <text>
        <r>
          <rPr>
            <sz val="8"/>
            <color indexed="81"/>
            <rFont val="Tahoma"/>
            <family val="2"/>
          </rPr>
          <t>This is the user profile based on the number of messages a user sends and receives each day.</t>
        </r>
      </text>
    </comment>
    <comment ref="B38" authorId="0" shapeId="0" xr:uid="{00000000-0006-0000-0200-000035000000}">
      <text>
        <r>
          <rPr>
            <sz val="9"/>
            <color indexed="81"/>
            <rFont val="Tahoma"/>
            <family val="2"/>
          </rPr>
          <t>Calculated IOPS Multiplication Factor based on user population</t>
        </r>
      </text>
    </comment>
    <comment ref="H38" authorId="0" shapeId="0" xr:uid="{00000000-0006-0000-0200-000036000000}">
      <text>
        <r>
          <rPr>
            <sz val="9"/>
            <color indexed="81"/>
            <rFont val="Tahoma"/>
            <family val="2"/>
          </rPr>
          <t>Calculated IOPS Multiplication Factor based on user population</t>
        </r>
      </text>
    </comment>
    <comment ref="B39" authorId="0" shapeId="0" xr:uid="{00000000-0006-0000-0200-000037000000}">
      <text>
        <r>
          <rPr>
            <sz val="9"/>
            <color indexed="81"/>
            <rFont val="Tahoma"/>
            <family val="2"/>
          </rPr>
          <t>Calculated megacycles multiplication factor based on user population</t>
        </r>
      </text>
    </comment>
    <comment ref="H39" authorId="0" shapeId="0" xr:uid="{00000000-0006-0000-0200-000038000000}">
      <text>
        <r>
          <rPr>
            <sz val="9"/>
            <color indexed="81"/>
            <rFont val="Tahoma"/>
            <family val="2"/>
          </rPr>
          <t>Calculated megacycles multiplication factor based on user population</t>
        </r>
      </text>
    </comment>
    <comment ref="B40" authorId="0" shapeId="0" xr:uid="{00000000-0006-0000-0200-000039000000}">
      <text>
        <r>
          <rPr>
            <sz val="9"/>
            <color indexed="81"/>
            <rFont val="Tahoma"/>
            <family val="2"/>
          </rPr>
          <t>The total number of megacycles required to support the active mailbox.</t>
        </r>
      </text>
    </comment>
    <comment ref="H40" authorId="0" shapeId="0" xr:uid="{00000000-0006-0000-0200-00003A000000}">
      <text>
        <r>
          <rPr>
            <sz val="9"/>
            <color indexed="81"/>
            <rFont val="Tahoma"/>
            <family val="2"/>
          </rPr>
          <t>The total number of megacycles required to support the active mailbox.</t>
        </r>
      </text>
    </comment>
    <comment ref="B41" authorId="0" shapeId="0" xr:uid="{00000000-0006-0000-0200-00003B000000}">
      <text>
        <r>
          <rPr>
            <sz val="9"/>
            <color indexed="81"/>
            <rFont val="Tahoma"/>
            <family val="2"/>
          </rPr>
          <t>The total number of megacycles to support the mailbox on a passive database.</t>
        </r>
      </text>
    </comment>
    <comment ref="H41" authorId="0" shapeId="0" xr:uid="{00000000-0006-0000-0200-00003C000000}">
      <text>
        <r>
          <rPr>
            <sz val="9"/>
            <color indexed="81"/>
            <rFont val="Tahoma"/>
            <family val="2"/>
          </rPr>
          <t>The total number of megacycles to support the mailbox on a passive database.</t>
        </r>
      </text>
    </comment>
    <comment ref="B42" authorId="0" shapeId="0" xr:uid="{00000000-0006-0000-0200-00003D000000}">
      <text>
        <r>
          <rPr>
            <sz val="9"/>
            <color indexed="81"/>
            <rFont val="Tahoma"/>
            <family val="2"/>
          </rPr>
          <t>Total Number of megacycles required to support the mailbox on the CAS.</t>
        </r>
      </text>
    </comment>
    <comment ref="H42" authorId="0" shapeId="0" xr:uid="{00000000-0006-0000-0200-00003E000000}">
      <text>
        <r>
          <rPr>
            <sz val="9"/>
            <color indexed="81"/>
            <rFont val="Tahoma"/>
            <family val="2"/>
          </rPr>
          <t>Total Number of megacycles required to support the mailbox on the CAS.</t>
        </r>
      </text>
    </comment>
    <comment ref="B43" authorId="0" shapeId="0" xr:uid="{00000000-0006-0000-0200-00003F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xr:uid="{00000000-0006-0000-0200-00004000000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xr:uid="{00000000-0006-0000-0200-000041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xr:uid="{00000000-0006-0000-0200-00004200000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xr:uid="{00000000-0006-0000-0200-000043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xr:uid="{00000000-0006-0000-0200-00004400000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xr:uid="{00000000-0006-0000-0200-000045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xr:uid="{00000000-0006-0000-0200-000046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xr:uid="{00000000-0006-0000-0200-000047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xr:uid="{00000000-0006-0000-0200-00004800000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xr:uid="{00000000-0006-0000-0200-000049000000}">
      <text>
        <r>
          <rPr>
            <sz val="8"/>
            <color indexed="81"/>
            <rFont val="Tahoma"/>
            <family val="2"/>
          </rPr>
          <t>This is the actual mailbox you must allocate in terms of capacity design.  This value includes deleted item retention and whitespace calculations.</t>
        </r>
      </text>
    </comment>
    <comment ref="H48" authorId="0" shapeId="0" xr:uid="{00000000-0006-0000-0200-00004A000000}">
      <text>
        <r>
          <rPr>
            <sz val="8"/>
            <color indexed="81"/>
            <rFont val="Tahoma"/>
            <family val="2"/>
          </rPr>
          <t>This is the actual mailbox you must allocate in terms of capacity design.  This value includes deleted item retention and whitespace calculations.</t>
        </r>
      </text>
    </comment>
    <comment ref="B49" authorId="0" shapeId="0" xr:uid="{00000000-0006-0000-0200-00004B000000}">
      <text>
        <r>
          <rPr>
            <sz val="9"/>
            <color indexed="81"/>
            <rFont val="Tahoma"/>
            <family val="2"/>
          </rPr>
          <t>This is the base IOPS profile based on the message profile</t>
        </r>
      </text>
    </comment>
    <comment ref="H49" authorId="0" shapeId="0" xr:uid="{00000000-0006-0000-0200-00004C000000}">
      <text>
        <r>
          <rPr>
            <sz val="9"/>
            <color indexed="81"/>
            <rFont val="Tahoma"/>
            <family val="2"/>
          </rPr>
          <t>This is the base IOPS profile based on the message profile</t>
        </r>
      </text>
    </comment>
    <comment ref="B50" authorId="0" shapeId="0" xr:uid="{00000000-0006-0000-0200-00004D000000}">
      <text>
        <r>
          <rPr>
            <sz val="9"/>
            <color indexed="81"/>
            <rFont val="Tahoma"/>
            <family val="2"/>
          </rPr>
          <t>Calculated read I/Os for the base mailbox IOPS profile.</t>
        </r>
      </text>
    </comment>
    <comment ref="H50" authorId="0" shapeId="0" xr:uid="{00000000-0006-0000-0200-00004E000000}">
      <text>
        <r>
          <rPr>
            <sz val="9"/>
            <color indexed="81"/>
            <rFont val="Tahoma"/>
            <family val="2"/>
          </rPr>
          <t>Calculated read I/Os for the base mailbox IOPS profile.</t>
        </r>
      </text>
    </comment>
    <comment ref="B51" authorId="0" shapeId="0" xr:uid="{00000000-0006-0000-0200-00004F000000}">
      <text>
        <r>
          <rPr>
            <sz val="9"/>
            <color indexed="81"/>
            <rFont val="Tahoma"/>
            <family val="2"/>
          </rPr>
          <t>Calculated writes I/Os for the base mailbox IOPS profile.</t>
        </r>
      </text>
    </comment>
    <comment ref="H51" authorId="0" shapeId="0" xr:uid="{00000000-0006-0000-0200-000050000000}">
      <text>
        <r>
          <rPr>
            <sz val="9"/>
            <color indexed="81"/>
            <rFont val="Tahoma"/>
            <family val="2"/>
          </rPr>
          <t>Calculated writes I/Os for the base mailbox IOPS profile.</t>
        </r>
      </text>
    </comment>
    <comment ref="B52" authorId="0" shapeId="0" xr:uid="{00000000-0006-0000-0200-000051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xr:uid="{00000000-0006-0000-0200-00005200000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xr:uid="{00000000-0006-0000-0200-000053000000}">
      <text>
        <r>
          <rPr>
            <sz val="8"/>
            <color indexed="81"/>
            <rFont val="Tahoma"/>
            <family val="2"/>
          </rPr>
          <t>This calculation determines the database reads that will occur per mailbox.</t>
        </r>
      </text>
    </comment>
    <comment ref="H53" authorId="0" shapeId="0" xr:uid="{00000000-0006-0000-0200-000054000000}">
      <text>
        <r>
          <rPr>
            <sz val="8"/>
            <color indexed="81"/>
            <rFont val="Tahoma"/>
            <family val="2"/>
          </rPr>
          <t>This calculation determines the database reads that will occur per mailbox.</t>
        </r>
      </text>
    </comment>
    <comment ref="B54" authorId="0" shapeId="0" xr:uid="{00000000-0006-0000-0200-000055000000}">
      <text>
        <r>
          <rPr>
            <sz val="8"/>
            <color indexed="81"/>
            <rFont val="Tahoma"/>
            <family val="2"/>
          </rPr>
          <t>This calculation will determine the number of database writes / mailbox.</t>
        </r>
      </text>
    </comment>
    <comment ref="H54" authorId="0" shapeId="0" xr:uid="{00000000-0006-0000-0200-000056000000}">
      <text>
        <r>
          <rPr>
            <sz val="8"/>
            <color indexed="81"/>
            <rFont val="Tahoma"/>
            <family val="2"/>
          </rPr>
          <t>This calculation will determine the number of database writes / mailbox.</t>
        </r>
      </text>
    </comment>
    <comment ref="B55" authorId="0" shapeId="0" xr:uid="{00000000-0006-0000-0200-000057000000}">
      <text>
        <r>
          <rPr>
            <sz val="9"/>
            <color indexed="81"/>
            <rFont val="Tahoma"/>
            <family val="2"/>
          </rPr>
          <t>This is the calculated read:write ratio for the mailbox tier based on the calculated database reads and writes as a result of the IOPS prediction formula.</t>
        </r>
      </text>
    </comment>
    <comment ref="H55" authorId="0" shapeId="0" xr:uid="{00000000-0006-0000-0200-000058000000}">
      <text>
        <r>
          <rPr>
            <sz val="9"/>
            <color indexed="81"/>
            <rFont val="Tahoma"/>
            <family val="2"/>
          </rPr>
          <t>This is the calculated read:write ratio for the mailbox tier based on the calculated database reads and writes as a result of the IOPS prediction formula.</t>
        </r>
      </text>
    </comment>
    <comment ref="B56" authorId="0" shapeId="0" xr:uid="{00000000-0006-0000-0200-000059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xr:uid="{00000000-0006-0000-0200-00005A00000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xr:uid="{00000000-0006-0000-0200-00005B000000}">
      <text>
        <r>
          <rPr>
            <sz val="9"/>
            <color indexed="81"/>
            <rFont val="Tahoma"/>
            <family val="2"/>
          </rPr>
          <t>This is the amount of database disk transfers (host perspective) generated by the mailbox tier.  This value also takes into account user concurrency.</t>
        </r>
      </text>
    </comment>
    <comment ref="H57" authorId="0" shapeId="0" xr:uid="{00000000-0006-0000-0200-00005C000000}">
      <text>
        <r>
          <rPr>
            <sz val="9"/>
            <color indexed="81"/>
            <rFont val="Tahoma"/>
            <family val="2"/>
          </rPr>
          <t>This is the amount of database disk transfers (host perspective) generated by the mailbox tier.  This value also takes into account user concurrency.</t>
        </r>
      </text>
    </comment>
    <comment ref="B58" authorId="0" shapeId="0" xr:uid="{00000000-0006-0000-0200-00005D000000}">
      <text>
        <r>
          <rPr>
            <sz val="9"/>
            <color indexed="81"/>
            <rFont val="Tahoma"/>
            <family val="2"/>
          </rPr>
          <t>This is the number of database read disk transfers (host perspective) generated by the mailbox tier.</t>
        </r>
      </text>
    </comment>
    <comment ref="H58" authorId="0" shapeId="0" xr:uid="{00000000-0006-0000-0200-00005E000000}">
      <text>
        <r>
          <rPr>
            <sz val="9"/>
            <color indexed="81"/>
            <rFont val="Tahoma"/>
            <family val="2"/>
          </rPr>
          <t>This is the number of database read disk transfers (host perspective) generated by the mailbox tier.</t>
        </r>
      </text>
    </comment>
    <comment ref="B59" authorId="0" shapeId="0" xr:uid="{00000000-0006-0000-0200-00005F000000}">
      <text>
        <r>
          <rPr>
            <sz val="9"/>
            <color indexed="81"/>
            <rFont val="Tahoma"/>
            <family val="2"/>
          </rPr>
          <t>This is the number of database write transfers (host perspective) generated by the mailbox tier.</t>
        </r>
      </text>
    </comment>
    <comment ref="H59" authorId="0" shapeId="0" xr:uid="{00000000-0006-0000-0200-000060000000}">
      <text>
        <r>
          <rPr>
            <sz val="9"/>
            <color indexed="81"/>
            <rFont val="Tahoma"/>
            <family val="2"/>
          </rPr>
          <t>This is the number of database write transfers (host perspective) generated by the mailbox tier.</t>
        </r>
      </text>
    </comment>
    <comment ref="B62" authorId="0" shapeId="0" xr:uid="{00000000-0006-0000-0200-000061000000}">
      <text>
        <r>
          <rPr>
            <sz val="9"/>
            <color indexed="81"/>
            <rFont val="Tahoma"/>
            <family val="2"/>
          </rPr>
          <t>The maximum database size that will be deployed.
1.  If using the default recommendations around database sizing:
- number of mailbox database copies
- database and log isolation
- disk size</t>
        </r>
      </text>
    </comment>
    <comment ref="H62" authorId="0" shapeId="0" xr:uid="{00000000-0006-0000-0200-000062000000}">
      <text>
        <r>
          <rPr>
            <sz val="9"/>
            <color indexed="81"/>
            <rFont val="Tahoma"/>
            <family val="2"/>
          </rPr>
          <t>This is the number of mailbox database copy instances that will be located in the primary datacenter.</t>
        </r>
      </text>
    </comment>
    <comment ref="B63" authorId="0" shapeId="0" xr:uid="{00000000-0006-0000-0200-00006300000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3" authorId="0" shapeId="0" xr:uid="{00000000-0006-0000-0200-000064000000}">
      <text>
        <r>
          <rPr>
            <sz val="9"/>
            <color indexed="81"/>
            <rFont val="Tahoma"/>
            <family val="2"/>
          </rPr>
          <t>This is the number of mailbox database copy instances that will be located in the primary datacenter.</t>
        </r>
      </text>
    </comment>
    <comment ref="B64" authorId="0" shapeId="0" xr:uid="{00000000-0006-0000-0200-000065000000}">
      <text>
        <r>
          <rPr>
            <sz val="9"/>
            <color indexed="81"/>
            <rFont val="Tahoma"/>
            <family val="2"/>
          </rPr>
          <t>This is the maximum number of databases that should be deployed on each mailbox server based on the LUN architecture configuration.</t>
        </r>
      </text>
    </comment>
    <comment ref="H64" authorId="0" shapeId="0" xr:uid="{00000000-0006-0000-0200-000066000000}">
      <text>
        <r>
          <rPr>
            <sz val="9"/>
            <color indexed="81"/>
            <rFont val="Tahoma"/>
            <family val="2"/>
          </rPr>
          <t>This is the number of mailbox database copy instances that will be located in the secondary
 datacenter.</t>
        </r>
      </text>
    </comment>
    <comment ref="B65" authorId="0" shapeId="0" xr:uid="{00000000-0006-0000-0200-000067000000}">
      <text>
        <r>
          <rPr>
            <sz val="9"/>
            <color indexed="81"/>
            <rFont val="Tahoma"/>
            <family val="2"/>
          </rPr>
          <t>This is the maximum number of databases that can be supported within the DAG based on the number of mailbox servers and the total number of copies.</t>
        </r>
      </text>
    </comment>
    <comment ref="H65" authorId="0" shapeId="0" xr:uid="{00000000-0006-0000-0200-000068000000}">
      <text>
        <r>
          <rPr>
            <sz val="9"/>
            <color indexed="81"/>
            <rFont val="Tahoma"/>
            <family val="2"/>
          </rPr>
          <t>This is the number of mailbox database copy instances that will be located in the secondary
 datacenter.</t>
        </r>
      </text>
    </comment>
    <comment ref="B66" authorId="0" shapeId="0" xr:uid="{00000000-0006-0000-0200-000069000000}">
      <text>
        <r>
          <rPr>
            <sz val="9"/>
            <color indexed="81"/>
            <rFont val="Tahoma"/>
            <family val="2"/>
          </rPr>
          <t>This is the ratio for the number of Tier-1 mailboxes when compared with the total mailboxes on the server.</t>
        </r>
      </text>
    </comment>
    <comment ref="H66" authorId="0" shapeId="0" xr:uid="{00000000-0006-0000-0200-00006A000000}">
      <text>
        <r>
          <rPr>
            <sz val="9"/>
            <color indexed="81"/>
            <rFont val="Tahoma"/>
            <family val="2"/>
          </rPr>
          <t>This is the number of lagged database copy instances that will be located in the primary datacenter.</t>
        </r>
      </text>
    </comment>
    <comment ref="B67" authorId="0" shapeId="0" xr:uid="{00000000-0006-0000-0200-00006B000000}">
      <text>
        <r>
          <rPr>
            <sz val="9"/>
            <color indexed="81"/>
            <rFont val="Tahoma"/>
            <family val="2"/>
          </rPr>
          <t>This is the ratio for the number of Tier-2 mailboxes when compared with the total mailboxes on the server.</t>
        </r>
      </text>
    </comment>
    <comment ref="H67" authorId="0" shapeId="0" xr:uid="{00000000-0006-0000-0200-00006C000000}">
      <text>
        <r>
          <rPr>
            <sz val="9"/>
            <color indexed="81"/>
            <rFont val="Tahoma"/>
            <family val="2"/>
          </rPr>
          <t>This is the number of lagged database copy instances that will be located in the primary datacenter.</t>
        </r>
      </text>
    </comment>
    <comment ref="B68" authorId="0" shapeId="0" xr:uid="{00000000-0006-0000-0200-00006D000000}">
      <text>
        <r>
          <rPr>
            <sz val="9"/>
            <color indexed="81"/>
            <rFont val="Tahoma"/>
            <family val="2"/>
          </rPr>
          <t>This is the ratio for the number of Tier-3 mailboxes when compared with the total mailboxes on the server.</t>
        </r>
      </text>
    </comment>
    <comment ref="H68" authorId="0" shapeId="0" xr:uid="{00000000-0006-0000-0200-00006E000000}">
      <text>
        <r>
          <rPr>
            <sz val="9"/>
            <color indexed="81"/>
            <rFont val="Tahoma"/>
            <family val="2"/>
          </rPr>
          <t>This is the number of lagged database copy instances that will be located in the secondary
 datacenter.</t>
        </r>
      </text>
    </comment>
    <comment ref="B69" authorId="0" shapeId="0" xr:uid="{00000000-0006-0000-0200-00006F000000}">
      <text>
        <r>
          <rPr>
            <sz val="9"/>
            <color indexed="81"/>
            <rFont val="Tahoma"/>
            <family val="2"/>
          </rPr>
          <t>This is the ratio for the number of Tier-4 mailboxes when compared with the total mailboxes on the server.</t>
        </r>
      </text>
    </comment>
    <comment ref="H69" authorId="0" shapeId="0" xr:uid="{00000000-0006-0000-0200-000070000000}">
      <text>
        <r>
          <rPr>
            <sz val="9"/>
            <color indexed="81"/>
            <rFont val="Tahoma"/>
            <family val="2"/>
          </rPr>
          <t>This is the number of lagged database copy instances that will be located in the secondary
 datacenter.</t>
        </r>
      </text>
    </comment>
    <comment ref="B70" authorId="0" shapeId="0" xr:uid="{00000000-0006-0000-0200-000071000000}">
      <text>
        <r>
          <rPr>
            <sz val="9"/>
            <color indexed="81"/>
            <rFont val="Tahoma"/>
            <family val="2"/>
          </rPr>
          <t>This is the number of mailboxes within the specified tier that will be placed on each database.</t>
        </r>
      </text>
    </comment>
    <comment ref="H70" authorId="0" shapeId="0" xr:uid="{00000000-0006-0000-0200-000072000000}">
      <text>
        <r>
          <rPr>
            <sz val="9"/>
            <color indexed="81"/>
            <rFont val="Tahoma"/>
            <family val="2"/>
          </rPr>
          <t>Total Calculated number of HA copy instances.</t>
        </r>
      </text>
    </comment>
    <comment ref="B71" authorId="0" shapeId="0" xr:uid="{00000000-0006-0000-0200-000073000000}">
      <text>
        <r>
          <rPr>
            <sz val="9"/>
            <color indexed="81"/>
            <rFont val="Tahoma"/>
            <family val="2"/>
          </rPr>
          <t>This is the number of mailboxes within the specified tier that will be placed on each database.</t>
        </r>
      </text>
    </comment>
    <comment ref="H71" authorId="0" shapeId="0" xr:uid="{00000000-0006-0000-0200-000074000000}">
      <text>
        <r>
          <rPr>
            <sz val="9"/>
            <color indexed="81"/>
            <rFont val="Tahoma"/>
            <family val="2"/>
          </rPr>
          <t>Total number of calculated lagged copy instances.</t>
        </r>
      </text>
    </comment>
    <comment ref="B72" authorId="0" shapeId="0" xr:uid="{00000000-0006-0000-0200-000075000000}">
      <text>
        <r>
          <rPr>
            <sz val="9"/>
            <color indexed="81"/>
            <rFont val="Tahoma"/>
            <family val="2"/>
          </rPr>
          <t>This is the number of mailboxes within the specified tier that will be placed on each database.</t>
        </r>
      </text>
    </comment>
    <comment ref="B73" authorId="0" shapeId="0" xr:uid="{00000000-0006-0000-0200-000076000000}">
      <text>
        <r>
          <rPr>
            <sz val="9"/>
            <color indexed="81"/>
            <rFont val="Tahoma"/>
            <family val="2"/>
          </rPr>
          <t>This is the number of mailboxes within the specified tier that will be placed on each database.</t>
        </r>
      </text>
    </comment>
    <comment ref="B74" authorId="0" shapeId="0" xr:uid="{00000000-0006-0000-0200-00007700000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4" authorId="0" shapeId="0" xr:uid="{00000000-0006-0000-0200-000079000000}">
      <text>
        <r>
          <rPr>
            <sz val="9"/>
            <color indexed="81"/>
            <rFont val="Tahoma"/>
            <family val="2"/>
          </rPr>
          <t>This is the aggregate database read:write ratio based on the different mailbox tier's read:write ratios.</t>
        </r>
      </text>
    </comment>
    <comment ref="B75" authorId="0" shapeId="0" xr:uid="{00000000-0006-0000-0200-000078000000}">
      <text>
        <r>
          <rPr>
            <sz val="9"/>
            <color indexed="81"/>
            <rFont val="Tahoma"/>
            <family val="2"/>
          </rPr>
          <t>This calculation determines the maximum number of mailboxes that could be supported within a database based on capacity assuming a single disk is used.</t>
        </r>
      </text>
    </comment>
    <comment ref="H75" authorId="1" shapeId="0" xr:uid="{00000000-0006-0000-0200-00007B00000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6" authorId="0" shapeId="0" xr:uid="{00000000-0006-0000-0200-00007A000000}">
      <text>
        <r>
          <rPr>
            <sz val="9"/>
            <color indexed="81"/>
            <rFont val="Tahoma"/>
            <family val="2"/>
          </rPr>
          <t>The number of users per database that is calculated here is based on ensuring that the recommended maximum database size is not exceeded.</t>
        </r>
      </text>
    </comment>
    <comment ref="H76" authorId="1" shapeId="0" xr:uid="{00000000-0006-0000-0200-00007D00000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7" authorId="0" shapeId="0" xr:uid="{00000000-0006-0000-0200-00007C000000}">
      <text>
        <r>
          <rPr>
            <sz val="9"/>
            <color indexed="81"/>
            <rFont val="Tahoma"/>
            <family val="2"/>
          </rPr>
          <t xml:space="preserve">This calculation determines the number of databases that should be deployed within the DAG or mailbox server to host the mailbox population. </t>
        </r>
      </text>
    </comment>
    <comment ref="H77" authorId="1" shapeId="0" xr:uid="{00000000-0006-0000-0200-00007F000000}">
      <text>
        <r>
          <rPr>
            <sz val="8"/>
            <color indexed="81"/>
            <rFont val="Tahoma"/>
            <family val="2"/>
          </rPr>
          <t>Number of database read transfers per second measured at the host that must be supported.</t>
        </r>
      </text>
    </comment>
    <comment ref="B78" authorId="0" shapeId="0" xr:uid="{00000000-0006-0000-0200-00007E00000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8" authorId="1" shapeId="0" xr:uid="{00000000-0006-0000-0200-000081000000}">
      <text>
        <r>
          <rPr>
            <sz val="8"/>
            <color indexed="81"/>
            <rFont val="Tahoma"/>
            <family val="2"/>
          </rPr>
          <t>Number of database write transfers per second measured at the host that must be supported.</t>
        </r>
      </text>
    </comment>
    <comment ref="B79" authorId="0" shapeId="0" xr:uid="{00000000-0006-0000-0200-000080000000}">
      <text>
        <r>
          <rPr>
            <sz val="9"/>
            <color indexed="81"/>
            <rFont val="Tahoma"/>
            <family val="2"/>
          </rPr>
          <t>Determines the recommended number of databases that should be deployed in the environment</t>
        </r>
      </text>
    </comment>
    <comment ref="H79" authorId="1" shapeId="0" xr:uid="{00000000-0006-0000-0200-000083000000}">
      <text>
        <r>
          <rPr>
            <sz val="8"/>
            <color indexed="81"/>
            <rFont val="Tahoma"/>
            <family val="2"/>
          </rPr>
          <t>For standalone configurations, 40% of database writes are log writes.
For HA configurations, 50% of database writes are log writes.</t>
        </r>
      </text>
    </comment>
    <comment ref="B80" authorId="2" shapeId="0" xr:uid="{00000000-0006-0000-0200-000082000000}">
      <text>
        <r>
          <rPr>
            <b/>
            <sz val="9"/>
            <color indexed="81"/>
            <rFont val="Tahoma"/>
            <family val="2"/>
          </rPr>
          <t>Determines the recommended number of databases that should be deployed in the environment</t>
        </r>
      </text>
    </comment>
    <comment ref="H80" authorId="0" shapeId="0" xr:uid="{00000000-0006-0000-0200-00008500000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81" authorId="0" shapeId="0" xr:uid="{00000000-0006-0000-0200-000084000000}">
      <text>
        <r>
          <rPr>
            <sz val="8"/>
            <color indexed="81"/>
            <rFont val="Tahoma"/>
            <family val="2"/>
          </rPr>
          <t xml:space="preserve">This is the recommended number of mailboxes per database that should be deployed. </t>
        </r>
      </text>
    </comment>
    <comment ref="H81" authorId="0" shapeId="0" xr:uid="{00000000-0006-0000-0200-000087000000}">
      <text>
        <r>
          <rPr>
            <sz val="9"/>
            <color indexed="81"/>
            <rFont val="Tahoma"/>
            <family val="2"/>
          </rPr>
          <t>The number of IOPS required for each unique database instance.</t>
        </r>
      </text>
    </comment>
    <comment ref="B82" authorId="2" shapeId="0" xr:uid="{00000000-0006-0000-0200-000086000000}">
      <text>
        <r>
          <rPr>
            <b/>
            <sz val="9"/>
            <color indexed="81"/>
            <rFont val="Tahoma"/>
            <family val="2"/>
          </rPr>
          <t>This is the maximum number of databases that can fit onto a single volume</t>
        </r>
      </text>
    </comment>
    <comment ref="H82" authorId="0" shapeId="0" xr:uid="{00000000-0006-0000-0200-000089000000}">
      <text>
        <r>
          <rPr>
            <sz val="9"/>
            <color indexed="81"/>
            <rFont val="Tahoma"/>
            <family val="2"/>
          </rPr>
          <t>The number of IOPS required for each active log stream.</t>
        </r>
      </text>
    </comment>
    <comment ref="B83" authorId="0" shapeId="0" xr:uid="{00000000-0006-0000-0200-000088000000}">
      <text>
        <r>
          <rPr>
            <sz val="9"/>
            <color indexed="81"/>
            <rFont val="Tahoma"/>
            <family val="2"/>
          </rPr>
          <t>The number of databases per volume.</t>
        </r>
      </text>
    </comment>
    <comment ref="H85" authorId="0" shapeId="0" xr:uid="{00000000-0006-0000-0200-000096000000}">
      <text>
        <r>
          <rPr>
            <sz val="9"/>
            <color indexed="81"/>
            <rFont val="Tahoma"/>
            <family val="2"/>
          </rPr>
          <t>The number of days the lagged copy waits before replaying logs into the database.</t>
        </r>
      </text>
    </comment>
    <comment ref="B86" authorId="0" shapeId="0" xr:uid="{00000000-0006-0000-0200-00008A000000}">
      <text>
        <r>
          <rPr>
            <sz val="9"/>
            <color indexed="81"/>
            <rFont val="Tahoma"/>
            <family val="2"/>
          </rPr>
          <t>The number of databases being deployed in the first datacenter.</t>
        </r>
      </text>
    </comment>
    <comment ref="H86" authorId="0" shapeId="0" xr:uid="{00000000-0006-0000-0200-000098000000}">
      <text>
        <r>
          <rPr>
            <sz val="9"/>
            <color indexed="81"/>
            <rFont val="Tahoma"/>
            <family val="2"/>
          </rPr>
          <t>The number of days the lagged copy waits before truncating logs.</t>
        </r>
      </text>
    </comment>
    <comment ref="B87" authorId="0" shapeId="0" xr:uid="{00000000-0006-0000-0200-00008C000000}">
      <text>
        <r>
          <rPr>
            <sz val="9"/>
            <color indexed="81"/>
            <rFont val="Tahoma"/>
            <family val="2"/>
          </rPr>
          <t>The number of databases being deployed in the second datacenter for Active/Active (Single DAG) scenarios.</t>
        </r>
      </text>
    </comment>
    <comment ref="H87" authorId="0" shapeId="0" xr:uid="{00000000-0006-0000-0200-00009A000000}">
      <text>
        <r>
          <rPr>
            <sz val="9"/>
            <color indexed="81"/>
            <rFont val="Tahoma"/>
            <family val="2"/>
          </rPr>
          <t>This is the number of dedicated lagged copy servers that are calculated based on the number of lagged database copies.</t>
        </r>
      </text>
    </comment>
    <comment ref="B88" authorId="0" shapeId="0" xr:uid="{00000000-0006-0000-0200-00008E000000}">
      <text>
        <r>
          <rPr>
            <sz val="9"/>
            <color indexed="81"/>
            <rFont val="Tahoma"/>
            <family val="2"/>
          </rPr>
          <t>This is the total number of Active and Passive HA copies in the first datacenter.  This does not include any lagged DB copies.</t>
        </r>
      </text>
    </comment>
    <comment ref="H88" authorId="0" shapeId="0" xr:uid="{00000000-0006-0000-0200-00009C000000}">
      <text>
        <r>
          <rPr>
            <sz val="9"/>
            <color indexed="81"/>
            <rFont val="Tahoma"/>
            <family val="2"/>
          </rPr>
          <t>This is the number of dedicated lagged copy servers that are calculated based on the number of lagged database copies located within the primary datacenter.</t>
        </r>
      </text>
    </comment>
    <comment ref="B89" authorId="0" shapeId="0" xr:uid="{00000000-0006-0000-0200-000090000000}">
      <text>
        <r>
          <rPr>
            <sz val="9"/>
            <color indexed="81"/>
            <rFont val="Tahoma"/>
            <family val="2"/>
          </rPr>
          <t>This is the total number of Active and Passive HA copies in the second datacenter.  This does not include any lagged DB copies.  This does not include any lagged database copies.</t>
        </r>
      </text>
    </comment>
    <comment ref="H89" authorId="0" shapeId="0" xr:uid="{00000000-0006-0000-0200-00009E000000}">
      <text>
        <r>
          <rPr>
            <sz val="9"/>
            <color indexed="81"/>
            <rFont val="Tahoma"/>
            <family val="2"/>
          </rPr>
          <t>This is the number of dedicated lagged copy servers that will be deployed in the second datacenter.</t>
        </r>
      </text>
    </comment>
    <comment ref="B90" authorId="0" shapeId="0" xr:uid="{00000000-0006-0000-0200-000092000000}">
      <text>
        <r>
          <rPr>
            <sz val="9"/>
            <color indexed="81"/>
            <rFont val="Tahoma"/>
            <family val="2"/>
          </rPr>
          <t>This is the total number of passive HA copies in the second datacenter based on the active copies in the first datacenter.  This does not include lagged database copies.</t>
        </r>
      </text>
    </comment>
    <comment ref="H90" authorId="0" shapeId="0" xr:uid="{00000000-0006-0000-0200-0000A0000000}">
      <text>
        <r>
          <rPr>
            <sz val="9"/>
            <color indexed="81"/>
            <rFont val="Tahoma"/>
            <family val="2"/>
          </rPr>
          <t>This is the number of lagged database copies that are required per DAG located within the first datacenter.</t>
        </r>
      </text>
    </comment>
    <comment ref="B91" authorId="0" shapeId="0" xr:uid="{00000000-0006-0000-0200-000093000000}">
      <text>
        <r>
          <rPr>
            <sz val="9"/>
            <color indexed="81"/>
            <rFont val="Tahoma"/>
            <family val="2"/>
          </rPr>
          <t>This is the total number of passive HA and lagged copies in the second datacenter when dedicated lagged servers are not deployed.  The copies are based on the databases deployed in the first datacenter.</t>
        </r>
      </text>
    </comment>
    <comment ref="H91" authorId="0" shapeId="0" xr:uid="{00000000-0006-0000-0200-0000A2000000}">
      <text>
        <r>
          <rPr>
            <sz val="9"/>
            <color indexed="81"/>
            <rFont val="Tahoma"/>
            <family val="2"/>
          </rPr>
          <t>This is the number of lagged database copies that are required per DAG located within the second datacenter.</t>
        </r>
      </text>
    </comment>
    <comment ref="B92" authorId="0" shapeId="0" xr:uid="{00000000-0006-0000-0200-000094000000}">
      <text>
        <r>
          <rPr>
            <sz val="9"/>
            <color indexed="81"/>
            <rFont val="Tahoma"/>
            <family val="2"/>
          </rPr>
          <t>This is the total number of passive HA and lagged copies in the first datacenter when dedicated lagged servers are not deployed.  The copies are based on the databases deployed in the second datacenter.</t>
        </r>
      </text>
    </comment>
    <comment ref="H92" authorId="0" shapeId="0" xr:uid="{00000000-0006-0000-0200-0000A4000000}">
      <text>
        <r>
          <rPr>
            <sz val="8"/>
            <color indexed="81"/>
            <rFont val="Tahoma"/>
            <family val="2"/>
          </rPr>
          <t>This is the amount of RAM required for the  Exchange mailbox server that meets the memory requirements for the mailbox assistants, CI, and the database cache.</t>
        </r>
      </text>
    </comment>
    <comment ref="B93" authorId="0" shapeId="0" xr:uid="{00000000-0006-0000-0200-000095000000}">
      <text>
        <r>
          <rPr>
            <sz val="9"/>
            <color indexed="81"/>
            <rFont val="Tahoma"/>
            <family val="2"/>
          </rPr>
          <t>This is the total number of passive HA copies in the first datacenter when dedicated lagged servers are not deployed based on the active copies in the second datacenter.  This does not include lagged database copies.</t>
        </r>
      </text>
    </comment>
    <comment ref="B94" authorId="3" shapeId="0" xr:uid="{053EB760-7EBE-4C4F-BA2B-C056FF907C83}">
      <text>
        <r>
          <rPr>
            <sz val="9"/>
            <color indexed="81"/>
            <rFont val="Tahoma"/>
            <family val="2"/>
          </rPr>
          <t xml:space="preserve">This is the total number of lagged DB copies in the first datacenter.
</t>
        </r>
      </text>
    </comment>
    <comment ref="B95" authorId="3" shapeId="0" xr:uid="{0577F0BA-CB36-4558-B666-744F631AE212}">
      <text>
        <r>
          <rPr>
            <sz val="9"/>
            <color indexed="81"/>
            <rFont val="Tahoma"/>
            <family val="2"/>
          </rPr>
          <t>This is the total number of lagged DB copies in the second datacenter.</t>
        </r>
      </text>
    </comment>
    <comment ref="H95" authorId="0" shapeId="0" xr:uid="{00000000-0006-0000-0200-00008B000000}">
      <text>
        <r>
          <rPr>
            <sz val="9"/>
            <color indexed="81"/>
            <rFont val="Tahoma"/>
            <family val="2"/>
          </rPr>
          <t>This is the calculated number of servers required to deploy in the first datacenter to support the active mailbox database copies.</t>
        </r>
      </text>
    </comment>
    <comment ref="H96" authorId="0" shapeId="0" xr:uid="{00000000-0006-0000-0200-00008D000000}">
      <text>
        <r>
          <rPr>
            <sz val="9"/>
            <color indexed="81"/>
            <rFont val="Tahoma"/>
            <family val="2"/>
          </rPr>
          <t>For Active/Active site resilience model this is the calculated number of servers required to deploy in the first datacenter to support the passive mailbox database copies.</t>
        </r>
      </text>
    </comment>
    <comment ref="H97" authorId="0" shapeId="0" xr:uid="{00000000-0006-0000-0200-00008F000000}">
      <text>
        <r>
          <rPr>
            <sz val="9"/>
            <color indexed="81"/>
            <rFont val="Tahoma"/>
            <family val="2"/>
          </rPr>
          <t>For Active/Active site resilience model this is the calculated number of servers required to deploy in the second datacenter to support the active mailbox database copies.</t>
        </r>
      </text>
    </comment>
    <comment ref="H98" authorId="0" shapeId="0" xr:uid="{00000000-0006-0000-0200-000091000000}">
      <text>
        <r>
          <rPr>
            <sz val="9"/>
            <color indexed="81"/>
            <rFont val="Tahoma"/>
            <family val="2"/>
          </rPr>
          <t>For Active/Passive site resilience model this is the calculated number of servers required to deploy in the second datacenter to support the mailbox database copies.</t>
        </r>
      </text>
    </comment>
    <comment ref="B99" authorId="0" shapeId="0" xr:uid="{00000000-0006-0000-0200-000097000000}">
      <text>
        <r>
          <rPr>
            <sz val="9"/>
            <color indexed="81"/>
            <rFont val="Tahoma"/>
            <family val="2"/>
          </rPr>
          <t>This is the total number of mailboxes in the environment.</t>
        </r>
      </text>
    </comment>
    <comment ref="B100" authorId="0" shapeId="0" xr:uid="{00000000-0006-0000-0200-000099000000}">
      <text>
        <r>
          <rPr>
            <sz val="9"/>
            <color indexed="81"/>
            <rFont val="Tahoma"/>
            <family val="2"/>
          </rPr>
          <t>The number of mailboxes per database availability group.</t>
        </r>
      </text>
    </comment>
    <comment ref="B101" authorId="0" shapeId="0" xr:uid="{00000000-0006-0000-0200-00009B000000}">
      <text>
        <r>
          <rPr>
            <sz val="9"/>
            <color indexed="81"/>
            <rFont val="Tahoma"/>
            <family val="2"/>
          </rPr>
          <t>This is the number of mailbox servers entered in the Input tab.</t>
        </r>
      </text>
    </comment>
    <comment ref="B102" authorId="0" shapeId="0" xr:uid="{00000000-0006-0000-0200-00009D000000}">
      <text>
        <r>
          <rPr>
            <sz val="9"/>
            <color indexed="81"/>
            <rFont val="Tahoma"/>
            <family val="2"/>
          </rPr>
          <t>This is the total number of mailboxes on the server.</t>
        </r>
      </text>
    </comment>
    <comment ref="B103" authorId="0" shapeId="0" xr:uid="{00000000-0006-0000-0200-00009F000000}">
      <text>
        <r>
          <rPr>
            <sz val="9"/>
            <color indexed="81"/>
            <rFont val="Tahoma"/>
            <family val="2"/>
          </rPr>
          <t>The calculated number of users in the environment based on the calculated number of databases.</t>
        </r>
      </text>
    </comment>
    <comment ref="H103" authorId="3" shapeId="0" xr:uid="{4D71D052-D5E3-473A-96FD-FAB60D70D7D6}">
      <text>
        <r>
          <rPr>
            <sz val="9"/>
            <color indexed="81"/>
            <rFont val="Tahoma"/>
            <family val="2"/>
          </rPr>
          <t>This is the size of the databae based upon all Tier profiles without accounting for growth or restore space.</t>
        </r>
      </text>
    </comment>
    <comment ref="B104" authorId="0" shapeId="0" xr:uid="{00000000-0006-0000-0200-0000A100000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4" authorId="3" shapeId="0" xr:uid="{A8688483-9887-4A20-BAA1-B7E722756725}">
      <text>
        <r>
          <rPr>
            <sz val="9"/>
            <color indexed="81"/>
            <rFont val="Tahoma"/>
            <family val="2"/>
          </rPr>
          <t xml:space="preserve">This is the size of the database accounting for DataGrowth and Restore Volume adjustments.
</t>
        </r>
      </text>
    </comment>
    <comment ref="B105" authorId="0" shapeId="0" xr:uid="{00000000-0006-0000-0200-0000A300000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5" authorId="1" shapeId="0" xr:uid="{00000000-0006-0000-0200-0000D5000000}">
      <text>
        <r>
          <rPr>
            <sz val="8"/>
            <color indexed="81"/>
            <rFont val="Tahoma"/>
            <family val="2"/>
          </rPr>
          <t>The calculated amount of database disk space required based on the mailbox size and number of users.</t>
        </r>
      </text>
    </comment>
    <comment ref="B106" authorId="0" shapeId="0" xr:uid="{00000000-0006-0000-0200-0000A5000000}">
      <text>
        <r>
          <rPr>
            <sz val="8"/>
            <color indexed="81"/>
            <rFont val="Tahoma"/>
            <family val="2"/>
          </rPr>
          <t>This is the calculated database cache / mailbox available per mailbox based on the amount of physical memory available for the ESE database cache.</t>
        </r>
      </text>
    </comment>
    <comment ref="H106" authorId="0" shapeId="0" xr:uid="{00000000-0006-0000-0200-0000D7000000}">
      <text>
        <r>
          <rPr>
            <sz val="9"/>
            <color indexed="81"/>
            <rFont val="Tahoma"/>
            <family val="2"/>
          </rPr>
          <t>This is the amount of disk space required to support all database copies.</t>
        </r>
      </text>
    </comment>
    <comment ref="B107" authorId="0" shapeId="0" xr:uid="{00000000-0006-0000-0200-0000A6000000}">
      <text>
        <r>
          <rPr>
            <sz val="9"/>
            <color indexed="81"/>
            <rFont val="Tahoma"/>
            <family val="2"/>
          </rPr>
          <t>Calculated number of messages generated for active copies</t>
        </r>
      </text>
    </comment>
    <comment ref="H107" authorId="0" shapeId="0" xr:uid="{00000000-0006-0000-0200-0000D9000000}">
      <text>
        <r>
          <rPr>
            <sz val="9"/>
            <color indexed="81"/>
            <rFont val="Tahoma"/>
            <family val="2"/>
          </rPr>
          <t>This is the amount of disk space required per DAG member.</t>
        </r>
      </text>
    </comment>
    <comment ref="B108" authorId="0" shapeId="0" xr:uid="{00000000-0006-0000-0200-0000A7000000}">
      <text>
        <r>
          <rPr>
            <sz val="9"/>
            <color indexed="81"/>
            <rFont val="Tahoma"/>
            <family val="2"/>
          </rPr>
          <t>Calculated number of messages generated for passive copies</t>
        </r>
      </text>
    </comment>
    <comment ref="H108" authorId="0" shapeId="0" xr:uid="{00000000-0006-0000-0200-0000DB000000}">
      <text>
        <r>
          <rPr>
            <sz val="8"/>
            <color indexed="81"/>
            <rFont val="Tahoma"/>
            <family val="2"/>
          </rPr>
          <t>This calculation determines the amount of transaction log disk space needed for backup/recovery and mailbox moves.</t>
        </r>
      </text>
    </comment>
    <comment ref="B109" authorId="0" shapeId="0" xr:uid="{00000000-0006-0000-0200-0000A800000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H109" authorId="3" shapeId="0" xr:uid="{BC9A2B3F-5849-4A70-B06C-120F4397E2CC}">
      <text>
        <r>
          <rPr>
            <sz val="9"/>
            <color indexed="81"/>
            <rFont val="Tahoma"/>
            <family val="2"/>
          </rPr>
          <t>This calculation determines the amount of transaction log disk space needed for backup/recovery and mailbox moves and incorporates data growth overhead</t>
        </r>
      </text>
    </comment>
    <comment ref="B110" authorId="0" shapeId="0" xr:uid="{00000000-0006-0000-0200-0000A900000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H110" authorId="0" shapeId="0" xr:uid="{00000000-0006-0000-0200-0000DD000000}">
      <text>
        <r>
          <rPr>
            <sz val="9"/>
            <color indexed="81"/>
            <rFont val="Tahoma"/>
            <family val="2"/>
          </rPr>
          <t>This calculation determines the total log space required for all database copies.</t>
        </r>
      </text>
    </comment>
    <comment ref="B111" authorId="0" shapeId="0" xr:uid="{00000000-0006-0000-0200-0000AA00000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H111" authorId="0" shapeId="0" xr:uid="{00000000-0006-0000-0200-0000DF000000}">
      <text>
        <r>
          <rPr>
            <sz val="9"/>
            <color indexed="81"/>
            <rFont val="Tahoma"/>
            <family val="2"/>
          </rPr>
          <t>This is the log disk space required per DAG member which is based on the number of copies each DAG member hosts.</t>
        </r>
      </text>
    </comment>
    <comment ref="B112" authorId="0" shapeId="0" xr:uid="{00000000-0006-0000-0200-0000AB000000}">
      <text>
        <r>
          <rPr>
            <sz val="9"/>
            <color indexed="81"/>
            <rFont val="Tahoma"/>
            <family val="2"/>
          </rPr>
          <t>Exchange 2013 supports JBOD scenarios where you deploy multiple databases per volume to maximize the efficiency of the disk.</t>
        </r>
      </text>
    </comment>
    <comment ref="H112" authorId="3" shapeId="0" xr:uid="{92EA542B-C797-41D8-9189-C9D2A6F9D158}">
      <text>
        <r>
          <rPr>
            <sz val="9"/>
            <color indexed="81"/>
            <rFont val="Tahoma"/>
            <family val="2"/>
          </rPr>
          <t>Log space with overhead on a per Database baseis.</t>
        </r>
      </text>
    </comment>
    <comment ref="B113" authorId="0" shapeId="0" xr:uid="{00000000-0006-0000-0200-0000AC000000}">
      <text>
        <r>
          <rPr>
            <sz val="9"/>
            <color indexed="81"/>
            <rFont val="Tahoma"/>
            <family val="2"/>
          </rPr>
          <t>Determines whether your server architecture is limited to a certain number of disks.</t>
        </r>
      </text>
    </comment>
    <comment ref="B114" authorId="0" shapeId="0" xr:uid="{00000000-0006-0000-0200-0000AD00000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H115" authorId="0" shapeId="0" xr:uid="{00000000-0006-0000-0200-0000EE000000}">
      <text>
        <r>
          <rPr>
            <sz val="9"/>
            <color indexed="81"/>
            <rFont val="Tahoma"/>
            <family val="2"/>
          </rPr>
          <t>This is the number of active mailbox databases in the first datacenter.</t>
        </r>
      </text>
    </comment>
    <comment ref="H116" authorId="0" shapeId="0" xr:uid="{00000000-0006-0000-0200-0000F0000000}">
      <text>
        <r>
          <rPr>
            <sz val="9"/>
            <color indexed="81"/>
            <rFont val="Tahoma"/>
            <family val="2"/>
          </rPr>
          <t>This is the number of target (passive) database copies in the first datacenter (site resilience only).</t>
        </r>
      </text>
    </comment>
    <comment ref="H117" authorId="0" shapeId="0" xr:uid="{00000000-0006-0000-0200-0000F2000000}">
      <text>
        <r>
          <rPr>
            <sz val="9"/>
            <color indexed="81"/>
            <rFont val="Tahoma"/>
            <family val="2"/>
          </rPr>
          <t>This is the number of active mailbox databases in the second datacenter.</t>
        </r>
      </text>
    </comment>
    <comment ref="H118" authorId="0" shapeId="0" xr:uid="{00000000-0006-0000-0200-0000F4000000}">
      <text>
        <r>
          <rPr>
            <sz val="9"/>
            <color indexed="81"/>
            <rFont val="Tahoma"/>
            <family val="2"/>
          </rPr>
          <t>This is the number of target (passive) database copies in the second datacenter.</t>
        </r>
      </text>
    </comment>
    <comment ref="B119" authorId="0" shapeId="0" xr:uid="{00000000-0006-0000-0200-0000AE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19" authorId="0" shapeId="0" xr:uid="{00000000-0006-0000-0200-0000F6000000}">
      <text>
        <r>
          <rPr>
            <sz val="9"/>
            <color indexed="81"/>
            <rFont val="Tahoma"/>
            <family val="2"/>
          </rPr>
          <t>This is the number of target lagged copy databases deployed in the first datacenter (site resilience only).</t>
        </r>
      </text>
    </comment>
    <comment ref="B120" authorId="0" shapeId="0" xr:uid="{00000000-0006-0000-0200-0000AF00000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0" authorId="0" shapeId="0" xr:uid="{00000000-0006-0000-0200-0000F8000000}">
      <text>
        <r>
          <rPr>
            <sz val="9"/>
            <color indexed="81"/>
            <rFont val="Tahoma"/>
            <family val="2"/>
          </rPr>
          <t>This is the number of target lagged copy databases deployed in the second datacenter.</t>
        </r>
      </text>
    </comment>
    <comment ref="B121" authorId="0" shapeId="0" xr:uid="{00000000-0006-0000-0200-0000B000000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1" authorId="0" shapeId="0" xr:uid="{00000000-0006-0000-0200-0000FA000000}">
      <text>
        <r>
          <rPr>
            <sz val="9"/>
            <color indexed="81"/>
            <rFont val="Tahoma"/>
            <family val="2"/>
          </rPr>
          <t>This is the calculated number of log streams being replicated between the two datacenters for a given DAG.</t>
        </r>
      </text>
    </comment>
    <comment ref="B122" authorId="0" shapeId="0" xr:uid="{00000000-0006-0000-0200-0000B100000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H122" authorId="0" shapeId="0" xr:uid="{00000000-0006-0000-0200-0000FC000000}">
      <text>
        <r>
          <rPr>
            <sz val="9"/>
            <color indexed="81"/>
            <rFont val="Tahoma"/>
            <family val="2"/>
          </rPr>
          <t>This is the calculated number of CI streams being replicated between the two datacenters for a given DAG.</t>
        </r>
      </text>
    </comment>
    <comment ref="B123" authorId="0" shapeId="0" xr:uid="{00000000-0006-0000-0200-0000B2000000}">
      <text>
        <r>
          <rPr>
            <sz val="9"/>
            <color indexed="81"/>
            <rFont val="Tahoma"/>
            <family val="2"/>
          </rPr>
          <t>This is the total number of database copies that are activated within the secondary datacenter after a single server failure in the primary datacenter.</t>
        </r>
      </text>
    </comment>
    <comment ref="B124" authorId="0" shapeId="0" xr:uid="{00000000-0006-0000-0200-0000B3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5" authorId="0" shapeId="0" xr:uid="{00000000-0006-0000-0200-0000B4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6" authorId="0" shapeId="0" xr:uid="{00000000-0006-0000-0200-0000B500000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7" authorId="0" shapeId="0" xr:uid="{00000000-0006-0000-0200-0000B6000000}">
      <text>
        <r>
          <rPr>
            <sz val="9"/>
            <color indexed="81"/>
            <rFont val="Tahoma"/>
            <family val="2"/>
          </rPr>
          <t xml:space="preserve">This is the total number of database copies that are activated within the secondary datacenter after a double server failure in the primary datacenter. </t>
        </r>
      </text>
    </comment>
    <comment ref="B130" authorId="0" shapeId="0" xr:uid="{00000000-0006-0000-0200-0000B700000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31" authorId="0" shapeId="0" xr:uid="{00000000-0006-0000-0200-0000B900000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32" authorId="0" shapeId="0" xr:uid="{00000000-0006-0000-0200-0000BB00000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33" authorId="0" shapeId="0" xr:uid="{00000000-0006-0000-0200-0000BD00000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6" authorId="0" shapeId="0" xr:uid="{00000000-0006-0000-0200-0000BE00000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B137" authorId="0" shapeId="0" xr:uid="{00000000-0006-0000-0200-0000C0000000}">
      <text>
        <r>
          <rPr>
            <sz val="8"/>
            <color indexed="81"/>
            <rFont val="Tahoma"/>
            <family val="2"/>
          </rPr>
          <t>This is the minimum amount of memory needed by ESE to help alleviate database reads and writes per user.</t>
        </r>
      </text>
    </comment>
    <comment ref="H137" authorId="0" shapeId="0" xr:uid="{00000000-0006-0000-0200-0000BF000000}">
      <text>
        <r>
          <rPr>
            <sz val="8"/>
            <color indexed="81"/>
            <rFont val="Tahoma"/>
            <family val="2"/>
          </rPr>
          <t>This is the minimum amount of memory needed by ESE to help alleviate database reads and writes per user.</t>
        </r>
      </text>
    </comment>
    <comment ref="B138" authorId="0" shapeId="0" xr:uid="{00000000-0006-0000-0200-0000C2000000}">
      <text>
        <r>
          <rPr>
            <sz val="9"/>
            <color indexed="81"/>
            <rFont val="Tahoma"/>
            <family val="2"/>
          </rPr>
          <t>Amount of pages used in memory for the ESE cache</t>
        </r>
      </text>
    </comment>
    <comment ref="H138" authorId="0" shapeId="0" xr:uid="{00000000-0006-0000-0200-0000C1000000}">
      <text>
        <r>
          <rPr>
            <sz val="9"/>
            <color indexed="81"/>
            <rFont val="Tahoma"/>
            <family val="2"/>
          </rPr>
          <t>Amount of pages used in memory for the ESE cache</t>
        </r>
      </text>
    </comment>
    <comment ref="B139" authorId="0" shapeId="0" xr:uid="{00000000-0006-0000-0200-0000C4000000}">
      <text>
        <r>
          <rPr>
            <sz val="9"/>
            <color indexed="81"/>
            <rFont val="Tahoma"/>
            <family val="2"/>
          </rPr>
          <t>Amount of cache pages allocated to active databases.</t>
        </r>
      </text>
    </comment>
    <comment ref="H139" authorId="0" shapeId="0" xr:uid="{00000000-0006-0000-0200-0000C3000000}">
      <text>
        <r>
          <rPr>
            <sz val="9"/>
            <color indexed="81"/>
            <rFont val="Tahoma"/>
            <family val="2"/>
          </rPr>
          <t>Calculated number of messages generated for active copies</t>
        </r>
      </text>
    </comment>
    <comment ref="B140" authorId="0" shapeId="0" xr:uid="{00000000-0006-0000-0200-0000C6000000}">
      <text>
        <r>
          <rPr>
            <sz val="9"/>
            <color indexed="81"/>
            <rFont val="Tahoma"/>
            <family val="2"/>
          </rPr>
          <t>Amount of cache pages allocated to passive copies.</t>
        </r>
      </text>
    </comment>
    <comment ref="H140" authorId="0" shapeId="0" xr:uid="{00000000-0006-0000-0200-0000C5000000}">
      <text>
        <r>
          <rPr>
            <sz val="9"/>
            <color indexed="81"/>
            <rFont val="Tahoma"/>
            <family val="2"/>
          </rPr>
          <t>Calculated number of messages generated for passive copies</t>
        </r>
      </text>
    </comment>
    <comment ref="B141" authorId="0" shapeId="0" xr:uid="{00000000-0006-0000-0200-0000C8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41" authorId="0" shapeId="0" xr:uid="{00000000-0006-0000-0200-0000C7000000}">
      <text>
        <r>
          <rPr>
            <sz val="9"/>
            <color indexed="81"/>
            <rFont val="Tahoma"/>
            <family val="2"/>
          </rPr>
          <t>Amount of estimated memory required to support content indexing</t>
        </r>
      </text>
    </comment>
    <comment ref="B142" authorId="0" shapeId="0" xr:uid="{00000000-0006-0000-0200-0000CA000000}">
      <text>
        <r>
          <rPr>
            <sz val="9"/>
            <color indexed="81"/>
            <rFont val="Tahoma"/>
            <family val="2"/>
          </rPr>
          <t>Amount of estimated memory required to support content indexing
7GB + 110 bytes per active item) + (24 bytes per passive item)</t>
        </r>
      </text>
    </comment>
    <comment ref="H142" authorId="0" shapeId="0" xr:uid="{00000000-0006-0000-0200-0000C9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3" authorId="0" shapeId="0" xr:uid="{00000000-0006-0000-0200-0000CC000000}">
      <text>
        <r>
          <rPr>
            <sz val="9"/>
            <color indexed="81"/>
            <rFont val="Tahoma"/>
            <family val="2"/>
          </rPr>
          <t>Amount of memory required to support the CAS components on Multi-Role installations.</t>
        </r>
      </text>
    </comment>
    <comment ref="H143" authorId="0" shapeId="0" xr:uid="{00000000-0006-0000-0200-0000CB000000}">
      <text>
        <r>
          <rPr>
            <sz val="9"/>
            <color indexed="81"/>
            <rFont val="Tahoma"/>
            <family val="2"/>
          </rPr>
          <t>Amount of memory required to support the CAS components on Multi-Role installations.</t>
        </r>
      </text>
    </comment>
    <comment ref="B144" authorId="0" shapeId="0" xr:uid="{00000000-0006-0000-0200-0000CE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44" authorId="0" shapeId="0" xr:uid="{00000000-0006-0000-0200-0000CD00000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5" authorId="0" shapeId="0" xr:uid="{00000000-0006-0000-0200-0000D0000000}">
      <text>
        <r>
          <rPr>
            <sz val="8"/>
            <color indexed="81"/>
            <rFont val="Tahoma"/>
            <family val="2"/>
          </rPr>
          <t>This is the amount of RAM required for the  Exchange 2013 mailbox server that meets the memory requirements.</t>
        </r>
      </text>
    </comment>
    <comment ref="H145" authorId="0" shapeId="0" xr:uid="{00000000-0006-0000-0200-0000CF000000}">
      <text>
        <r>
          <rPr>
            <sz val="8"/>
            <color indexed="81"/>
            <rFont val="Tahoma"/>
            <family val="2"/>
          </rPr>
          <t>This is the amount of RAM required for the  Exchange mailbox server that meets the memory requirements for the mailbox assistants, CI and the database cache.</t>
        </r>
      </text>
    </comment>
    <comment ref="B146" authorId="0" shapeId="0" xr:uid="{00000000-0006-0000-0200-0000D200000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H146" authorId="0" shapeId="0" xr:uid="{00000000-0006-0000-0200-0000D1000000}">
      <text>
        <r>
          <rPr>
            <sz val="9"/>
            <color indexed="81"/>
            <rFont val="Tahoma"/>
            <family val="2"/>
          </rPr>
          <t>Total amount of RAM required for a dedicated CAS.</t>
        </r>
      </text>
    </comment>
    <comment ref="B147" authorId="0" shapeId="0" xr:uid="{00000000-0006-0000-0200-0000D3000000}">
      <text>
        <r>
          <rPr>
            <sz val="9"/>
            <color indexed="81"/>
            <rFont val="Tahoma"/>
            <family val="2"/>
          </rPr>
          <t>Total amount of RAM required for a dedicated CAS.</t>
        </r>
      </text>
    </comment>
    <comment ref="B148" authorId="3" shapeId="0" xr:uid="{EB7D5418-CCC1-4DF2-8733-C75768687FB9}">
      <text>
        <r>
          <rPr>
            <sz val="9"/>
            <color indexed="81"/>
            <rFont val="Tahoma"/>
            <family val="2"/>
          </rPr>
          <t>Maximum recommended memory based upon version being deployed.</t>
        </r>
      </text>
    </comment>
    <comment ref="H149" authorId="0" shapeId="0" xr:uid="{00000000-0006-0000-0200-0000B8000000}">
      <text>
        <r>
          <rPr>
            <sz val="9"/>
            <color indexed="81"/>
            <rFont val="Tahoma"/>
            <family val="2"/>
          </rPr>
          <t>This is the recommended storage architecture for the servers within the primary datacenter.  This is based on the number of database copies and LUN architecture.</t>
        </r>
      </text>
    </comment>
    <comment ref="H150" authorId="0" shapeId="0" xr:uid="{00000000-0006-0000-0200-0000BA000000}">
      <text>
        <r>
          <rPr>
            <sz val="9"/>
            <color indexed="81"/>
            <rFont val="Tahoma"/>
            <family val="2"/>
          </rPr>
          <t>This is the recommended storage architecture for the servers within the second datacenter.  This is based on the number of database copies and LUN architecture.</t>
        </r>
      </text>
    </comment>
    <comment ref="B151" authorId="0" shapeId="0" xr:uid="{00000000-0006-0000-0200-0000D4000000}">
      <text>
        <r>
          <rPr>
            <sz val="8"/>
            <color indexed="81"/>
            <rFont val="Tahoma"/>
            <family val="2"/>
          </rPr>
          <t>This is the calculated number of transaction logs that are generated per day for the server.
This includes the data overhead factor.</t>
        </r>
      </text>
    </comment>
    <comment ref="H151" authorId="0" shapeId="0" xr:uid="{00000000-0006-0000-0200-0000BC000000}">
      <text>
        <r>
          <rPr>
            <sz val="9"/>
            <color indexed="81"/>
            <rFont val="Tahoma"/>
            <family val="2"/>
          </rPr>
          <t>This is the recommended storage architecture for the dedicated lagged copy servers.  This is based on the number of database copies and LUN architecture.</t>
        </r>
      </text>
    </comment>
    <comment ref="B152" authorId="0" shapeId="0" xr:uid="{00000000-0006-0000-0200-0000D6000000}">
      <text>
        <r>
          <rPr>
            <sz val="8"/>
            <color indexed="81"/>
            <rFont val="Tahoma"/>
            <family val="2"/>
          </rPr>
          <t>This is the number of transaction logs generated per database per day.
This includes the data overhead factor.</t>
        </r>
      </text>
    </comment>
    <comment ref="B153" authorId="0" shapeId="0" xr:uid="{00000000-0006-0000-0200-0000D800000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B154" authorId="0" shapeId="0" xr:uid="{00000000-0006-0000-0200-0000DA000000}">
      <text>
        <r>
          <rPr>
            <sz val="8"/>
            <color indexed="81"/>
            <rFont val="Tahoma"/>
            <family val="2"/>
          </rPr>
          <t>Calculated log disk capacity required based on the number of mailboxes that may be moved in a single night.
This includes the data overhead factor.</t>
        </r>
      </text>
    </comment>
    <comment ref="B155" authorId="0" shapeId="0" xr:uid="{00000000-0006-0000-0200-0000DC000000}">
      <text>
        <r>
          <rPr>
            <sz val="9"/>
            <color indexed="81"/>
            <rFont val="Tahoma"/>
            <family val="2"/>
          </rPr>
          <t>This is the number of transaction logs that will be generated throughout the week during mailbox moves.</t>
        </r>
      </text>
    </comment>
    <comment ref="B156" authorId="0" shapeId="0" xr:uid="{00000000-0006-0000-0200-0000DE000000}">
      <text>
        <r>
          <rPr>
            <sz val="9"/>
            <color indexed="81"/>
            <rFont val="Tahoma"/>
            <family val="2"/>
          </rPr>
          <t>This is the number of database transaction logs that will be generated throughout the week during mailbox moves.</t>
        </r>
      </text>
    </comment>
    <comment ref="B157" authorId="0" shapeId="0" xr:uid="{00000000-0006-0000-0200-0000E000000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8" authorId="0" shapeId="0" xr:uid="{00000000-0006-0000-0200-0000E100000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9" authorId="0" shapeId="0" xr:uid="{00000000-0006-0000-0200-0000E2000000}">
      <text>
        <r>
          <rPr>
            <sz val="9"/>
            <color indexed="81"/>
            <rFont val="Tahoma"/>
            <family val="2"/>
          </rPr>
          <t>This is the total transaction logs generated for both user and mailbox moves per database each day.</t>
        </r>
      </text>
    </comment>
    <comment ref="B160" authorId="0" shapeId="0" xr:uid="{00000000-0006-0000-0200-0000E4000000}">
      <text>
        <r>
          <rPr>
            <sz val="9"/>
            <color indexed="81"/>
            <rFont val="Tahoma"/>
            <family val="2"/>
          </rPr>
          <t>This is the total transaction logs generated for both user and mailbox moves for the server each day.</t>
        </r>
      </text>
    </comment>
    <comment ref="B163" authorId="0" shapeId="0" xr:uid="{00000000-0006-0000-0200-0000E600000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B164" authorId="0" shapeId="0" xr:uid="{00000000-0006-0000-0200-0000E700000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B165" authorId="0" shapeId="0" xr:uid="{00000000-0006-0000-0200-0000E900000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B166" authorId="0" shapeId="0" xr:uid="{00000000-0006-0000-0200-0000EA000000}">
      <text>
        <r>
          <rPr>
            <sz val="9"/>
            <color indexed="81"/>
            <rFont val="Tahoma"/>
            <family val="2"/>
          </rPr>
          <t>The total number of available megacycles per server based on the number of processor cores and the megacycles per core.</t>
        </r>
      </text>
    </comment>
    <comment ref="B167" authorId="0" shapeId="0" xr:uid="{00000000-0006-0000-0200-0000EB000000}">
      <text>
        <r>
          <rPr>
            <sz val="9"/>
            <color indexed="81"/>
            <rFont val="Tahoma"/>
            <family val="2"/>
          </rPr>
          <t>The total number of available megacycles per server based on the number of processor cores and the megacycles per core.</t>
        </r>
      </text>
    </comment>
    <comment ref="B168" authorId="0" shapeId="0" xr:uid="{00000000-0006-0000-0200-0000EC000000}">
      <text>
        <r>
          <rPr>
            <sz val="9"/>
            <color indexed="81"/>
            <rFont val="Tahoma"/>
            <family val="2"/>
          </rPr>
          <t>The total number of available megacycles per server based on the number of processor cores and the megacycles per core.</t>
        </r>
      </text>
    </comment>
    <comment ref="B172" authorId="0" shapeId="0" xr:uid="{00000000-0006-0000-0200-0000ED000000}">
      <text>
        <r>
          <rPr>
            <sz val="9"/>
            <color indexed="81"/>
            <rFont val="Tahoma"/>
            <family val="2"/>
          </rPr>
          <t>Number of cores required to support the Mailbox Server role related activities.</t>
        </r>
      </text>
    </comment>
    <comment ref="B173" authorId="0" shapeId="0" xr:uid="{00000000-0006-0000-0200-0000EF000000}">
      <text>
        <r>
          <rPr>
            <sz val="9"/>
            <color indexed="81"/>
            <rFont val="Tahoma"/>
            <family val="2"/>
          </rPr>
          <t>Number of cores required to support the Mailbox Server role for the active mailbox population.</t>
        </r>
      </text>
    </comment>
    <comment ref="B174" authorId="0" shapeId="0" xr:uid="{00000000-0006-0000-0200-0000F1000000}">
      <text>
        <r>
          <rPr>
            <sz val="9"/>
            <color indexed="81"/>
            <rFont val="Tahoma"/>
            <family val="2"/>
          </rPr>
          <t>Number of cores required to support the Client Access Server role related activities.</t>
        </r>
      </text>
    </comment>
    <comment ref="B175" authorId="0" shapeId="0" xr:uid="{00000000-0006-0000-0200-0000F3000000}">
      <text>
        <r>
          <rPr>
            <sz val="9"/>
            <color indexed="81"/>
            <rFont val="Tahoma"/>
            <family val="2"/>
          </rPr>
          <t>Number of cores required to support the Mailbox Server role related activities for the lagged copy servers.</t>
        </r>
      </text>
    </comment>
    <comment ref="B176" authorId="0" shapeId="0" xr:uid="{00000000-0006-0000-0200-0000F5000000}">
      <text>
        <r>
          <rPr>
            <sz val="9"/>
            <color indexed="81"/>
            <rFont val="Tahoma"/>
            <family val="2"/>
          </rPr>
          <t>Number of cores required to support the Mailbox Server role related activities.</t>
        </r>
      </text>
    </comment>
    <comment ref="B177" authorId="0" shapeId="0" xr:uid="{00000000-0006-0000-0200-0000F7000000}">
      <text>
        <r>
          <rPr>
            <sz val="9"/>
            <color indexed="81"/>
            <rFont val="Tahoma"/>
            <family val="2"/>
          </rPr>
          <t>Number of cores required to support the Mailbox Server role for the active mailbox population.</t>
        </r>
      </text>
    </comment>
    <comment ref="B178" authorId="0" shapeId="0" xr:uid="{00000000-0006-0000-0200-0000F9000000}">
      <text>
        <r>
          <rPr>
            <sz val="9"/>
            <color indexed="81"/>
            <rFont val="Tahoma"/>
            <family val="2"/>
          </rPr>
          <t>Number of cores required to support the Client Access Server role related activities.</t>
        </r>
      </text>
    </comment>
    <comment ref="B179" authorId="0" shapeId="0" xr:uid="{00000000-0006-0000-0200-0000FB000000}">
      <text>
        <r>
          <rPr>
            <sz val="9"/>
            <color indexed="81"/>
            <rFont val="Tahoma"/>
            <family val="2"/>
          </rPr>
          <t>The recommended number of Global Catalog Processor Cores you should deploy within the datacenter.</t>
        </r>
      </text>
    </comment>
    <comment ref="B180" authorId="0" shapeId="0" xr:uid="{00000000-0006-0000-0200-0000FD000000}">
      <text>
        <r>
          <rPr>
            <sz val="9"/>
            <color indexed="81"/>
            <rFont val="Tahoma"/>
            <family val="2"/>
          </rPr>
          <t>The recommended number of Global Catalog Processor Cores you should deploy within the datacenter.</t>
        </r>
      </text>
    </comment>
    <comment ref="H181" authorId="0" shapeId="0" xr:uid="{00000000-0006-0000-0200-0000E3000000}">
      <text>
        <r>
          <rPr>
            <sz val="9"/>
            <color indexed="81"/>
            <rFont val="Tahoma"/>
            <family val="2"/>
          </rPr>
          <t>This calculations determines if the number of DAG members in the primary datacenter, secondary datacenter, and lagged copy servers, is greater than 16.</t>
        </r>
      </text>
    </comment>
    <comment ref="H183" authorId="0" shapeId="0" xr:uid="{00000000-0006-0000-0200-0000E5000000}">
      <text>
        <r>
          <rPr>
            <sz val="9"/>
            <color indexed="81"/>
            <rFont val="Tahoma"/>
            <family val="2"/>
          </rPr>
          <t>This validation check determines if the HA copy placement in each AD site is correct (i.e., that the correct number is deployed).</t>
        </r>
      </text>
    </comment>
    <comment ref="B184" authorId="0" shapeId="0" xr:uid="{00000000-0006-0000-0200-0000FE000000}">
      <text>
        <r>
          <rPr>
            <sz val="9"/>
            <color indexed="81"/>
            <rFont val="Tahoma"/>
            <family val="2"/>
          </rPr>
          <t>The calculated Safety Net Hold Time (compares Safety Net Hold Time with Replay Lag Time and takes the larger value).</t>
        </r>
      </text>
    </comment>
    <comment ref="B185" authorId="0" shapeId="0" xr:uid="{00000000-0006-0000-0200-0000FF000000}">
      <text>
        <r>
          <rPr>
            <sz val="9"/>
            <color indexed="81"/>
            <rFont val="Tahoma"/>
            <family val="2"/>
          </rPr>
          <t>Messages / Day</t>
        </r>
      </text>
    </comment>
    <comment ref="B186" authorId="0" shapeId="0" xr:uid="{00000000-0006-0000-0200-000000010000}">
      <text>
        <r>
          <rPr>
            <sz val="9"/>
            <color indexed="81"/>
            <rFont val="Tahoma"/>
            <family val="2"/>
          </rPr>
          <t>Messages / day across remaining servers in worst failure mode</t>
        </r>
      </text>
    </comment>
    <comment ref="B187" authorId="0" shapeId="0" xr:uid="{00000000-0006-0000-0200-000001010000}">
      <text>
        <r>
          <rPr>
            <sz val="9"/>
            <color indexed="81"/>
            <rFont val="Tahoma"/>
            <family val="2"/>
          </rPr>
          <t>Messages persisted in shadow queues</t>
        </r>
      </text>
    </comment>
    <comment ref="B188" authorId="0" shapeId="0" xr:uid="{00000000-0006-0000-0200-000002010000}">
      <text>
        <r>
          <rPr>
            <sz val="9"/>
            <color indexed="81"/>
            <rFont val="Tahoma"/>
            <family val="2"/>
          </rPr>
          <t>The number of messages persisted in Safety Net or in queues (worst case).</t>
        </r>
      </text>
    </comment>
    <comment ref="B189" authorId="0" shapeId="0" xr:uid="{00000000-0006-0000-0200-000003010000}">
      <text>
        <r>
          <rPr>
            <sz val="9"/>
            <color indexed="81"/>
            <rFont val="Tahoma"/>
            <family val="2"/>
          </rPr>
          <t>The transport database size per server.</t>
        </r>
      </text>
    </comment>
    <comment ref="B190" authorId="0" shapeId="0" xr:uid="{00000000-0006-0000-0200-000004010000}">
      <text>
        <r>
          <rPr>
            <sz val="9"/>
            <color indexed="81"/>
            <rFont val="Tahoma"/>
            <family val="2"/>
          </rPr>
          <t>Determines if system disk can support the transport queue database.</t>
        </r>
      </text>
    </comment>
    <comment ref="B191" authorId="0" shapeId="0" xr:uid="{00000000-0006-0000-0200-000005010000}">
      <text>
        <r>
          <rPr>
            <sz val="9"/>
            <color indexed="81"/>
            <rFont val="Tahoma"/>
            <family val="2"/>
          </rPr>
          <t>Determines if system disk can support the transport queue database.</t>
        </r>
      </text>
    </comment>
    <comment ref="B194" authorId="0" shapeId="0" xr:uid="{00000000-0006-0000-0200-000006010000}">
      <text>
        <r>
          <rPr>
            <sz val="9"/>
            <color indexed="81"/>
            <rFont val="Tahoma"/>
            <family val="2"/>
          </rPr>
          <t>Recommended minimum number of CAS to deploy when not deploying multi-role.</t>
        </r>
      </text>
    </comment>
    <comment ref="B195" authorId="0" shapeId="0" xr:uid="{00000000-0006-0000-0200-000007010000}">
      <text>
        <r>
          <rPr>
            <sz val="9"/>
            <color indexed="81"/>
            <rFont val="Tahoma"/>
            <family val="2"/>
          </rPr>
          <t>Recommended minimum number of CAS to deploy when not deploying multi-role.</t>
        </r>
      </text>
    </comment>
    <comment ref="H195" authorId="0" shapeId="0" xr:uid="{00000000-0006-0000-0200-0000E8000000}">
      <text>
        <r>
          <rPr>
            <sz val="9"/>
            <color indexed="81"/>
            <rFont val="Tahoma"/>
            <family val="2"/>
          </rPr>
          <t>This is the validation check field for the calculator.</t>
        </r>
      </text>
    </comment>
    <comment ref="B196" authorId="0" shapeId="0" xr:uid="{00000000-0006-0000-0200-000008010000}">
      <text>
        <r>
          <rPr>
            <sz val="9"/>
            <color indexed="81"/>
            <rFont val="Tahoma"/>
            <family val="2"/>
          </rPr>
          <t>Recommended minimum number of CAS to deploy when not deploying multi-role (this includes two additional servers to account for failure scenarios.</t>
        </r>
      </text>
    </comment>
    <comment ref="B197" authorId="0" shapeId="0" xr:uid="{00000000-0006-0000-0200-000009010000}">
      <text>
        <r>
          <rPr>
            <sz val="9"/>
            <color indexed="81"/>
            <rFont val="Tahoma"/>
            <family val="2"/>
          </rPr>
          <t>Recommended minimum number of CAS to deploy when not deploying multi-role (this includes two additional servers to account for failure scenarios.</t>
        </r>
      </text>
    </comment>
    <comment ref="B205" authorId="0" shapeId="0" xr:uid="{00000000-0006-0000-0200-00000A01000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6" authorId="0" shapeId="0" xr:uid="{00000000-0006-0000-0200-00000B01000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7" authorId="0" shapeId="0" xr:uid="{00000000-0006-0000-0200-00000C010000}">
      <text>
        <r>
          <rPr>
            <sz val="9"/>
            <color indexed="81"/>
            <rFont val="Tahoma"/>
            <family val="2"/>
          </rPr>
          <t>Amount of megacycles required to support the CPU load on CAS.</t>
        </r>
      </text>
    </comment>
    <comment ref="B208" authorId="0" shapeId="0" xr:uid="{00000000-0006-0000-0200-00000D01000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9" authorId="0" shapeId="0" xr:uid="{00000000-0006-0000-0200-00000E01000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10" authorId="0" shapeId="0" xr:uid="{00000000-0006-0000-0200-00000F010000}">
      <text>
        <r>
          <rPr>
            <sz val="9"/>
            <color indexed="81"/>
            <rFont val="Tahoma"/>
            <family val="2"/>
          </rPr>
          <t>Amount of megacycles required to support the CPU load on CAS.</t>
        </r>
      </text>
    </comment>
    <comment ref="B211" authorId="0" shapeId="0" xr:uid="{00000000-0006-0000-0200-00001001000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14" authorId="0" shapeId="0" xr:uid="{00000000-0006-0000-0200-00001101000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5" authorId="0" shapeId="0" xr:uid="{00000000-0006-0000-0200-00001201000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6" authorId="0" shapeId="0" xr:uid="{00000000-0006-0000-0200-00001301000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21" authorId="0" shapeId="0" xr:uid="{00000000-0006-0000-0200-000014010000}">
      <text>
        <r>
          <rPr>
            <sz val="9"/>
            <color indexed="81"/>
            <rFont val="Tahoma"/>
            <family val="2"/>
          </rPr>
          <t>The recommended number of Global Catalog Processor Cores you should deploy within the datacenter.
Note that the recommended number of cores does not factor in other application's usage (e.g., Lync, SharePoint, etc.) of Active Directory.  Be sure to properly plan for all applications when sizing Active Directory.</t>
        </r>
      </text>
    </comment>
    <comment ref="B224" authorId="0" shapeId="0" xr:uid="{00000000-0006-0000-0200-000018010000}">
      <text>
        <r>
          <rPr>
            <sz val="9"/>
            <color indexed="81"/>
            <rFont val="Tahoma"/>
            <family val="2"/>
          </rPr>
          <t>The number of DAGs deployed in the environment.</t>
        </r>
      </text>
    </comment>
    <comment ref="B225" authorId="0" shapeId="0" xr:uid="{00000000-0006-0000-0200-000019010000}">
      <text>
        <r>
          <rPr>
            <sz val="9"/>
            <color indexed="81"/>
            <rFont val="Tahoma"/>
            <family val="2"/>
          </rPr>
          <t>This is the total number of mailboxes that are active.</t>
        </r>
      </text>
    </comment>
    <comment ref="B226" authorId="0" shapeId="0" xr:uid="{00000000-0006-0000-0200-00001A010000}">
      <text>
        <r>
          <rPr>
            <sz val="9"/>
            <color indexed="81"/>
            <rFont val="Tahoma"/>
            <family val="2"/>
          </rPr>
          <t>The number of mailbox servers that will be deployed within the solution.</t>
        </r>
      </text>
    </comment>
    <comment ref="B227" authorId="0" shapeId="0" xr:uid="{00000000-0006-0000-0200-00001B010000}">
      <text>
        <r>
          <rPr>
            <sz val="9"/>
            <color indexed="81"/>
            <rFont val="Tahoma"/>
            <family val="2"/>
          </rPr>
          <t>The number of dedicated lagged copy servers that are being deployed in the solution.</t>
        </r>
      </text>
    </comment>
    <comment ref="B228" authorId="0" shapeId="0" xr:uid="{00000000-0006-0000-0200-00001C010000}">
      <text>
        <r>
          <rPr>
            <sz val="9"/>
            <color indexed="81"/>
            <rFont val="Tahoma"/>
            <family val="2"/>
          </rPr>
          <t>The total number of servers that are being deployed.</t>
        </r>
      </text>
    </comment>
    <comment ref="B231" authorId="0" shapeId="0" xr:uid="{00000000-0006-0000-0200-00001D010000}">
      <text>
        <r>
          <rPr>
            <sz val="8"/>
            <color indexed="81"/>
            <rFont val="Tahoma"/>
            <family val="2"/>
          </rPr>
          <t>Number of users per mailbox server.</t>
        </r>
      </text>
    </comment>
    <comment ref="B232" authorId="0" shapeId="0" xr:uid="{00000000-0006-0000-0200-00001E010000}">
      <text>
        <r>
          <rPr>
            <sz val="9"/>
            <color indexed="81"/>
            <rFont val="Tahoma"/>
            <family val="2"/>
          </rPr>
          <t>This is the recommended number of tiered mailboxes per database based on the design requirements.</t>
        </r>
      </text>
    </comment>
    <comment ref="B233" authorId="0" shapeId="0" xr:uid="{00000000-0006-0000-0200-00001F01000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34" authorId="0" shapeId="0" xr:uid="{00000000-0006-0000-0200-000020010000}">
      <text>
        <r>
          <rPr>
            <sz val="9"/>
            <color indexed="81"/>
            <rFont val="Tahoma"/>
            <family val="2"/>
          </rPr>
          <t>Number of transaction logs generated per mailbox.</t>
        </r>
      </text>
    </comment>
    <comment ref="B235" authorId="0" shapeId="0" xr:uid="{00000000-0006-0000-0200-000021010000}">
      <text>
        <r>
          <rPr>
            <sz val="8"/>
            <color indexed="81"/>
            <rFont val="Tahoma"/>
            <family val="2"/>
          </rPr>
          <t>This is the calculated IOPS profile / mailbox based on the input factors.</t>
        </r>
      </text>
    </comment>
    <comment ref="B236" authorId="0" shapeId="0" xr:uid="{00000000-0006-0000-0200-000022010000}">
      <text>
        <r>
          <rPr>
            <sz val="8"/>
            <color indexed="81"/>
            <rFont val="Tahoma"/>
            <family val="2"/>
          </rPr>
          <t>This is the database read:write ratio for the given mailbox tier.</t>
        </r>
      </text>
    </comment>
    <comment ref="B239" authorId="0" shapeId="0" xr:uid="{00000000-0006-0000-0200-000023010000}">
      <text>
        <r>
          <rPr>
            <sz val="9"/>
            <color indexed="81"/>
            <rFont val="Tahoma"/>
            <family val="2"/>
          </rPr>
          <t>The number of HA database copies per database.</t>
        </r>
      </text>
    </comment>
    <comment ref="B240" authorId="0" shapeId="0" xr:uid="{00000000-0006-0000-0200-000024010000}">
      <text>
        <r>
          <rPr>
            <sz val="9"/>
            <color indexed="81"/>
            <rFont val="Tahoma"/>
            <family val="2"/>
          </rPr>
          <t>The number of lagged database copies per database.</t>
        </r>
      </text>
    </comment>
    <comment ref="B241" authorId="0" shapeId="0" xr:uid="{00000000-0006-0000-0200-000025010000}">
      <text>
        <r>
          <rPr>
            <sz val="9"/>
            <color indexed="81"/>
            <rFont val="Tahoma"/>
            <family val="2"/>
          </rPr>
          <t>The total number of database copies for each database.</t>
        </r>
      </text>
    </comment>
    <comment ref="B244" authorId="0" shapeId="0" xr:uid="{00000000-0006-0000-0200-000026010000}">
      <text>
        <r>
          <rPr>
            <sz val="9"/>
            <color indexed="81"/>
            <rFont val="Tahoma"/>
            <family val="2"/>
          </rPr>
          <t>The number of databases required to support the solution.</t>
        </r>
      </text>
    </comment>
    <comment ref="B245" authorId="0" shapeId="0" xr:uid="{00000000-0006-0000-0200-000027010000}">
      <text>
        <r>
          <rPr>
            <sz val="8"/>
            <color indexed="81"/>
            <rFont val="Tahoma"/>
            <family val="2"/>
          </rPr>
          <t>This is the recommended number of users per database based on the design requirements.</t>
        </r>
      </text>
    </comment>
    <comment ref="B246" authorId="0" shapeId="0" xr:uid="{00000000-0006-0000-0200-000028010000}">
      <text>
        <r>
          <rPr>
            <sz val="8"/>
            <color indexed="81"/>
            <rFont val="Tahoma"/>
            <family val="2"/>
          </rPr>
          <t>This is the database cache  per mailbox calculated from the amount of RAM available to ESE.</t>
        </r>
      </text>
    </comment>
    <comment ref="B249" authorId="0" shapeId="0" xr:uid="{00000000-0006-0000-0200-000029010000}">
      <text>
        <r>
          <rPr>
            <sz val="9"/>
            <color indexed="81"/>
            <rFont val="Tahoma"/>
            <family val="2"/>
          </rPr>
          <t>The total number of database copies supported /server, /DAG, and within the environment.</t>
        </r>
      </text>
    </comment>
    <comment ref="B254" authorId="0" shapeId="0" xr:uid="{00000000-0006-0000-0200-00002A010000}">
      <text>
        <r>
          <rPr>
            <sz val="8"/>
            <color indexed="81"/>
            <rFont val="Tahoma"/>
            <family val="2"/>
          </rPr>
          <t>This is the recommended amount of RAM the  Exchange Mailbox server should contain based on design requirements.</t>
        </r>
      </text>
    </comment>
    <comment ref="B255" authorId="0" shapeId="0" xr:uid="{00000000-0006-0000-0200-00002B01000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56" authorId="0" shapeId="0" xr:uid="{00000000-0006-0000-0200-00002C010000}">
      <text>
        <r>
          <rPr>
            <sz val="9"/>
            <color indexed="81"/>
            <rFont val="Tahoma"/>
            <family val="2"/>
          </rPr>
          <t>This is the expected theoretical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server, double server, site, or site + server failure event.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
Note that this theoretical CPU utilization does not include third-party products (e.g., anti-virus, intrusion detection, backup software, etc.) that may consume additional CPU cycles.</t>
        </r>
      </text>
    </comment>
    <comment ref="B257" authorId="0" shapeId="0" xr:uid="{00000000-0006-0000-0200-00002D01000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58" authorId="0" shapeId="0" xr:uid="{00000000-0006-0000-0200-00002E010000}">
      <text>
        <r>
          <rPr>
            <sz val="9"/>
            <color indexed="81"/>
            <rFont val="Tahoma"/>
            <family val="2"/>
          </rPr>
          <t>This is the total adjusted megacycles available on the server platform based on the number of processor cores and SPECint2006 Rate Value normalized against the baseline platform.</t>
        </r>
      </text>
    </comment>
    <comment ref="B259" authorId="0" shapeId="0" xr:uid="{00000000-0006-0000-0200-00002F010000}">
      <text>
        <r>
          <rPr>
            <sz val="9"/>
            <color indexed="81"/>
            <rFont val="Tahoma"/>
            <family val="2"/>
          </rPr>
          <t>This is the possible storage architecture for the mailbox servers.  This is based on the number of database copies and volume architecture.</t>
        </r>
      </text>
    </comment>
    <comment ref="B260" authorId="0" shapeId="0" xr:uid="{00000000-0006-0000-0200-000030010000}">
      <text>
        <r>
          <rPr>
            <sz val="9"/>
            <color indexed="81"/>
            <rFont val="Tahoma"/>
            <family val="2"/>
          </rPr>
          <t>The recommended location for where the transport queue database should be placed.</t>
        </r>
      </text>
    </comment>
    <comment ref="B263" authorId="0" shapeId="0" xr:uid="{00000000-0006-0000-0200-00003101000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4" authorId="0" shapeId="0" xr:uid="{00000000-0006-0000-0200-00003201000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9" authorId="0" shapeId="0" xr:uid="{00000000-0006-0000-0200-000033010000}">
      <text>
        <r>
          <rPr>
            <sz val="8"/>
            <color indexed="81"/>
            <rFont val="Tahoma"/>
            <family val="2"/>
          </rPr>
          <t>This is the number of transaction logs generated for  per day based on the configuration chosen and includes a data overhead factor.</t>
        </r>
      </text>
    </comment>
    <comment ref="B270" authorId="0" shapeId="0" xr:uid="{00000000-0006-0000-0200-00003401000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71" authorId="0" shapeId="0" xr:uid="{00000000-0006-0000-0200-000035010000}">
      <text>
        <r>
          <rPr>
            <sz val="9"/>
            <color indexed="81"/>
            <rFont val="Tahoma"/>
            <family val="2"/>
          </rPr>
          <t>This is the total transaction logs generated for both user and mailbox moves per day.</t>
        </r>
      </text>
    </comment>
    <comment ref="B274" authorId="0" shapeId="0" xr:uid="{00000000-0006-0000-0200-000036010000}">
      <text>
        <r>
          <rPr>
            <sz val="9"/>
            <color indexed="81"/>
            <rFont val="Tahoma"/>
            <family val="2"/>
          </rPr>
          <t>The total amount of disk space required to support the transport mail.que file.</t>
        </r>
      </text>
    </comment>
    <comment ref="B275" authorId="0" shapeId="0" xr:uid="{00000000-0006-0000-0200-000037010000}">
      <text>
        <r>
          <rPr>
            <sz val="9"/>
            <color indexed="81"/>
            <rFont val="Tahoma"/>
            <family val="2"/>
          </rPr>
          <t>This is the total amount of disk space required to support the mailbox databases.</t>
        </r>
      </text>
    </comment>
    <comment ref="B276" authorId="0" shapeId="0" xr:uid="{00000000-0006-0000-0200-000038010000}">
      <text>
        <r>
          <rPr>
            <sz val="9"/>
            <color indexed="81"/>
            <rFont val="Tahoma"/>
            <family val="2"/>
          </rPr>
          <t>This is the total amount of disk space required to support the logs.</t>
        </r>
      </text>
    </comment>
    <comment ref="B277" authorId="0" shapeId="0" xr:uid="{00000000-0006-0000-0200-000039010000}">
      <text>
        <r>
          <rPr>
            <sz val="8"/>
            <color indexed="81"/>
            <rFont val="Tahoma"/>
            <family val="2"/>
          </rPr>
          <t>This is the total amount of volume disk space required to support the databases based on the design requirements.</t>
        </r>
      </text>
    </comment>
    <comment ref="B278" authorId="0" shapeId="0" xr:uid="{00000000-0006-0000-0200-00003A010000}">
      <text>
        <r>
          <rPr>
            <sz val="8"/>
            <color indexed="81"/>
            <rFont val="Tahoma"/>
            <family val="2"/>
          </rPr>
          <t>This is the total amount of volume disk space required to support the transaction logs based on the design requirements.</t>
        </r>
      </text>
    </comment>
    <comment ref="B279" authorId="0" shapeId="0" xr:uid="{00000000-0006-0000-0200-00003B010000}">
      <text>
        <r>
          <rPr>
            <sz val="8"/>
            <color indexed="81"/>
            <rFont val="Tahoma"/>
            <family val="2"/>
          </rPr>
          <t>This is the amount of space required for a Restore Volume to support restoring a set of databases and transaction logs based on the design requirements.</t>
        </r>
      </text>
    </comment>
    <comment ref="B280" authorId="3" shapeId="0" xr:uid="{7C3E7372-7FC6-40FF-8E99-1DF520C88E14}">
      <text>
        <r>
          <rPr>
            <sz val="9"/>
            <color indexed="81"/>
            <rFont val="Tahoma"/>
            <family val="2"/>
          </rPr>
          <t>This is the total amount of SSD storage required to support the mailbox databases.</t>
        </r>
      </text>
    </comment>
    <comment ref="B281" authorId="3" shapeId="0" xr:uid="{3C712462-F688-4778-8338-83532C78D0BE}">
      <text>
        <r>
          <rPr>
            <sz val="9"/>
            <color indexed="81"/>
            <rFont val="Tahoma"/>
            <family val="2"/>
          </rPr>
          <t>This is the total number of SSD devices required to support the mailbox databases.</t>
        </r>
      </text>
    </comment>
    <comment ref="B284" authorId="0" shapeId="0" xr:uid="{00000000-0006-0000-0200-00003C010000}">
      <text>
        <r>
          <rPr>
            <sz val="8"/>
            <color indexed="81"/>
            <rFont val="Tahoma"/>
            <family val="2"/>
          </rPr>
          <t>This is the amount of I/O that must be sustained from the host perspective.  This value does not take into account RAID parity overhead.</t>
        </r>
      </text>
    </comment>
    <comment ref="B285" authorId="0" shapeId="0" xr:uid="{00000000-0006-0000-0200-00003D010000}">
      <text>
        <r>
          <rPr>
            <sz val="8"/>
            <color indexed="81"/>
            <rFont val="Tahoma"/>
            <family val="2"/>
          </rPr>
          <t>This is the amount of log I/O that must be sustained from the host perspective.  This value does not take into account RAID parity overhead.</t>
        </r>
      </text>
    </comment>
    <comment ref="B286" authorId="0" shapeId="0" xr:uid="{00000000-0006-0000-0200-00003E010000}">
      <text>
        <r>
          <rPr>
            <sz val="9"/>
            <color indexed="81"/>
            <rFont val="Tahoma"/>
            <family val="2"/>
          </rPr>
          <t>This is the database read:write ratio for the solution.</t>
        </r>
      </text>
    </comment>
    <comment ref="B287" authorId="0" shapeId="0" xr:uid="{00000000-0006-0000-0200-00003F01000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B10" authorId="0" shapeId="0" xr:uid="{00000000-0006-0000-0300-000001000000}">
      <text>
        <r>
          <rPr>
            <sz val="9"/>
            <color indexed="81"/>
            <rFont val="Tahoma"/>
            <family val="2"/>
          </rPr>
          <t>The number of servers hosting active mailbox databases within the primary datacenter.</t>
        </r>
      </text>
    </comment>
    <comment ref="B11" authorId="0" shapeId="0" xr:uid="{00000000-0006-0000-0300-00000200000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xr:uid="{00000000-0006-0000-0300-000003000000}">
      <text>
        <r>
          <rPr>
            <sz val="9"/>
            <color indexed="81"/>
            <rFont val="Tahoma"/>
            <family val="2"/>
          </rPr>
          <t>A Lagged Copy Server is a server which is dedicated to hosting database copies that delay the replay of transaction log files for a period of time.</t>
        </r>
      </text>
    </comment>
    <comment ref="B16" authorId="0" shapeId="0" xr:uid="{00000000-0006-0000-0300-000004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7" authorId="0" shapeId="0" xr:uid="{00000000-0006-0000-0300-00000500000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8" authorId="0" shapeId="0" xr:uid="{00000000-0006-0000-0300-00000600000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xr:uid="{00000000-0006-0000-0300-00000700000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xr:uid="{00000000-0006-0000-0300-00000800000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3" authorId="0" shapeId="0" xr:uid="{00000000-0006-0000-0300-00000900000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8" authorId="0" shapeId="0" xr:uid="{00000000-0006-0000-0300-00000A000000}">
      <text>
        <r>
          <rPr>
            <sz val="9"/>
            <color indexed="81"/>
            <rFont val="Tahoma"/>
            <family val="2"/>
          </rPr>
          <t>The number of servers hosting active mailbox databases within the primary datacenter (preferred datacenter for those mailbox databases).</t>
        </r>
      </text>
    </comment>
    <comment ref="B29" authorId="0" shapeId="0" xr:uid="{00000000-0006-0000-0300-00000B00000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30" authorId="0" shapeId="0" xr:uid="{00000000-0006-0000-0300-00000C000000}">
      <text>
        <r>
          <rPr>
            <sz val="9"/>
            <color indexed="81"/>
            <rFont val="Tahoma"/>
            <family val="2"/>
          </rPr>
          <t>A Lagged Copy Server is a server which is dedicated to hosting database copies that delay the replay of transaction log files for a period of time.</t>
        </r>
      </text>
    </comment>
    <comment ref="B33" authorId="0" shapeId="0" xr:uid="{00000000-0006-0000-0300-00000D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4" authorId="0" shapeId="0" xr:uid="{00000000-0006-0000-0300-00000E00000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5" authorId="0" shapeId="0" xr:uid="{00000000-0006-0000-0300-00000F00000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xr:uid="{00000000-0006-0000-0300-00001000000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xr:uid="{00000000-0006-0000-0300-00001100000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0" authorId="0" shapeId="0" xr:uid="{00000000-0006-0000-0300-00001200000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3" authorId="0" shapeId="0" xr:uid="{00000000-0006-0000-0300-000013000000}">
      <text>
        <r>
          <rPr>
            <sz val="9"/>
            <color indexed="81"/>
            <rFont val="Tahoma"/>
            <family val="2"/>
          </rPr>
          <t>The number of servers hosting active mailbox databases within the primary datacenter (preferred datacenter for those mailbox databases).</t>
        </r>
      </text>
    </comment>
    <comment ref="B44" authorId="0" shapeId="0" xr:uid="{00000000-0006-0000-0300-00001400000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5" authorId="0" shapeId="0" xr:uid="{00000000-0006-0000-0300-000015000000}">
      <text>
        <r>
          <rPr>
            <sz val="9"/>
            <color indexed="81"/>
            <rFont val="Tahoma"/>
            <family val="2"/>
          </rPr>
          <t>A Lagged Copy Server is a server which is dedicated to hosting database copies that delay the replay of transaction log files for a period of time.</t>
        </r>
      </text>
    </comment>
    <comment ref="B48" authorId="0" shapeId="0" xr:uid="{00000000-0006-0000-0300-00001600000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9" authorId="0" shapeId="0" xr:uid="{00000000-0006-0000-0300-00001700000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0" authorId="0" shapeId="0" xr:uid="{00000000-0006-0000-0300-00001800000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xr:uid="{00000000-0006-0000-0300-00001900000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xr:uid="{00000000-0006-0000-0300-00001A00000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5" authorId="0" shapeId="0" xr:uid="{00000000-0006-0000-0300-00001B00000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Ross Smith IV</author>
    <author>David Mosier</author>
    <author>rosssmi</author>
  </authors>
  <commentList>
    <comment ref="H6" authorId="0" shapeId="0" xr:uid="{00000000-0006-0000-0500-000001000000}">
      <text>
        <r>
          <rPr>
            <sz val="9"/>
            <color indexed="81"/>
            <rFont val="Tahoma"/>
            <family val="2"/>
          </rPr>
          <t>Number of databases placed on a single volume.  Based on the backup methodology/frequency, mailbox resiliency and log location.</t>
        </r>
      </text>
    </comment>
    <comment ref="H7" authorId="0" shapeId="0" xr:uid="{00000000-0006-0000-0500-000002000000}">
      <text>
        <r>
          <rPr>
            <sz val="9"/>
            <color indexed="81"/>
            <rFont val="Tahoma"/>
            <family val="2"/>
          </rPr>
          <t>This is the number of databases that will be placed on a single volume.</t>
        </r>
      </text>
    </comment>
    <comment ref="H8" authorId="0" shapeId="0" xr:uid="{00000000-0006-0000-0500-000003000000}">
      <text>
        <r>
          <rPr>
            <sz val="9"/>
            <color indexed="81"/>
            <rFont val="Tahoma"/>
            <family val="2"/>
          </rPr>
          <t>This is used to help determine the database volume size calculations.</t>
        </r>
      </text>
    </comment>
    <comment ref="H10" authorId="0" shapeId="0" xr:uid="{00000000-0006-0000-0500-00000400000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1" authorId="0" shapeId="0" xr:uid="{00000000-0006-0000-0500-000005000000}">
      <text>
        <r>
          <rPr>
            <sz val="9"/>
            <color indexed="81"/>
            <rFont val="Tahoma"/>
            <family val="2"/>
          </rPr>
          <t>Adds spare volume in the event that multiple databases/disk are deployed to support Auto-Reseed.</t>
        </r>
      </text>
    </comment>
    <comment ref="B110" authorId="0" shapeId="0" xr:uid="{00000000-0006-0000-0500-00000600000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H110" authorId="0" shapeId="0" xr:uid="{00000000-0006-0000-0500-00000700000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xr:uid="{00000000-0006-0000-0500-00000800000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xr:uid="{00000000-0006-0000-0500-000009000000}">
      <text>
        <r>
          <rPr>
            <sz val="9"/>
            <color indexed="81"/>
            <rFont val="Tahoma"/>
            <family val="2"/>
          </rPr>
          <t>This is the number of databases that will be placed on a single volume.</t>
        </r>
      </text>
    </comment>
    <comment ref="B115" authorId="0" shapeId="0" xr:uid="{00000000-0006-0000-0500-00000A000000}">
      <text>
        <r>
          <rPr>
            <sz val="8"/>
            <color indexed="81"/>
            <rFont val="Tahoma"/>
            <family val="2"/>
          </rPr>
          <t>This is the number of database volumes that will be required based to support the design.</t>
        </r>
      </text>
    </comment>
    <comment ref="B116" authorId="0" shapeId="0" xr:uid="{00000000-0006-0000-0500-00000B000000}">
      <text>
        <r>
          <rPr>
            <sz val="8"/>
            <color rgb="FF000000"/>
            <rFont val="Tahoma"/>
            <family val="2"/>
          </rPr>
          <t>This is the number of transaction log volumes that will be required to support the design.</t>
        </r>
      </text>
    </comment>
    <comment ref="B117" authorId="0" shapeId="0" xr:uid="{00000000-0006-0000-0500-00000C000000}">
      <text>
        <r>
          <rPr>
            <sz val="9"/>
            <color indexed="81"/>
            <rFont val="Tahoma"/>
            <family val="2"/>
          </rPr>
          <t>The recommended number of volumes you should allocate on the server as spares for use by AutoReseed.</t>
        </r>
      </text>
    </comment>
    <comment ref="B118" authorId="0" shapeId="0" xr:uid="{00000000-0006-0000-0500-00000D000000}">
      <text>
        <r>
          <rPr>
            <sz val="8"/>
            <color indexed="81"/>
            <rFont val="Tahoma"/>
            <family val="2"/>
          </rPr>
          <t>This is the recommended number of Restore Volumes based on the design.</t>
        </r>
      </text>
    </comment>
    <comment ref="B119" authorId="0" shapeId="0" xr:uid="{00000000-0006-0000-0500-00000E000000}">
      <text>
        <r>
          <rPr>
            <sz val="9"/>
            <color indexed="81"/>
            <rFont val="Tahoma"/>
            <family val="2"/>
          </rPr>
          <t>The total recommended volumes per server.</t>
        </r>
      </text>
    </comment>
    <comment ref="C122" authorId="2" shapeId="0" xr:uid="{00000000-0006-0000-0500-00000F000000}">
      <text>
        <r>
          <rPr>
            <sz val="8"/>
            <color indexed="81"/>
            <rFont val="Tahoma"/>
            <family val="2"/>
          </rPr>
          <t>Number of mailboxes per database.</t>
        </r>
      </text>
    </comment>
    <comment ref="D122" authorId="0" shapeId="0" xr:uid="{00000000-0006-0000-0500-000010000000}">
      <text>
        <r>
          <rPr>
            <sz val="9"/>
            <color indexed="81"/>
            <rFont val="Tahoma"/>
            <family val="2"/>
          </rPr>
          <t>This is the database size based on the number of mailboxes and the mailbox size on disk.</t>
        </r>
      </text>
    </comment>
    <comment ref="E122" authorId="2" shapeId="0" xr:uid="{00000000-0006-0000-0500-000011000000}">
      <text>
        <r>
          <rPr>
            <sz val="9"/>
            <color indexed="81"/>
            <rFont val="Tahoma"/>
            <family val="2"/>
          </rPr>
          <t>This is the database size plus the data overhead factor.</t>
        </r>
        <r>
          <rPr>
            <sz val="8"/>
            <color indexed="81"/>
            <rFont val="Tahoma"/>
            <family val="2"/>
          </rPr>
          <t xml:space="preserve">
</t>
        </r>
      </text>
    </comment>
    <comment ref="F122" authorId="0" shapeId="0" xr:uid="{00000000-0006-0000-0500-000012000000}">
      <text>
        <r>
          <rPr>
            <sz val="9"/>
            <color indexed="81"/>
            <rFont val="Tahoma"/>
            <family val="2"/>
          </rPr>
          <t>The Log Size is based on the backup or move mailbox requirements and also includes a data growth factor to ensure service availability in the event of spike in transactions.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B9" authorId="0" shapeId="0" xr:uid="{00000000-0006-0000-0600-00000100000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xr:uid="{00000000-0006-0000-0600-000002000000}">
      <text>
        <r>
          <rPr>
            <sz val="8"/>
            <color indexed="81"/>
            <rFont val="Tahoma"/>
            <family val="2"/>
          </rPr>
          <t>The type of backup methodology you are planning to use.</t>
        </r>
      </text>
    </comment>
    <comment ref="B11" authorId="0" shapeId="0" xr:uid="{00000000-0006-0000-0600-000003000000}">
      <text>
        <r>
          <rPr>
            <sz val="8"/>
            <color indexed="81"/>
            <rFont val="Tahoma"/>
            <family val="2"/>
          </rPr>
          <t>The frequency at which you perform a backup.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Ross Smith IV</author>
    <author>Paul Galjan</author>
  </authors>
  <commentList>
    <comment ref="B8" authorId="0" shapeId="0" xr:uid="{00000000-0006-0000-0700-00000100000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9" authorId="0" shapeId="0" xr:uid="{00000000-0006-0000-0700-000002000000}">
      <text>
        <r>
          <rPr>
            <sz val="8"/>
            <color indexed="81"/>
            <rFont val="Tahoma"/>
            <family val="2"/>
          </rPr>
          <t>Amount of available throughput per second  based on latency for the network link.</t>
        </r>
      </text>
    </comment>
    <comment ref="B10" authorId="0" shapeId="0" xr:uid="{00000000-0006-0000-0700-000003000000}">
      <text>
        <r>
          <rPr>
            <sz val="9"/>
            <color indexed="81"/>
            <rFont val="Tahoma"/>
            <family val="2"/>
          </rPr>
          <t>This is the calculated RPO.</t>
        </r>
      </text>
    </comment>
    <comment ref="B12" authorId="0" shapeId="0" xr:uid="{00000000-0006-0000-0700-00000400000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3" authorId="0" shapeId="0" xr:uid="{00000000-0006-0000-0700-00000500000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4" authorId="0" shapeId="0" xr:uid="{00000000-0006-0000-0700-00000600000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5" authorId="0" shapeId="0" xr:uid="{00000000-0006-0000-0700-00000700000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6" authorId="0" shapeId="0" xr:uid="{00000000-0006-0000-0700-00000800000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8" authorId="0" shapeId="0" xr:uid="{00000000-0006-0000-0700-000009000000}">
      <text>
        <r>
          <rPr>
            <sz val="9"/>
            <color indexed="81"/>
            <rFont val="Tahoma"/>
            <family val="2"/>
          </rPr>
          <t>This is the hour of the day.</t>
        </r>
      </text>
    </comment>
    <comment ref="C18" authorId="0" shapeId="0" xr:uid="{00000000-0006-0000-0700-00000A000000}">
      <text>
        <r>
          <rPr>
            <sz val="9"/>
            <color indexed="81"/>
            <rFont val="Tahoma"/>
            <family val="2"/>
          </rPr>
          <t>This is the percentage of total logs that are generated for the specified hour.</t>
        </r>
      </text>
    </comment>
    <comment ref="D18" authorId="0" shapeId="0" xr:uid="{00000000-0006-0000-0700-00000B000000}">
      <text>
        <r>
          <rPr>
            <sz val="9"/>
            <color indexed="81"/>
            <rFont val="Tahoma"/>
            <family val="2"/>
          </rPr>
          <t>This is the amount of transaction log data generated for the specified hour.</t>
        </r>
      </text>
    </comment>
    <comment ref="E18" authorId="1" shapeId="0" xr:uid="{00000000-0006-0000-0700-00000C000000}">
      <text>
        <r>
          <rPr>
            <sz val="8"/>
            <color indexed="81"/>
            <rFont val="Tahoma"/>
            <family val="2"/>
          </rPr>
          <t>This is the Mbps required for the specified hour given the specified RPO.</t>
        </r>
      </text>
    </comment>
    <comment ref="E69" authorId="0" shapeId="0" xr:uid="{00000000-0006-0000-0700-00000D00000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70" authorId="0" shapeId="0" xr:uid="{00000000-0006-0000-0700-00000E000000}">
      <text>
        <r>
          <rPr>
            <sz val="9"/>
            <color indexed="81"/>
            <rFont val="Tahoma"/>
            <family val="2"/>
          </rPr>
          <t>This is the RPO specified.</t>
        </r>
      </text>
    </comment>
    <comment ref="B72" authorId="0" shapeId="0" xr:uid="{00000000-0006-0000-0700-00000F00000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2" authorId="0" shapeId="0" xr:uid="{00000000-0006-0000-0700-000010000000}">
      <text>
        <r>
          <rPr>
            <sz val="8"/>
            <color indexed="81"/>
            <rFont val="Tahoma"/>
            <family val="2"/>
          </rPr>
          <t>These only need to be set on source or target machines that are running Windows Server 2003.  Windows Server 2008 will dynamically adjust the TCP Window Size.</t>
        </r>
      </text>
    </comment>
    <comment ref="B138" authorId="0" shapeId="0" xr:uid="{00000000-0006-0000-0700-00001100000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xr:uid="{00000000-0006-0000-0700-00001200000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9" authorId="0" shapeId="0" xr:uid="{00000000-0006-0000-0700-000013000000}">
      <text>
        <r>
          <rPr>
            <sz val="9"/>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xr:uid="{00000000-0006-0000-0700-00001400000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0" authorId="0" shapeId="0" xr:uid="{00000000-0006-0000-0700-00001500000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xr:uid="{00000000-0006-0000-0700-00001600000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1" authorId="0" shapeId="0" xr:uid="{00000000-0006-0000-0700-00001700000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1" authorId="0" shapeId="0" xr:uid="{00000000-0006-0000-0700-00001800000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xr:uid="{00000000-0006-0000-0700-00001900000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4" authorId="0" shapeId="0" xr:uid="{00000000-0006-0000-0700-00001A00000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5" authorId="0" shapeId="0" xr:uid="{00000000-0006-0000-0700-00001B000000}">
      <text>
        <r>
          <rPr>
            <sz val="9"/>
            <color indexed="81"/>
            <rFont val="Tahoma"/>
            <family val="2"/>
          </rPr>
          <t>This is the network link selected on the Input worksheet.</t>
        </r>
      </text>
    </comment>
    <comment ref="L145" authorId="0" shapeId="0" xr:uid="{00000000-0006-0000-0700-00001C000000}">
      <text>
        <r>
          <rPr>
            <sz val="9"/>
            <color indexed="81"/>
            <rFont val="Tahoma"/>
            <family val="2"/>
          </rPr>
          <t>This is the network link you should deploy based on your latency and the amount of data you need to replicate.</t>
        </r>
      </text>
    </comment>
    <comment ref="B146" authorId="0" shapeId="0" xr:uid="{00000000-0006-0000-0700-00001D000000}">
      <text>
        <r>
          <rPr>
            <sz val="9"/>
            <color indexed="81"/>
            <rFont val="Tahoma"/>
            <family val="2"/>
          </rPr>
          <t>This is the network link latency entered on the Input worksheet.</t>
        </r>
      </text>
    </comment>
    <comment ref="L146" authorId="0" shapeId="0" xr:uid="{00000000-0006-0000-0700-00001E000000}">
      <text>
        <r>
          <rPr>
            <sz val="9"/>
            <color indexed="81"/>
            <rFont val="Tahoma"/>
            <family val="2"/>
          </rPr>
          <t>This is the network link you should deploy based on your latency and the amount of data you need to replicate.</t>
        </r>
      </text>
    </comment>
    <comment ref="B147" authorId="0" shapeId="0" xr:uid="{00000000-0006-0000-0700-00001F000000}">
      <text>
        <r>
          <rPr>
            <sz val="9"/>
            <color indexed="81"/>
            <rFont val="Tahoma"/>
            <family val="2"/>
          </rPr>
          <t xml:space="preserve">Here we determine if the chosen network link is acceptable by comparing the required throughput with the achievable throughput.
</t>
        </r>
      </text>
    </comment>
    <comment ref="B148" authorId="0" shapeId="0" xr:uid="{00000000-0006-0000-0700-000020000000}">
      <text>
        <r>
          <rPr>
            <sz val="9"/>
            <color indexed="81"/>
            <rFont val="Tahoma"/>
            <family val="2"/>
          </rPr>
          <t>Here we determine if the chosen network link is acceptable by comparing the required throughput with the achievable throughput.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C31" authorId="0" shapeId="0" xr:uid="{00000000-0006-0000-0800-000001000000}">
      <text>
        <r>
          <rPr>
            <sz val="9"/>
            <color indexed="81"/>
            <rFont val="Tahoma"/>
            <family val="2"/>
          </rPr>
          <t>This is the predicted maximum mailbox size based on the message profile.</t>
        </r>
      </text>
    </comment>
    <comment ref="C32" authorId="0" shapeId="0" xr:uid="{00000000-0006-0000-0800-000002000000}">
      <text>
        <r>
          <rPr>
            <sz val="9"/>
            <color indexed="81"/>
            <rFont val="Tahoma"/>
            <family val="2"/>
          </rPr>
          <t>This is the number of months it will take to reach the maximum mailbox size based on the message profile characteristics.</t>
        </r>
      </text>
    </comment>
    <comment ref="C60" authorId="0" shapeId="0" xr:uid="{00000000-0006-0000-0800-000003000000}">
      <text>
        <r>
          <rPr>
            <sz val="9"/>
            <color indexed="81"/>
            <rFont val="Tahoma"/>
            <family val="2"/>
          </rPr>
          <t>This is the predicted maximum mailbox size based on the message profile.</t>
        </r>
      </text>
    </comment>
    <comment ref="C61" authorId="0" shapeId="0" xr:uid="{00000000-0006-0000-0800-000004000000}">
      <text>
        <r>
          <rPr>
            <sz val="9"/>
            <color indexed="81"/>
            <rFont val="Tahoma"/>
            <family val="2"/>
          </rPr>
          <t>This is the number of months it will take to reach the maximum mailbox size based on the message profile characteristics.</t>
        </r>
      </text>
    </comment>
    <comment ref="C89" authorId="0" shapeId="0" xr:uid="{00000000-0006-0000-0800-000005000000}">
      <text>
        <r>
          <rPr>
            <sz val="9"/>
            <color indexed="81"/>
            <rFont val="Tahoma"/>
            <family val="2"/>
          </rPr>
          <t>This is the predicted maximum mailbox size based on the message profile.</t>
        </r>
      </text>
    </comment>
    <comment ref="C90" authorId="0" shapeId="0" xr:uid="{00000000-0006-0000-0800-000006000000}">
      <text>
        <r>
          <rPr>
            <sz val="9"/>
            <color indexed="81"/>
            <rFont val="Tahoma"/>
            <family val="2"/>
          </rPr>
          <t>This is the number of months it will take to reach the maximum mailbox size based on the message profile characteristics.</t>
        </r>
      </text>
    </comment>
    <comment ref="C118" authorId="0" shapeId="0" xr:uid="{00000000-0006-0000-0800-000007000000}">
      <text>
        <r>
          <rPr>
            <sz val="9"/>
            <color indexed="81"/>
            <rFont val="Tahoma"/>
            <family val="2"/>
          </rPr>
          <t>This is the predicted maximum mailbox size based on the message profile.</t>
        </r>
      </text>
    </comment>
    <comment ref="C119" authorId="0" shapeId="0" xr:uid="{00000000-0006-0000-0800-000008000000}">
      <text>
        <r>
          <rPr>
            <sz val="9"/>
            <color indexed="81"/>
            <rFont val="Tahoma"/>
            <family val="2"/>
          </rPr>
          <t>This is the number of months it will take to reach the maximum mailbox size based on the message profile characteristics.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Ross Smith IV</author>
    <author>rosssmi</author>
  </authors>
  <commentList>
    <comment ref="B17" authorId="0" shapeId="0" xr:uid="{00000000-0006-0000-0A00-00000100000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xr:uid="{00000000-0006-0000-0A00-00000200000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xr:uid="{00000000-0006-0000-0A00-00000300000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xr:uid="{00000000-0006-0000-0A00-00000400000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xr:uid="{00000000-0006-0000-0A00-00000500000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xr:uid="{00000000-0006-0000-0A00-00000600000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xr:uid="{00000000-0006-0000-0A00-000007000000}">
      <text>
        <r>
          <rPr>
            <sz val="9"/>
            <color indexed="81"/>
            <rFont val="Tahoma"/>
            <family val="2"/>
          </rPr>
          <t>Select the appropriate RAID configuration you would like to utilize for your Restore / Maintenance volume.</t>
        </r>
      </text>
    </comment>
    <comment ref="B22" authorId="0" shapeId="0" xr:uid="{00000000-0006-0000-0A00-00000800000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xr:uid="{00000000-0006-0000-0A00-00000900000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xr:uid="{00000000-0006-0000-0A00-00000A00000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xr:uid="{00000000-0006-0000-0A00-00000B00000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xr:uid="{00000000-0006-0000-0A00-00000C00000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xr:uid="{00000000-0006-0000-0A00-00000D000000}">
      <text>
        <r>
          <rPr>
            <sz val="9"/>
            <color indexed="81"/>
            <rFont val="Tahoma"/>
            <family val="2"/>
          </rPr>
          <t>Total IO per second the Log LUN must support when configured in a RAID-0 array.</t>
        </r>
      </text>
    </comment>
    <comment ref="B34" authorId="0" shapeId="0" xr:uid="{00000000-0006-0000-0A00-00000E000000}">
      <text>
        <r>
          <rPr>
            <sz val="8"/>
            <color indexed="81"/>
            <rFont val="Tahoma"/>
            <family val="2"/>
          </rPr>
          <t>Total IO per second the Log LUN must support when configured in a RAID-1/0 array.
This value also incorporates the RAID-1/0 rebuild penalty.</t>
        </r>
      </text>
    </comment>
    <comment ref="B35" authorId="0" shapeId="0" xr:uid="{00000000-0006-0000-0A00-00000F000000}">
      <text>
        <r>
          <rPr>
            <sz val="9"/>
            <color indexed="81"/>
            <rFont val="Tahoma"/>
            <family val="2"/>
          </rPr>
          <t>Total IO per second the database LUN must support when configured in a RAID-0 array.</t>
        </r>
      </text>
    </comment>
    <comment ref="B36" authorId="0" shapeId="0" xr:uid="{00000000-0006-0000-0A00-000010000000}">
      <text>
        <r>
          <rPr>
            <sz val="9"/>
            <color indexed="81"/>
            <rFont val="Tahoma"/>
            <family val="2"/>
          </rPr>
          <t>Total IO per second the database LUN must support when configured in a RAID-1/0 array.</t>
        </r>
      </text>
    </comment>
    <comment ref="B37" authorId="0" shapeId="0" xr:uid="{00000000-0006-0000-0A00-000011000000}">
      <text>
        <r>
          <rPr>
            <sz val="9"/>
            <color indexed="81"/>
            <rFont val="Tahoma"/>
            <family val="2"/>
          </rPr>
          <t>Total IO per second the database LUN must support when configured in a RAID-5 array.</t>
        </r>
      </text>
    </comment>
    <comment ref="B38" authorId="0" shapeId="0" xr:uid="{00000000-0006-0000-0A00-000012000000}">
      <text>
        <r>
          <rPr>
            <sz val="9"/>
            <color indexed="81"/>
            <rFont val="Tahoma"/>
            <family val="2"/>
          </rPr>
          <t>Total IO per second the database LUN must support when configured in a RAID-6 array.</t>
        </r>
      </text>
    </comment>
    <comment ref="B39" authorId="0" shapeId="0" xr:uid="{00000000-0006-0000-0A00-000013000000}">
      <text>
        <r>
          <rPr>
            <sz val="9"/>
            <color indexed="81"/>
            <rFont val="Tahoma"/>
            <family val="2"/>
          </rPr>
          <t>This is the required number of IOPS required when utilizing RAID-1/0 to ensure that the system can handle the rebuild during a drive failure.</t>
        </r>
      </text>
    </comment>
    <comment ref="B40" authorId="0" shapeId="0" xr:uid="{00000000-0006-0000-0A00-000014000000}">
      <text>
        <r>
          <rPr>
            <sz val="9"/>
            <color indexed="81"/>
            <rFont val="Tahoma"/>
            <family val="2"/>
          </rPr>
          <t>Total IO per second the database LUN must support when configured in a RAID-1/0 array.</t>
        </r>
      </text>
    </comment>
    <comment ref="B41" authorId="0" shapeId="0" xr:uid="{00000000-0006-0000-0A00-000015000000}">
      <text>
        <r>
          <rPr>
            <sz val="9"/>
            <color indexed="81"/>
            <rFont val="Tahoma"/>
            <family val="2"/>
          </rPr>
          <t>Total IO per second the database LUN must support when configured in a RAID-5 array.</t>
        </r>
      </text>
    </comment>
    <comment ref="B42" authorId="0" shapeId="0" xr:uid="{00000000-0006-0000-0A00-000016000000}">
      <text>
        <r>
          <rPr>
            <sz val="9"/>
            <color indexed="81"/>
            <rFont val="Tahoma"/>
            <family val="2"/>
          </rPr>
          <t>Total IO per second the database LUN must support when configured in a RAID-6 array.</t>
        </r>
      </text>
    </comment>
    <comment ref="B45" authorId="1" shapeId="0" xr:uid="{00000000-0006-0000-0A00-000017000000}">
      <text>
        <r>
          <rPr>
            <sz val="8"/>
            <color indexed="81"/>
            <rFont val="Tahoma"/>
            <family val="2"/>
          </rPr>
          <t>This is the  raw capacity of the disk (the unformatted capacity).</t>
        </r>
      </text>
    </comment>
    <comment ref="B46" authorId="1" shapeId="0" xr:uid="{00000000-0006-0000-0A00-000018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xr:uid="{00000000-0006-0000-0A00-000019000000}">
      <text>
        <r>
          <rPr>
            <sz val="8"/>
            <color indexed="81"/>
            <rFont val="Tahoma"/>
            <family val="2"/>
          </rPr>
          <t>Some vendors believe that you shouldn't use all the I/O capacity of a disk as that can lead to disk bottlenecks.
Microsoft does not recommend changing this value.</t>
        </r>
      </text>
    </comment>
    <comment ref="B48" authorId="1" shapeId="0" xr:uid="{00000000-0006-0000-0A00-00001A00000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xr:uid="{00000000-0006-0000-0A00-00001B000000}">
      <text>
        <r>
          <rPr>
            <sz val="8"/>
            <color indexed="81"/>
            <rFont val="Tahoma"/>
            <family val="2"/>
          </rPr>
          <t>This is how much I/O the physical disk can sustain at the controller when performing sequential I/O reads or writes.</t>
        </r>
      </text>
    </comment>
    <comment ref="B52" authorId="1" shapeId="0" xr:uid="{00000000-0006-0000-0A00-00001C000000}">
      <text>
        <r>
          <rPr>
            <sz val="8"/>
            <color indexed="81"/>
            <rFont val="Tahoma"/>
            <family val="2"/>
          </rPr>
          <t>This is the  raw capacity of the disk (the unformatted capacity).</t>
        </r>
      </text>
    </comment>
    <comment ref="B53" authorId="1" shapeId="0" xr:uid="{00000000-0006-0000-0A00-00001D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xr:uid="{00000000-0006-0000-0A00-00001E000000}">
      <text>
        <r>
          <rPr>
            <sz val="8"/>
            <color indexed="81"/>
            <rFont val="Tahoma"/>
            <family val="2"/>
          </rPr>
          <t>Some vendors believe that you shouldn't use all the I/O capacity of a disk as that can lead to disk bottlenecks.
Microsoft does not recommend changing this value.</t>
        </r>
      </text>
    </comment>
    <comment ref="B55" authorId="1" shapeId="0" xr:uid="{00000000-0006-0000-0A00-00001F000000}">
      <text>
        <r>
          <rPr>
            <sz val="8"/>
            <color indexed="81"/>
            <rFont val="Tahoma"/>
            <family val="2"/>
          </rPr>
          <t>This is how much I/O the physical disk can sustain at the controller when performing sequential I/O reads or writes.</t>
        </r>
      </text>
    </comment>
    <comment ref="B58" authorId="1" shapeId="0" xr:uid="{00000000-0006-0000-0A00-000020000000}">
      <text>
        <r>
          <rPr>
            <sz val="8"/>
            <color indexed="81"/>
            <rFont val="Tahoma"/>
            <family val="2"/>
          </rPr>
          <t>This is the  raw capacity of the disk (the unformatted capacity).</t>
        </r>
      </text>
    </comment>
    <comment ref="B59" authorId="1" shapeId="0" xr:uid="{00000000-0006-0000-0A00-000021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xr:uid="{00000000-0006-0000-0A00-000022000000}">
      <text>
        <r>
          <rPr>
            <sz val="8"/>
            <color indexed="81"/>
            <rFont val="Tahoma"/>
            <family val="2"/>
          </rPr>
          <t>Some vendors believe that you shouldn't use all the I/O capacity of a disk as that can lead to disk bottlenecks.
Microsoft does not recommend changing this value.</t>
        </r>
      </text>
    </comment>
    <comment ref="B61" authorId="1" shapeId="0" xr:uid="{00000000-0006-0000-0A00-00002300000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xr:uid="{00000000-0006-0000-0A00-000024000000}">
      <text>
        <r>
          <rPr>
            <sz val="8"/>
            <color indexed="81"/>
            <rFont val="Tahoma"/>
            <family val="2"/>
          </rPr>
          <t>This is the  raw capacity of the disk (the unformatted capacity).</t>
        </r>
      </text>
    </comment>
    <comment ref="B65" authorId="1" shapeId="0" xr:uid="{00000000-0006-0000-0A00-00002500000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xr:uid="{00000000-0006-0000-0A00-000026000000}">
      <text>
        <r>
          <rPr>
            <sz val="8"/>
            <color indexed="81"/>
            <rFont val="Tahoma"/>
            <family val="2"/>
          </rPr>
          <t>Some vendors believe that you shouldn't use all the I/O capacity of a disk as that can lead to disk bottlenecks.
Microsoft does not recommend changing this value.</t>
        </r>
      </text>
    </comment>
    <comment ref="B67" authorId="1" shapeId="0" xr:uid="{00000000-0006-0000-0A00-00002700000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xr:uid="{00000000-0006-0000-0A00-000028000000}">
      <text>
        <r>
          <rPr>
            <sz val="8"/>
            <color indexed="81"/>
            <rFont val="Tahoma"/>
            <family val="2"/>
          </rPr>
          <t>This is the number of disks that must support the database design based on I/O performance in a RAID-0 configuration.</t>
        </r>
      </text>
    </comment>
    <comment ref="B73" authorId="1" shapeId="0" xr:uid="{00000000-0006-0000-0A00-000029000000}">
      <text>
        <r>
          <rPr>
            <sz val="8"/>
            <color indexed="81"/>
            <rFont val="Tahoma"/>
            <family val="2"/>
          </rPr>
          <t>This is the number of disks that must support the database design based on I/O performance in a RAID-1/0 configuration.</t>
        </r>
      </text>
    </comment>
    <comment ref="B74" authorId="1" shapeId="0" xr:uid="{00000000-0006-0000-0A00-00002A000000}">
      <text>
        <r>
          <rPr>
            <sz val="8"/>
            <color indexed="81"/>
            <rFont val="Tahoma"/>
            <family val="2"/>
          </rPr>
          <t>This is the number of disks that must support the database design based on I/O performance in a RAID-5 configuration.</t>
        </r>
      </text>
    </comment>
    <comment ref="B75" authorId="1" shapeId="0" xr:uid="{00000000-0006-0000-0A00-00002B000000}">
      <text>
        <r>
          <rPr>
            <sz val="8"/>
            <color indexed="81"/>
            <rFont val="Tahoma"/>
            <family val="2"/>
          </rPr>
          <t>This is the number of disks that must support the database design based on I/O performance in a RAID-6 configuration.</t>
        </r>
      </text>
    </comment>
    <comment ref="B76" authorId="1" shapeId="0" xr:uid="{00000000-0006-0000-0A00-00002C000000}">
      <text>
        <r>
          <rPr>
            <sz val="8"/>
            <color indexed="81"/>
            <rFont val="Tahoma"/>
            <family val="2"/>
          </rPr>
          <t>This is the minimum number of disks that must support the database design based on capacity.</t>
        </r>
      </text>
    </comment>
    <comment ref="B77" authorId="1" shapeId="0" xr:uid="{00000000-0006-0000-0A00-00002D000000}">
      <text>
        <r>
          <rPr>
            <sz val="8"/>
            <color indexed="81"/>
            <rFont val="Tahoma"/>
            <family val="2"/>
          </rPr>
          <t>This is the number of disks that must support the database design based on capacity in a RAID-1/0 configuration.</t>
        </r>
      </text>
    </comment>
    <comment ref="B78" authorId="1" shapeId="0" xr:uid="{00000000-0006-0000-0A00-00002E000000}">
      <text>
        <r>
          <rPr>
            <sz val="8"/>
            <color indexed="81"/>
            <rFont val="Tahoma"/>
            <family val="2"/>
          </rPr>
          <t>This is the number of disks that must support the database design based on capacity in a RAID-5 configuration.</t>
        </r>
      </text>
    </comment>
    <comment ref="B79" authorId="1" shapeId="0" xr:uid="{00000000-0006-0000-0A00-00002F000000}">
      <text>
        <r>
          <rPr>
            <sz val="8"/>
            <color indexed="81"/>
            <rFont val="Tahoma"/>
            <family val="2"/>
          </rPr>
          <t>This is the number of disks that must support the database design based on capacity in a RAID-6 configuration.</t>
        </r>
      </text>
    </comment>
    <comment ref="B82" authorId="0" shapeId="0" xr:uid="{00000000-0006-0000-0A00-00003000000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xr:uid="{00000000-0006-0000-0A00-000031000000}">
      <text>
        <r>
          <rPr>
            <sz val="8"/>
            <color indexed="81"/>
            <rFont val="Tahoma"/>
            <family val="2"/>
          </rPr>
          <t>Minimum number of disks required to support the transaction log capacity.</t>
        </r>
      </text>
    </comment>
    <comment ref="B84" authorId="0" shapeId="0" xr:uid="{00000000-0006-0000-0A00-00003200000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xr:uid="{00000000-0006-0000-0A00-00003300000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xr:uid="{00000000-0006-0000-0A00-000034000000}">
      <text>
        <r>
          <rPr>
            <sz val="8"/>
            <color indexed="81"/>
            <rFont val="Tahoma"/>
            <family val="2"/>
          </rPr>
          <t>This is the number of disks needed to meet the capacity requirements of the Restore LUN.</t>
        </r>
      </text>
    </comment>
    <comment ref="B89" authorId="0" shapeId="0" xr:uid="{00000000-0006-0000-0A00-000035000000}">
      <text>
        <r>
          <rPr>
            <sz val="8"/>
            <color indexed="81"/>
            <rFont val="Tahoma"/>
            <family val="2"/>
          </rPr>
          <t>This calculation determines the number of disks necessary to support the Restore Volume based on the capacity requirements in a RAID-1/0 configuration.</t>
        </r>
      </text>
    </comment>
    <comment ref="B90" authorId="0" shapeId="0" xr:uid="{00000000-0006-0000-0A00-000036000000}">
      <text>
        <r>
          <rPr>
            <sz val="8"/>
            <color indexed="81"/>
            <rFont val="Tahoma"/>
            <family val="2"/>
          </rPr>
          <t>This calculation determines the number of disks necessary to support the Restore Volume based on the capacity requirements in a RAID-5 configuration.</t>
        </r>
      </text>
    </comment>
    <comment ref="B91" authorId="0" shapeId="0" xr:uid="{00000000-0006-0000-0A00-000037000000}">
      <text>
        <r>
          <rPr>
            <sz val="8"/>
            <color indexed="81"/>
            <rFont val="Tahoma"/>
            <family val="2"/>
          </rPr>
          <t>This calculation determines the number of disks necessary to support the Restore Volume based on the capacity requirements in a RAID-6 configuration.</t>
        </r>
      </text>
    </comment>
    <comment ref="B94" authorId="0" shapeId="0" xr:uid="{00000000-0006-0000-0A00-000038000000}">
      <text>
        <r>
          <rPr>
            <sz val="9"/>
            <color indexed="81"/>
            <rFont val="Tahoma"/>
            <family val="2"/>
          </rPr>
          <t>Number of disks required to meet the I/O requirements for the given RAID configuration.</t>
        </r>
      </text>
    </comment>
    <comment ref="B95" authorId="0" shapeId="0" xr:uid="{00000000-0006-0000-0A00-00003900000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xr:uid="{00000000-0006-0000-0A00-00003A000000}">
      <text>
        <r>
          <rPr>
            <sz val="9"/>
            <color indexed="81"/>
            <rFont val="Tahoma"/>
            <family val="2"/>
          </rPr>
          <t>Number of disks required to meet the I/O requirements for the given RAID configuration.</t>
        </r>
      </text>
    </comment>
    <comment ref="B97" authorId="0" shapeId="0" xr:uid="{00000000-0006-0000-0A00-00003B000000}">
      <text>
        <r>
          <rPr>
            <sz val="9"/>
            <color indexed="81"/>
            <rFont val="Tahoma"/>
            <family val="2"/>
          </rPr>
          <t>Number of disks required to meet the capacity requirements for the given RAID configuration.</t>
        </r>
      </text>
    </comment>
    <comment ref="B98" authorId="0" shapeId="0" xr:uid="{00000000-0006-0000-0A00-00003C000000}">
      <text>
        <r>
          <rPr>
            <sz val="9"/>
            <color indexed="81"/>
            <rFont val="Tahoma"/>
            <family val="2"/>
          </rPr>
          <t>Number of disks required to meet the I/O requirements for the given RAID configuration.</t>
        </r>
      </text>
    </comment>
    <comment ref="B99" authorId="0" shapeId="0" xr:uid="{00000000-0006-0000-0A00-00003D000000}">
      <text>
        <r>
          <rPr>
            <sz val="9"/>
            <color indexed="81"/>
            <rFont val="Tahoma"/>
            <family val="2"/>
          </rPr>
          <t>Number of disks required to meet the capacity requirements for the given RAID configuration.</t>
        </r>
      </text>
    </comment>
    <comment ref="B100" authorId="0" shapeId="0" xr:uid="{00000000-0006-0000-0A00-00003E000000}">
      <text>
        <r>
          <rPr>
            <sz val="9"/>
            <color indexed="81"/>
            <rFont val="Tahoma"/>
            <family val="2"/>
          </rPr>
          <t>Number of disks required to meet the I/O requirements for the given RAID configuration.</t>
        </r>
      </text>
    </comment>
    <comment ref="B101" authorId="0" shapeId="0" xr:uid="{00000000-0006-0000-0A00-00003F000000}">
      <text>
        <r>
          <rPr>
            <sz val="9"/>
            <color indexed="81"/>
            <rFont val="Tahoma"/>
            <family val="2"/>
          </rPr>
          <t>Number of disks required to meet the capacity requirements for the given RAID configuration.</t>
        </r>
      </text>
    </comment>
    <comment ref="B104" authorId="0" shapeId="0" xr:uid="{00000000-0006-0000-0A00-000040000000}">
      <text>
        <r>
          <rPr>
            <sz val="9"/>
            <color indexed="81"/>
            <rFont val="Tahoma"/>
            <family val="2"/>
          </rPr>
          <t>Number of disks required to meet the I/O requirements for the given RAID configuration.</t>
        </r>
      </text>
    </comment>
    <comment ref="B105" authorId="0" shapeId="0" xr:uid="{00000000-0006-0000-0A00-000041000000}">
      <text>
        <r>
          <rPr>
            <sz val="9"/>
            <color indexed="81"/>
            <rFont val="Tahoma"/>
            <family val="2"/>
          </rPr>
          <t>Number of disks required to meet the capacity requirements for the given RAID configuration.</t>
        </r>
      </text>
    </comment>
    <comment ref="B106" authorId="0" shapeId="0" xr:uid="{00000000-0006-0000-0A00-000042000000}">
      <text>
        <r>
          <rPr>
            <sz val="9"/>
            <color indexed="81"/>
            <rFont val="Tahoma"/>
            <family val="2"/>
          </rPr>
          <t>Number of disks required to meet the I/O requirements for the given RAID configuration.</t>
        </r>
      </text>
    </comment>
    <comment ref="B107" authorId="0" shapeId="0" xr:uid="{00000000-0006-0000-0A00-000043000000}">
      <text>
        <r>
          <rPr>
            <sz val="9"/>
            <color indexed="81"/>
            <rFont val="Tahoma"/>
            <family val="2"/>
          </rPr>
          <t>Number of disks required to meet the capacity requirements for the given RAID configuration.</t>
        </r>
      </text>
    </comment>
    <comment ref="B131" authorId="0" shapeId="0" xr:uid="{00000000-0006-0000-0A00-000044000000}">
      <text>
        <r>
          <rPr>
            <sz val="9"/>
            <color indexed="81"/>
            <rFont val="Tahoma"/>
            <family val="2"/>
          </rPr>
          <t>Number of disks required for the optimum RAID configuration.</t>
        </r>
      </text>
    </comment>
    <comment ref="B132" authorId="0" shapeId="0" xr:uid="{00000000-0006-0000-0A00-000045000000}">
      <text>
        <r>
          <rPr>
            <sz val="9"/>
            <color indexed="81"/>
            <rFont val="Tahoma"/>
            <family val="2"/>
          </rPr>
          <t>Number of disks required for the optimum RAID configuration.</t>
        </r>
      </text>
    </comment>
    <comment ref="B133" authorId="0" shapeId="0" xr:uid="{00000000-0006-0000-0A00-00004600000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4" authorId="0" shapeId="0" xr:uid="{00000000-0006-0000-0A00-000047000000}">
      <text>
        <r>
          <rPr>
            <sz val="9"/>
            <color indexed="81"/>
            <rFont val="Tahoma"/>
            <family val="2"/>
          </rPr>
          <t>Number of disks required for the optimum RAID configuration.</t>
        </r>
      </text>
    </comment>
    <comment ref="B135" authorId="0" shapeId="0" xr:uid="{00000000-0006-0000-0A00-000048000000}">
      <text>
        <r>
          <rPr>
            <sz val="9"/>
            <color indexed="81"/>
            <rFont val="Tahoma"/>
            <family val="2"/>
          </rPr>
          <t>This calculation determines the desired RAID configuration based on user input.</t>
        </r>
      </text>
    </comment>
    <comment ref="B136" authorId="0" shapeId="0" xr:uid="{00000000-0006-0000-0A00-000049000000}">
      <text>
        <r>
          <rPr>
            <sz val="9"/>
            <color indexed="81"/>
            <rFont val="Tahoma"/>
            <family val="2"/>
          </rPr>
          <t>Number of disks required for the optimum RAID configuration.</t>
        </r>
      </text>
    </comment>
    <comment ref="B152" authorId="0" shapeId="0" xr:uid="{00000000-0006-0000-0A00-00004A000000}">
      <text>
        <r>
          <rPr>
            <sz val="9"/>
            <color indexed="81"/>
            <rFont val="Tahoma"/>
            <family val="2"/>
          </rPr>
          <t>Number of disks required for the optimum JBOD configuration.</t>
        </r>
      </text>
    </comment>
    <comment ref="B153" authorId="0" shapeId="0" xr:uid="{00000000-0006-0000-0A00-00004B000000}">
      <text>
        <r>
          <rPr>
            <sz val="9"/>
            <color indexed="81"/>
            <rFont val="Tahoma"/>
            <family val="2"/>
          </rPr>
          <t>Number of disks required for the optimum JBOD configuration.</t>
        </r>
      </text>
    </comment>
    <comment ref="B158" authorId="0" shapeId="0" xr:uid="{00000000-0006-0000-0A00-00004C00000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1" authorId="0" shapeId="0" xr:uid="{00000000-0006-0000-0A00-00004D000000}">
      <text>
        <r>
          <rPr>
            <sz val="9"/>
            <color indexed="81"/>
            <rFont val="Tahoma"/>
            <family val="2"/>
          </rPr>
          <t>This is the optimum disk configuration (capacity and type) for the mailbox server solution.</t>
        </r>
      </text>
    </comment>
    <comment ref="B162" authorId="0" shapeId="0" xr:uid="{00000000-0006-0000-0A00-00004E000000}">
      <text>
        <r>
          <rPr>
            <sz val="8"/>
            <color indexed="81"/>
            <rFont val="Tahoma"/>
            <family val="2"/>
          </rPr>
          <t>This is the recommended RAID configuration for the database disk group.</t>
        </r>
      </text>
    </comment>
    <comment ref="B163" authorId="0" shapeId="0" xr:uid="{00000000-0006-0000-0A00-00004F000000}">
      <text>
        <r>
          <rPr>
            <sz val="8"/>
            <color indexed="81"/>
            <rFont val="Tahoma"/>
            <family val="2"/>
          </rPr>
          <t>The optimum number of disks will be determined based on ensuring performance is achieved first with the minimal number of disks followed by capacity.</t>
        </r>
      </text>
    </comment>
    <comment ref="B166" authorId="0" shapeId="0" xr:uid="{00000000-0006-0000-0A00-000050000000}">
      <text>
        <r>
          <rPr>
            <sz val="9"/>
            <color indexed="81"/>
            <rFont val="Tahoma"/>
            <family val="2"/>
          </rPr>
          <t>This is the optimum disk configuration (capacity and type) for the mailbox server solution.</t>
        </r>
      </text>
    </comment>
    <comment ref="B167" authorId="0" shapeId="0" xr:uid="{00000000-0006-0000-0A00-000051000000}">
      <text>
        <r>
          <rPr>
            <sz val="8"/>
            <color indexed="81"/>
            <rFont val="Tahoma"/>
            <family val="2"/>
          </rPr>
          <t>This is the recommended RAID configuration for the database disk group.</t>
        </r>
      </text>
    </comment>
    <comment ref="B168" authorId="0" shapeId="0" xr:uid="{00000000-0006-0000-0A00-000052000000}">
      <text>
        <r>
          <rPr>
            <sz val="8"/>
            <color indexed="81"/>
            <rFont val="Tahoma"/>
            <family val="2"/>
          </rPr>
          <t>The optimum number of disks will be determined based on ensuring performance is achieved first with the minimal number of disks followed by capacity.</t>
        </r>
      </text>
    </comment>
    <comment ref="B176" authorId="0" shapeId="0" xr:uid="{00000000-0006-0000-0A00-00005300000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79" authorId="0" shapeId="0" xr:uid="{00000000-0006-0000-0A00-000054000000}">
      <text>
        <r>
          <rPr>
            <sz val="9"/>
            <color indexed="81"/>
            <rFont val="Tahoma"/>
            <family val="2"/>
          </rPr>
          <t>This is the optimum disk configuration (capacity and type) for the mailbox server solution.</t>
        </r>
      </text>
    </comment>
    <comment ref="B180" authorId="0" shapeId="0" xr:uid="{00000000-0006-0000-0A00-000055000000}">
      <text>
        <r>
          <rPr>
            <sz val="8"/>
            <color indexed="81"/>
            <rFont val="Tahoma"/>
            <family val="2"/>
          </rPr>
          <t>The optimum number of disks will be determined based on ensuring performance is achieved first with the minimal number of disks followed by capacity.</t>
        </r>
      </text>
    </comment>
    <comment ref="B183" authorId="0" shapeId="0" xr:uid="{00000000-0006-0000-0A00-000056000000}">
      <text>
        <r>
          <rPr>
            <sz val="9"/>
            <color indexed="81"/>
            <rFont val="Tahoma"/>
            <family val="2"/>
          </rPr>
          <t>This is the optimum disk configuration (capacity and type) for the mailbox server solution.</t>
        </r>
      </text>
    </comment>
    <comment ref="B184" authorId="0" shapeId="0" xr:uid="{00000000-0006-0000-0A00-000057000000}">
      <text>
        <r>
          <rPr>
            <sz val="8"/>
            <color indexed="81"/>
            <rFont val="Tahoma"/>
            <family val="2"/>
          </rPr>
          <t>The optimum number of disks will be determined based on ensuring performance is achieved first with the minimal number of disks followed by capacity.</t>
        </r>
      </text>
    </comment>
    <comment ref="B189" authorId="0" shapeId="0" xr:uid="{00000000-0006-0000-0A00-00005800000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2" authorId="0" shapeId="0" xr:uid="{00000000-0006-0000-0A00-000059000000}">
      <text>
        <r>
          <rPr>
            <sz val="8"/>
            <color indexed="81"/>
            <rFont val="Tahoma"/>
            <family val="2"/>
          </rPr>
          <t>This is the total number of disks required.
This includes:
- Database disks
- Log disks
- Restore LUN disks</t>
        </r>
      </text>
    </comment>
    <comment ref="B195" authorId="0" shapeId="0" xr:uid="{00000000-0006-0000-0A00-00005A000000}">
      <text>
        <r>
          <rPr>
            <sz val="8"/>
            <color indexed="81"/>
            <rFont val="Tahoma"/>
            <family val="2"/>
          </rPr>
          <t>This is the total number of disks required.
This includes:
- Database disks
- Log disks
- Restore LUN disks</t>
        </r>
      </text>
    </comment>
    <comment ref="B198" authorId="0" shapeId="0" xr:uid="{00000000-0006-0000-0A00-00005B000000}">
      <text>
        <r>
          <rPr>
            <sz val="9"/>
            <color indexed="81"/>
            <rFont val="Tahoma"/>
            <family val="2"/>
          </rPr>
          <t>The total number of disks deployed in a RAID configuration for use in the DAG and/or environment.</t>
        </r>
      </text>
    </comment>
    <comment ref="B199" authorId="0" shapeId="0" xr:uid="{00000000-0006-0000-0A00-00005C000000}">
      <text>
        <r>
          <rPr>
            <sz val="9"/>
            <color indexed="81"/>
            <rFont val="Tahoma"/>
            <family val="2"/>
          </rPr>
          <t>The total number of disks deployed in a JBOD configuration for use in the DAG and/or environment.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Brent Alinger</author>
    <author>David Mosier</author>
    <author>Ross Smith IV</author>
  </authors>
  <commentList>
    <comment ref="M35" authorId="0" shapeId="0" xr:uid="{87A358E4-EEC9-490A-87D0-241655B3C47C}">
      <text>
        <r>
          <rPr>
            <sz val="9"/>
            <color indexed="81"/>
            <rFont val="Tahoma"/>
            <family val="2"/>
          </rPr>
          <t>HDD:SDD Ratio for MCDB</t>
        </r>
      </text>
    </comment>
    <comment ref="M36" authorId="0" shapeId="0" xr:uid="{0B0765CE-CE0A-4B24-98BB-796E5C2CE7CC}">
      <text>
        <r>
          <rPr>
            <sz val="9"/>
            <color indexed="81"/>
            <rFont val="Tahoma"/>
            <family val="2"/>
          </rPr>
          <t xml:space="preserve">Target % of HDD storage to be replicated into MCDB
</t>
        </r>
      </text>
    </comment>
    <comment ref="K37" authorId="1" shapeId="0" xr:uid="{00000000-0006-0000-0C00-000001000000}">
      <text>
        <r>
          <rPr>
            <b/>
            <sz val="9"/>
            <color indexed="81"/>
            <rFont val="Tahoma"/>
            <family val="2"/>
          </rPr>
          <t>David Mosier:</t>
        </r>
        <r>
          <rPr>
            <sz val="9"/>
            <color indexed="81"/>
            <rFont val="Tahoma"/>
            <family val="2"/>
          </rPr>
          <t xml:space="preserve">
This is an arbitrary number.  We need PG input on the real value.</t>
        </r>
      </text>
    </comment>
    <comment ref="M37" authorId="0" shapeId="0" xr:uid="{EC14D1C1-55C1-46F7-ABF6-95A3CD41CC86}">
      <text>
        <r>
          <rPr>
            <sz val="9"/>
            <color indexed="81"/>
            <rFont val="Tahoma"/>
            <family val="2"/>
          </rPr>
          <t xml:space="preserve">Reduction in Read IOPS due to MCDB
</t>
        </r>
      </text>
    </comment>
    <comment ref="J38" authorId="2" shapeId="0" xr:uid="{00000000-0006-0000-0C00-000002000000}">
      <text>
        <r>
          <rPr>
            <sz val="8"/>
            <color indexed="81"/>
            <rFont val="Tahoma"/>
            <family val="2"/>
          </rPr>
          <t>By default Content Indexing is enabled in Exchange 2010 mailbox servers.  The results is about a 10% additional capacity requirement per database for each storage group LUN.</t>
        </r>
      </text>
    </comment>
    <comment ref="M38" authorId="0" shapeId="0" xr:uid="{4E2EFB15-3C87-43EF-94CF-480D0A4AAD61}">
      <text>
        <r>
          <rPr>
            <sz val="9"/>
            <color indexed="81"/>
            <rFont val="Tahoma"/>
            <family val="2"/>
          </rPr>
          <t>This value represents the minimum number of DB copies valid to use the HAOption.</t>
        </r>
      </text>
    </comment>
    <comment ref="M39" authorId="0" shapeId="0" xr:uid="{368F972D-62B5-4F0E-815D-DDF39EE66755}">
      <text>
        <r>
          <rPr>
            <sz val="9"/>
            <color indexed="81"/>
            <rFont val="Tahoma"/>
            <family val="2"/>
          </rPr>
          <t xml:space="preserve">This value represents the minimum number of DB copies required to support a JBOD solution without an override.
</t>
        </r>
      </text>
    </comment>
    <comment ref="J40" authorId="2" shapeId="0" xr:uid="{00000000-0006-0000-0C00-00000300000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M40" authorId="0" shapeId="0" xr:uid="{F16CD958-36FA-44C0-B14F-086F869D6335}">
      <text>
        <r>
          <rPr>
            <sz val="9"/>
            <color indexed="81"/>
            <rFont val="Tahoma"/>
            <family val="2"/>
          </rPr>
          <t>This value represents the minimum number of DB copies require to meet Exchange Native Protection requirements.</t>
        </r>
      </text>
    </comment>
    <comment ref="J46" authorId="1" shapeId="0" xr:uid="{00000000-0006-0000-0C00-000004000000}">
      <text>
        <r>
          <rPr>
            <b/>
            <sz val="9"/>
            <color indexed="81"/>
            <rFont val="Tahoma"/>
            <family val="2"/>
          </rPr>
          <t>Enables tracing of VBA code execution to a file</t>
        </r>
      </text>
    </comment>
    <comment ref="J48" authorId="1" shapeId="0" xr:uid="{00000000-0006-0000-0C00-000005000000}">
      <text>
        <r>
          <rPr>
            <b/>
            <sz val="9"/>
            <color indexed="81"/>
            <rFont val="Tahoma"/>
            <family val="2"/>
          </rPr>
          <t>3=very little
4=captures most routines
5=captures all routines including UDF</t>
        </r>
      </text>
    </comment>
    <comment ref="J52" authorId="1" shapeId="0" xr:uid="{00000000-0006-0000-0C00-00000600000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4" authorId="1" shapeId="0" xr:uid="{00000000-0006-0000-0C00-000007000000}">
      <text>
        <r>
          <rPr>
            <b/>
            <sz val="9"/>
            <color indexed="81"/>
            <rFont val="Tahoma"/>
            <family val="2"/>
          </rPr>
          <t>This value is set by VBA code</t>
        </r>
      </text>
    </comment>
    <comment ref="A76" authorId="0" shapeId="0" xr:uid="{4EBE522C-D555-44F9-ACCB-B60477C983F0}">
      <text>
        <r>
          <rPr>
            <sz val="9"/>
            <color indexed="81"/>
            <rFont val="Tahoma"/>
            <family val="2"/>
          </rPr>
          <t>IOPs gain when logs are on a spindle separate from the DB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Ross Smith IV</author>
  </authors>
  <commentList>
    <comment ref="B235" authorId="0" shapeId="0" xr:uid="{00000000-0006-0000-0D00-000001000000}">
      <text>
        <r>
          <rPr>
            <sz val="8"/>
            <color indexed="81"/>
            <rFont val="Tahoma"/>
            <family val="2"/>
          </rPr>
          <t>Random disk I/O measured at the controller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rosssmi</author>
    <author>Ross Smith IV</author>
  </authors>
  <commentList>
    <comment ref="B3" authorId="0" shapeId="0" xr:uid="{00000000-0006-0000-0F00-000001000000}">
      <text>
        <r>
          <rPr>
            <sz val="8"/>
            <color indexed="81"/>
            <rFont val="Tahoma"/>
            <family val="2"/>
          </rPr>
          <t>Select the disk capacity that will be used in the storage design.
Note: Not all capacity choices are available in each disk type.</t>
        </r>
      </text>
    </comment>
    <comment ref="B4" authorId="1" shapeId="0" xr:uid="{00000000-0006-0000-0F00-000002000000}">
      <text>
        <r>
          <rPr>
            <sz val="9"/>
            <color indexed="81"/>
            <rFont val="Tahoma"/>
            <family val="2"/>
          </rPr>
          <t>Choose the disk type that you will be using in your design.
Note: Not all capacity choices are available in each disk type.</t>
        </r>
      </text>
    </comment>
    <comment ref="B7" authorId="0" shapeId="0" xr:uid="{00000000-0006-0000-0F00-000003000000}">
      <text>
        <r>
          <rPr>
            <sz val="8"/>
            <color indexed="81"/>
            <rFont val="Tahoma"/>
            <family val="2"/>
          </rPr>
          <t>Select the disk capacity that will be used in the storage design.
Note: Not all capacity choices are available in each disk type.</t>
        </r>
      </text>
    </comment>
    <comment ref="B8" authorId="1" shapeId="0" xr:uid="{00000000-0006-0000-0F00-000004000000}">
      <text>
        <r>
          <rPr>
            <sz val="9"/>
            <color indexed="81"/>
            <rFont val="Tahoma"/>
            <family val="2"/>
          </rPr>
          <t>Choose the disk type that you will be using in your design.
Note: Not all capacity choices are available in each disk type.</t>
        </r>
      </text>
    </comment>
    <comment ref="B10" authorId="1" shapeId="0" xr:uid="{00000000-0006-0000-0F00-00000500000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xr:uid="{00000000-0006-0000-0F00-000006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xr:uid="{00000000-0006-0000-0F00-000007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xr:uid="{00000000-0006-0000-0F00-00000800000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xr:uid="{00000000-0006-0000-0F00-00000900000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reateDAG" type="6" refreshedVersion="6" deleted="1" background="1" saveData="1">
    <textPr codePage="437" sourceFile="D:\profileData\Desktop\8.4\CreateDAG.ps1" delimited="0">
      <textFields>
        <textField/>
      </textFields>
    </textPr>
  </connection>
  <connection id="2" xr16:uid="{00000000-0015-0000-FFFF-FFFF01000000}" name="CreateMBDatabaseCopies" type="6" refreshedVersion="6" deleted="1" background="1" saveData="1">
    <textPr codePage="437" sourceFile="D:\profileData\Desktop\8.4\CreateMBDatabaseCopies.ps1" delimited="0">
      <textFields>
        <textField/>
      </textFields>
    </textPr>
  </connection>
  <connection id="3" xr16:uid="{00000000-0015-0000-FFFF-FFFF02000000}" name="Diskpart" type="6" refreshedVersion="6" deleted="1" background="1" saveData="1">
    <textPr sourceFile="D:\profileData\Desktop\7.9Test\Diskpart.ps1" delimited="0">
      <textFields>
        <textField/>
      </textFields>
    </textPr>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<sst xmlns="http://schemas.openxmlformats.org/spreadsheetml/2006/main" count="3368" uniqueCount="2192">
  <si>
    <t>DB Read Transfers/s</t>
  </si>
  <si>
    <t>DB Write Transfers/s</t>
  </si>
  <si>
    <t>Raw Disk Capacity (GB)</t>
  </si>
  <si>
    <t>Formatted Disk Capacity (GB)</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</si>
  <si>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</si>
  <si>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</si>
  <si>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</si>
  <si>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</si>
  <si>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</si>
  <si>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</si>
  <si>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</si>
  <si>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</si>
  <si>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</si>
  <si>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</si>
  <si>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</si>
  <si>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</si>
  <si>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</si>
  <si>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</si>
  <si>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</si>
  <si>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</si>
  <si>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</si>
  <si>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</si>
  <si>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</si>
  <si>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</si>
  <si>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</si>
  <si>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</si>
  <si>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</si>
  <si>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</si>
  <si>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</si>
  <si>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</si>
  <si>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</si>
  <si>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</si>
  <si>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</si>
  <si>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</si>
  <si>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</si>
  <si>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</si>
  <si>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</si>
  <si>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</si>
  <si>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</si>
  <si>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</si>
  <si>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</si>
  <si>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</si>
  <si>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</si>
  <si>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</si>
  <si>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</si>
  <si>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</si>
  <si>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</si>
  <si>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</si>
  <si>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</si>
  <si>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</si>
  <si>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</si>
  <si>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</si>
  <si>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</si>
  <si>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</si>
  <si>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</si>
  <si>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</si>
  <si>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</si>
  <si>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</si>
  <si>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</si>
  <si>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</si>
  <si>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</si>
  <si>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</si>
  <si>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</si>
  <si>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</si>
  <si>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</si>
  <si>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</si>
  <si>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</si>
  <si>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</si>
  <si>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</si>
  <si>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</si>
  <si>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</si>
  <si>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</si>
  <si>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</si>
  <si>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</si>
  <si>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</si>
  <si>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</si>
  <si>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</si>
  <si>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</si>
  <si>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</si>
  <si>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</si>
  <si>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</si>
  <si>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</si>
  <si>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</si>
  <si>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</si>
  <si>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</si>
  <si>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</si>
  <si>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</si>
  <si>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</si>
  <si>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</si>
  <si>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</si>
  <si>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</si>
  <si>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</si>
  <si>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</si>
  <si>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</si>
  <si>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</si>
  <si>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</si>
  <si>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</si>
  <si>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</si>
  <si>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</si>
  <si>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</si>
  <si>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</si>
  <si>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</si>
  <si>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</si>
  <si>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</si>
  <si>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</si>
  <si>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</si>
  <si>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</si>
  <si>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</si>
  <si>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</si>
  <si>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</si>
  <si>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</si>
  <si>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</si>
  <si>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</si>
  <si>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</si>
  <si>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</si>
  <si>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</si>
  <si>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</si>
  <si>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</si>
  <si>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</si>
  <si>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</si>
  <si>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</si>
  <si>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</si>
  <si>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</si>
  <si>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</si>
  <si>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</si>
  <si>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</si>
  <si>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</si>
  <si>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</si>
  <si>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</si>
  <si>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</si>
  <si>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</si>
  <si>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</si>
  <si>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</si>
  <si>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</si>
  <si>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</si>
  <si>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</si>
  <si>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</si>
  <si>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</si>
  <si>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</si>
  <si>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</si>
  <si>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</si>
  <si>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</si>
  <si>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</si>
  <si>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</si>
  <si>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</si>
  <si>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</si>
  <si>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</si>
  <si>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</si>
  <si>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</si>
  <si>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</si>
  <si>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</si>
  <si>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</si>
  <si>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</si>
  <si>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</si>
  <si>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</si>
  <si>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</si>
  <si>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</si>
  <si>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</si>
  <si>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</si>
  <si>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</si>
  <si>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</si>
  <si>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</si>
  <si>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</si>
  <si>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</si>
  <si>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</si>
  <si>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</si>
  <si>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</si>
  <si>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</si>
  <si>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</si>
  <si>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</si>
  <si>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</si>
  <si>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</si>
  <si>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</si>
  <si>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</si>
  <si>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</si>
  <si>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</si>
  <si>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</si>
  <si>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</si>
  <si>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</si>
  <si>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</si>
  <si>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</si>
  <si>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</si>
  <si>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</si>
  <si>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</si>
  <si>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</si>
  <si>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</si>
  <si>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</si>
  <si>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</si>
  <si>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</si>
  <si>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</si>
  <si>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</si>
  <si>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</si>
  <si>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</si>
  <si>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</si>
  <si>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</si>
  <si>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</si>
  <si>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</si>
  <si>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</si>
  <si>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</si>
  <si>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</si>
  <si>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</si>
  <si>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</si>
  <si>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</si>
  <si>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</si>
  <si>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</si>
  <si>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</si>
  <si>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</si>
  <si>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</si>
  <si>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</si>
  <si>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</si>
  <si>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</si>
  <si>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</si>
  <si>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</si>
  <si>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</si>
  <si>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</si>
  <si>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</si>
  <si>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</si>
  <si>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</si>
  <si>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</si>
  <si>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</si>
  <si>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</si>
  <si>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</si>
  <si>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</si>
  <si>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</si>
  <si>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</si>
  <si>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</si>
  <si>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</si>
  <si>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</si>
  <si>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</si>
  <si>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</si>
  <si>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</si>
  <si>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</si>
  <si>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</si>
  <si>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</si>
  <si>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</si>
  <si>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</si>
  <si>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</si>
  <si>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</si>
  <si>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</si>
  <si>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</si>
  <si>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</si>
  <si>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</si>
  <si>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</si>
  <si>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</si>
  <si>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</si>
  <si>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</si>
  <si>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</si>
  <si>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</si>
  <si>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</si>
  <si>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</si>
  <si>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</si>
  <si>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</si>
  <si>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</si>
  <si>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</si>
  <si>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</si>
  <si>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</si>
  <si>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</si>
  <si>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</si>
  <si>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</si>
  <si>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</si>
  <si>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</si>
  <si>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</si>
  <si>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</si>
  <si>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</si>
  <si>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Note1</t>
    </r>
    <r>
      <rPr>
        <sz val="11"/>
        <rFont val="Calibri"/>
        <family val="2"/>
        <scheme val="minor"/>
      </rPr>
      <t>: Do not make any changes to this sheet.  This sheet is only used for calculation purposes.</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</si>
  <si>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</si>
  <si>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</si>
  <si>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</si>
  <si>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</si>
  <si>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</si>
  <si>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</si>
  <si>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</si>
  <si>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</si>
  <si>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</si>
  <si>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</si>
  <si>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</si>
  <si>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</si>
  <si>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</si>
  <si>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</si>
  <si>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</si>
  <si>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</si>
  <si>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</si>
  <si>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</si>
  <si>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</si>
  <si>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</si>
  <si>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</si>
  <si>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</si>
  <si>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</si>
  <si>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</si>
  <si>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</si>
  <si>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</si>
  <si>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</si>
  <si>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</si>
  <si>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</si>
  <si>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</si>
  <si>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</si>
  <si>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</si>
  <si>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</si>
  <si>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</si>
  <si>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</si>
  <si>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</si>
  <si>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</si>
  <si>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</si>
  <si>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</si>
  <si>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</si>
  <si>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</si>
  <si>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</si>
  <si>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</si>
  <si>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</si>
  <si>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</si>
  <si>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</si>
  <si>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</si>
  <si>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</si>
  <si>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</si>
  <si>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</si>
  <si>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</si>
  <si>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</si>
  <si>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</si>
  <si>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</si>
  <si>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</si>
  <si>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</si>
  <si>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</si>
  <si>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</si>
  <si>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</si>
  <si>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</si>
  <si>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</si>
  <si>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</si>
  <si>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</si>
  <si>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</si>
  <si>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</si>
  <si>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</si>
  <si>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</si>
  <si>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</si>
  <si>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</si>
  <si>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</si>
  <si>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</si>
  <si>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</si>
  <si>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</si>
  <si>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</si>
  <si>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</si>
  <si>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</si>
  <si>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</si>
  <si>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</si>
  <si>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</si>
  <si>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</si>
  <si>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</si>
  <si>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</si>
  <si>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</si>
  <si>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</si>
  <si>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</si>
  <si>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</si>
  <si>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</si>
  <si>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</si>
  <si>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</si>
  <si>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</si>
  <si>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</si>
  <si>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</si>
  <si>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</si>
  <si>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</si>
  <si>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</si>
  <si>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</si>
  <si>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</si>
  <si>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</si>
  <si>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</si>
  <si>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</si>
  <si>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</si>
  <si>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</si>
  <si>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</si>
  <si>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</si>
  <si>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</si>
  <si>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</si>
  <si>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</si>
  <si>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Database Disk Space Required</t>
  </si>
  <si>
    <t>Database Disk Space Required for all Copies</t>
  </si>
  <si>
    <t>Total Log Disk Space Required</t>
  </si>
  <si>
    <t>Total Log Disk Space Required for all Copies</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</si>
  <si>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</si>
  <si>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</si>
  <si>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</si>
  <si>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</si>
  <si>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</si>
  <si>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</si>
  <si>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</si>
  <si>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</si>
  <si>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</si>
  <si>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</si>
  <si>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</si>
  <si>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</si>
  <si>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</si>
  <si>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</si>
  <si>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</si>
  <si>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</si>
  <si>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</si>
  <si>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</si>
  <si>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</si>
  <si>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</si>
  <si>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</si>
  <si>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</si>
  <si>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</si>
  <si>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</si>
  <si>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</si>
  <si>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</si>
  <si>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</si>
  <si>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</si>
  <si>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</si>
  <si>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</si>
  <si>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</si>
  <si>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</si>
  <si>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Is Network Link Acceptable for RPO Replication?</t>
  </si>
  <si>
    <t>Is Network Link Acceptable for Peak Replication?</t>
  </si>
  <si>
    <t>Recovery Point Objective</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</si>
  <si>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</si>
  <si>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</si>
  <si>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</si>
  <si>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</si>
  <si>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</si>
  <si>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</si>
  <si>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</si>
  <si>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</si>
  <si>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</si>
  <si>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</si>
  <si>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</si>
  <si>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</si>
  <si>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</si>
  <si>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</si>
  <si>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</si>
  <si>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</si>
  <si>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</si>
  <si>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</si>
  <si>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</si>
  <si>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</si>
  <si>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</si>
  <si>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</si>
  <si>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</si>
  <si>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</si>
  <si>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</si>
  <si>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</si>
  <si>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</si>
  <si>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</si>
  <si>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</si>
  <si>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</si>
  <si>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</si>
  <si>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</si>
  <si>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</si>
  <si>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</si>
  <si>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</si>
  <si>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</si>
  <si>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</si>
  <si>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</si>
  <si>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</si>
  <si>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</si>
  <si>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</si>
  <si>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</si>
  <si>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</si>
  <si>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</si>
  <si>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</si>
  <si>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</si>
  <si>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</si>
  <si>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</si>
  <si>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</si>
  <si>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</si>
  <si>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</si>
  <si>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</si>
  <si>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</si>
  <si>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</si>
  <si>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</si>
  <si>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</si>
  <si>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</si>
  <si>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</si>
  <si>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</si>
  <si>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</si>
  <si>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</si>
  <si>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</si>
  <si>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</si>
  <si>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</si>
  <si>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</si>
  <si>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</si>
  <si>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</si>
  <si>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</si>
  <si>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</si>
  <si>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</si>
  <si>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</si>
  <si>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</si>
  <si>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</si>
  <si>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</si>
  <si>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</si>
  <si>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</si>
  <si>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</si>
  <si>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</si>
  <si>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</si>
  <si>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</si>
  <si>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</si>
  <si>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</si>
  <si>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</si>
  <si>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</si>
  <si>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</si>
  <si>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</si>
  <si>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</si>
  <si>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</si>
  <si>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</si>
  <si>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</si>
  <si>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</si>
  <si>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</si>
  <si>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</si>
  <si>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</si>
  <si>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</si>
  <si>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</si>
  <si>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</si>
  <si>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</si>
  <si>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</si>
  <si>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</si>
  <si>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</si>
  <si>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</si>
  <si>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</si>
  <si>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</si>
  <si>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</si>
  <si>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</si>
  <si>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</si>
  <si>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</si>
  <si>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</si>
  <si>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</si>
  <si>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</si>
  <si>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</si>
  <si>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</si>
  <si>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</si>
  <si>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</si>
  <si>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</si>
  <si>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</si>
  <si>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</si>
  <si>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</si>
  <si>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</si>
  <si>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</si>
  <si>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</si>
  <si>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</si>
  <si>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</si>
  <si>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</si>
  <si>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</si>
  <si>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</si>
  <si>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</si>
  <si>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</si>
  <si>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</si>
  <si>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</si>
  <si>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</si>
  <si>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</si>
  <si>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</si>
  <si>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</si>
  <si>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</si>
  <si>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</si>
  <si>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</si>
  <si>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t>Current Version:</t>
  </si>
  <si>
    <t>Number of DAGs</t>
  </si>
  <si>
    <t>Number of User Mailboxes / Environment</t>
  </si>
  <si>
    <t>Number of HA Database Copy Instances Deployed in Secondary Datacenter</t>
  </si>
  <si>
    <t>Number of Lagged Database Copy Instances in Secondary Datacenter</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</si>
  <si>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</si>
  <si>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</si>
  <si>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</si>
  <si>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</si>
  <si>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</si>
  <si>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</si>
  <si>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</si>
  <si>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</si>
  <si>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</si>
  <si>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</si>
  <si>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</si>
  <si>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</si>
  <si>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</si>
  <si>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</si>
  <si>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</si>
  <si>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</si>
  <si>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</si>
  <si>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</si>
  <si>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</si>
  <si>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</si>
  <si>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</si>
  <si>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</si>
  <si>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</si>
  <si>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</si>
  <si>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</si>
  <si>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</si>
  <si>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</si>
  <si>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</si>
  <si>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</si>
  <si>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</si>
  <si>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</si>
  <si>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</si>
  <si>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</si>
  <si>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</si>
  <si>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</si>
  <si>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</si>
  <si>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</si>
  <si>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</si>
  <si>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</si>
  <si>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</si>
  <si>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</si>
  <si>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</si>
  <si>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</si>
  <si>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</si>
  <si>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</si>
  <si>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Number of Mailboxes / DB</t>
  </si>
  <si>
    <t>Tier-4</t>
  </si>
  <si>
    <t>Number of Active Databases (First Server Failure after SDC Activation)</t>
  </si>
  <si>
    <t>Number of Active Databases (Second Server Failure after SDC Activation)</t>
  </si>
  <si>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</si>
  <si>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</si>
  <si>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</si>
  <si>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</si>
  <si>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</si>
  <si>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</si>
  <si>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</si>
  <si>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</si>
  <si>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</si>
  <si>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</si>
  <si>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</si>
  <si>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</si>
  <si>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</si>
  <si>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</si>
  <si>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</si>
  <si>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</si>
  <si>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</si>
  <si>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</si>
  <si>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</si>
  <si>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</si>
  <si>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</si>
  <si>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</si>
  <si>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</si>
  <si>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</si>
  <si>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</si>
  <si>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</si>
  <si>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</si>
  <si>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</si>
  <si>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</si>
  <si>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</si>
  <si>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</si>
  <si>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</si>
  <si>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</si>
  <si>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</si>
  <si>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</si>
  <si>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</si>
  <si>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</si>
  <si>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</si>
  <si>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</si>
  <si>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</si>
  <si>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</si>
  <si>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</si>
  <si>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</si>
  <si>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</si>
  <si>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</si>
  <si>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</si>
  <si>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</si>
  <si>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</si>
  <si>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</si>
  <si>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</si>
  <si>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</si>
  <si>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</si>
  <si>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</si>
  <si>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</si>
  <si>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</si>
  <si>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</si>
  <si>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</si>
  <si>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1
(Primary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</si>
  <si>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</si>
  <si>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</si>
  <si>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</si>
  <si>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</si>
  <si>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</si>
  <si>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</si>
  <si>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</si>
  <si>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</si>
  <si>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</si>
  <si>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</si>
  <si>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</si>
  <si>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</si>
  <si>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</si>
  <si>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</si>
  <si>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</si>
  <si>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</si>
  <si>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</si>
  <si>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</si>
  <si>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</si>
  <si>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</si>
  <si>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</si>
  <si>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</si>
  <si>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</si>
  <si>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</si>
  <si>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</si>
  <si>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</si>
  <si>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</si>
  <si>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</si>
  <si>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</si>
  <si>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</si>
  <si>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</si>
  <si>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</si>
  <si>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</si>
  <si>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</si>
  <si>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</si>
  <si>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</si>
  <si>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</si>
  <si>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</si>
  <si>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</si>
  <si>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</si>
  <si>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</si>
  <si>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</si>
  <si>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</si>
  <si>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</si>
  <si>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</si>
  <si>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</si>
  <si>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</si>
  <si>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</si>
  <si>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</si>
  <si>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</si>
  <si>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</si>
  <si>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</si>
  <si>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</si>
  <si>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</si>
  <si>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</si>
  <si>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</si>
  <si>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</si>
  <si>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</si>
  <si>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</si>
  <si>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</si>
  <si>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</si>
  <si>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</si>
  <si>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</si>
  <si>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</si>
  <si>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</si>
  <si>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</si>
  <si>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</si>
  <si>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</si>
  <si>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</si>
  <si>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</si>
  <si>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</si>
  <si>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</si>
  <si>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</si>
  <si>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</si>
  <si>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</si>
  <si>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</si>
  <si>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</si>
  <si>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</si>
  <si>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</si>
  <si>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</si>
  <si>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</si>
  <si>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</si>
  <si>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</si>
  <si>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</si>
  <si>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</si>
  <si>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</si>
  <si>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</si>
  <si>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</si>
  <si>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</si>
  <si>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</si>
  <si>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</si>
  <si>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</si>
  <si>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</si>
  <si>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</si>
  <si>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</si>
  <si>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</si>
  <si>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</si>
  <si>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</si>
  <si>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</si>
  <si>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</si>
  <si>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</si>
  <si>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</si>
  <si>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</si>
  <si>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</si>
  <si>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</si>
  <si>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</si>
  <si>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</si>
  <si>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</si>
  <si>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</si>
  <si>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</si>
  <si>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</si>
  <si>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</si>
  <si>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</si>
  <si>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</si>
  <si>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</si>
  <si>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</si>
  <si>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</si>
  <si>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</si>
  <si>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</si>
  <si>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</si>
  <si>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</si>
  <si>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</si>
  <si>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</si>
  <si>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</si>
  <si>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</si>
  <si>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</si>
  <si>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</si>
  <si>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</si>
  <si>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t>Log Volume Space Required</t>
  </si>
  <si>
    <t>Restore Volume Space Required</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</si>
  <si>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</si>
  <si>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</si>
  <si>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</si>
  <si>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</si>
  <si>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</si>
  <si>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</si>
  <si>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</si>
  <si>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</si>
  <si>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</si>
  <si>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</si>
  <si>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</si>
  <si>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</si>
  <si>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</si>
  <si>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</si>
  <si>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</si>
  <si>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</si>
  <si>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</si>
  <si>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</si>
  <si>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</si>
  <si>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</si>
  <si>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</si>
  <si>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</si>
  <si>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</si>
  <si>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</si>
  <si>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</si>
  <si>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</si>
  <si>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</si>
  <si>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</si>
  <si>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</si>
  <si>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</si>
  <si>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</si>
  <si>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</si>
  <si>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</si>
  <si>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</si>
  <si>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</si>
  <si>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</si>
  <si>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</si>
  <si>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</si>
  <si>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</si>
  <si>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</si>
  <si>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</si>
  <si>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</si>
  <si>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</si>
  <si>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</si>
  <si>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</si>
  <si>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</si>
  <si>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</si>
  <si>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.EXAMPLE</t>
  </si>
  <si>
    <t>#&gt;</t>
  </si>
  <si>
    <t>)</t>
  </si>
  <si>
    <t>==========================================================================</t>
  </si>
  <si>
    <t xml:space="preserve">	}</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</si>
  <si>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</si>
  <si>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</si>
  <si>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</si>
  <si>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</si>
  <si>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</si>
  <si>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</si>
  <si>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</si>
  <si>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</si>
  <si>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</si>
  <si>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</si>
  <si>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</si>
  <si>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</si>
  <si>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</si>
  <si>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</si>
  <si>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</si>
  <si>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</si>
  <si>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</si>
  <si>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</si>
  <si>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</si>
  <si>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</si>
  <si>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</si>
  <si>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</si>
  <si>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</si>
  <si>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</si>
  <si>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</si>
  <si>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</si>
  <si>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</si>
  <si>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</si>
  <si>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</si>
  <si>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</si>
  <si>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</si>
  <si>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</si>
  <si>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</si>
  <si>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</si>
  <si>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</si>
  <si>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</si>
  <si>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</si>
  <si>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</si>
  <si>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</si>
  <si>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</si>
  <si>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</si>
  <si>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</si>
  <si>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</si>
  <si>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</si>
  <si>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</si>
  <si>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</si>
  <si>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</si>
  <si>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</si>
  <si>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</si>
  <si>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</si>
  <si>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</si>
  <si>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</si>
  <si>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</si>
  <si>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</si>
  <si>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</si>
  <si>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</si>
  <si>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</si>
  <si>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</si>
  <si>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</si>
  <si>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</si>
  <si>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</si>
  <si>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</si>
  <si>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</si>
  <si>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</si>
  <si>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</si>
  <si>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</si>
  <si>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</si>
  <si>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</si>
  <si>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</si>
  <si>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</si>
  <si>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</si>
  <si>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</si>
  <si>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</si>
  <si>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</si>
  <si>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</si>
  <si>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</si>
  <si>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</si>
  <si>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</si>
  <si>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</si>
  <si>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</si>
  <si>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</si>
  <si>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</si>
  <si>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</si>
  <si>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</si>
  <si>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</si>
  <si>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</si>
  <si>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</si>
  <si>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The path of the DBCopyFile should be enclosed in quotes if it contains</t>
  </si>
  <si>
    <t xml:space="preserve">	Runs the CreateMBDatabases command and imports the database copy information</t>
  </si>
  <si>
    <t xml:space="preserve">	from the file MailboxDatabases.csv in the root directory of the D: drive.</t>
  </si>
  <si>
    <t>#        PARTICULAR PURPOSE.HEREWEGOSTEELERS.</t>
  </si>
  <si>
    <t xml:space="preserve">	Write-Host "CreateMBDatabaseCopies script version $Version" -ForegroundColor $ForeGroundNormal</t>
  </si>
  <si>
    <t xml:space="preserve">	Write-Host "Attempting to read CSV file: $DBCopyFile" -ForegroundColor $ForegroundNormal</t>
  </si>
  <si>
    <t xml:space="preserve">	[Array]$DBCopies = Import-CSV $DBCopyFile</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</si>
  <si>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</si>
  <si>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</si>
  <si>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</si>
  <si>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</si>
  <si>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</si>
  <si>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</si>
  <si>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</si>
  <si>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</si>
  <si>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</si>
  <si>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This is a sample script to format and mount drives in preparation for use in</t>
  </si>
  <si>
    <t xml:space="preserve">	a database availability group.  This script supports the AutoReseed feature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</si>
  <si>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</si>
  <si>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</si>
  <si>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</si>
  <si>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</si>
  <si>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</si>
  <si>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</si>
  <si>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</si>
  <si>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</si>
  <si>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</si>
  <si>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</si>
  <si>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</si>
  <si>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</si>
  <si>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</si>
  <si>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</si>
  <si>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</si>
  <si>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</si>
  <si>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</si>
  <si>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</si>
  <si>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</si>
  <si>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</si>
  <si>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</si>
  <si>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</si>
  <si>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</si>
  <si>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</si>
  <si>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</si>
  <si>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</si>
  <si>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</si>
  <si>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</si>
  <si>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</si>
  <si>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</si>
  <si>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</si>
  <si>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</si>
  <si>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</si>
  <si>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</si>
  <si>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</si>
  <si>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</si>
  <si>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</si>
  <si>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</si>
  <si>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</si>
  <si>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</si>
  <si>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</si>
  <si>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</si>
  <si>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</si>
  <si>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</si>
  <si>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</si>
  <si>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</si>
  <si>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</si>
  <si>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</si>
  <si>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</si>
  <si>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</si>
  <si>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</si>
  <si>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</si>
  <si>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</si>
  <si>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</si>
  <si>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</si>
  <si>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</si>
  <si>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</si>
  <si>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</si>
  <si>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</si>
  <si>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</si>
  <si>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</si>
  <si>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</si>
  <si>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</si>
  <si>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</si>
  <si>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</si>
  <si>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</si>
  <si>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</si>
  <si>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</si>
  <si>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</si>
  <si>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</si>
  <si>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</si>
  <si>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</si>
  <si>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</si>
  <si>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</si>
  <si>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</si>
  <si>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</si>
  <si>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</si>
  <si>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</si>
  <si>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</si>
  <si>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</si>
  <si>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</si>
  <si>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</si>
  <si>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Function Run-Diskpart</t>
  </si>
  <si>
    <t xml:space="preserve">	Write-Host "Diskpart /s $CMDLine" -ForegroundColor $ForeGroundNormal</t>
  </si>
  <si>
    <t>Function PrepareVolumes()</t>
  </si>
  <si>
    <t xml:space="preserve">		$VolPath = "$ExchangeVols\ExVol" + $Disk</t>
  </si>
  <si>
    <t>Function PrepareDatabases()</t>
  </si>
  <si>
    <t xml:space="preserve">	$x = 0</t>
  </si>
  <si>
    <t xml:space="preserve">	Foreach ($DB in $DbMap) {</t>
  </si>
  <si>
    <t xml:space="preserve">		$DBPath = "$ExchangeDBs\$DB"</t>
  </si>
  <si>
    <t xml:space="preserve">		If ((Test-Path $DBPath) -eq $False) {</t>
  </si>
  <si>
    <t xml:space="preserve">		If ($x -eq 0) {</t>
  </si>
  <si>
    <t xml:space="preserve">			$Volume = "$ExchangeVols\ExVol" + $Vol</t>
  </si>
  <si>
    <t xml:space="preserve">			$x = $DBperVolume</t>
  </si>
  <si>
    <t xml:space="preserve">			$Vol++</t>
  </si>
  <si>
    <t xml:space="preserve">		$x--</t>
  </si>
  <si>
    <t xml:space="preserve">		If ($DBLogIsolation -and ($DBperVolume -eq "1")) {</t>
  </si>
  <si>
    <t xml:space="preserve">			$DBPath = "$DBPath\$DB" + ".log"</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</si>
  <si>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</si>
  <si>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</si>
  <si>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</si>
  <si>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</si>
  <si>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</si>
  <si>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</si>
  <si>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</si>
  <si>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</si>
  <si>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</si>
  <si>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</si>
  <si>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</si>
  <si>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</si>
  <si>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</si>
  <si>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</si>
  <si>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</si>
  <si>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</si>
  <si>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</si>
  <si>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</si>
  <si>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</si>
  <si>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</si>
  <si>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</si>
  <si>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</si>
  <si>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</si>
  <si>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</si>
  <si>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</si>
  <si>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</si>
  <si>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</si>
  <si>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</si>
  <si>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</si>
  <si>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</si>
  <si>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</si>
  <si>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Stop-Transcript</t>
  </si>
  <si>
    <t xml:space="preserve">				Exit 1</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</si>
  <si>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</si>
  <si>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</si>
  <si>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</si>
  <si>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</si>
  <si>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</si>
  <si>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</si>
  <si>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</si>
  <si>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</si>
  <si>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</si>
  <si>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</si>
  <si>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</si>
  <si>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</si>
  <si>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</si>
  <si>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</si>
  <si>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</si>
  <si>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</si>
  <si>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</si>
  <si>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</si>
  <si>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</si>
  <si>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</si>
  <si>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</si>
  <si>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</si>
  <si>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</si>
  <si>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</si>
  <si>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</si>
  <si>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</si>
  <si>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</si>
  <si>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</si>
  <si>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</si>
  <si>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</si>
  <si>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</si>
  <si>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</si>
  <si>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The following combinations of options and behaviors are available:</t>
  </si>
  <si>
    <t>You can specify only a name for the DAG. In this scenario, the task searches for</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</si>
  <si>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</si>
  <si>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</si>
  <si>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</si>
  <si>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</si>
  <si>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</si>
  <si>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</si>
  <si>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!!!!!IMPORTANT!!!!!</t>
  </si>
  <si>
    <t>If the witness server you specify isn't an Exchange 2013 server, you must add</t>
  </si>
  <si>
    <t>the Exchange Trusted Subsystem universal security group (USG) to the local</t>
  </si>
  <si>
    <t>!!!!!Warning!!!!!</t>
  </si>
  <si>
    <t>If the witness server is a directory server, you must add the Exchange</t>
  </si>
  <si>
    <t>Trusted Subsystem USG to the Builtin\Administrators group.</t>
  </si>
  <si>
    <t>These security permissions are necessary to ensure that Exchange can create a</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</si>
  <si>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</si>
  <si>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</si>
  <si>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</si>
  <si>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</si>
  <si>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</si>
  <si>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</si>
  <si>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</si>
  <si>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</si>
  <si>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AutoDagDatabasesRootFolderPath =  specifies the directory containing the</t>
  </si>
  <si>
    <t>AutoReseed uses a default path of C:\ExchangeDatabases.</t>
  </si>
  <si>
    <t>AutoDagVolumesRootFolderPath =  specifies the volume containing the mount points</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</si>
  <si>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</si>
  <si>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</si>
  <si>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</si>
  <si>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</si>
  <si>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</si>
  <si>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</si>
  <si>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</si>
  <si>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</si>
  <si>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</si>
  <si>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</si>
  <si>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</si>
  <si>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</si>
  <si>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</si>
  <si>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</si>
  <si>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</si>
  <si>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</si>
  <si>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"`nFinished adding a mailbox database copy for database $CopyName on server $CopyServer" -ForegroundColor $ForeGroundNormal</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</si>
  <si>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</si>
  <si>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</si>
  <si>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</si>
  <si>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</si>
  <si>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</si>
  <si>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</si>
  <si>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</si>
  <si>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</si>
  <si>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</si>
  <si>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</si>
  <si>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</si>
  <si>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</si>
  <si>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</si>
  <si>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</si>
  <si>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</si>
  <si>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</si>
  <si>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</si>
  <si>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</si>
  <si>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</si>
  <si>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</si>
  <si>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</si>
  <si>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</si>
  <si>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</si>
  <si>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</si>
  <si>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</si>
  <si>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</si>
  <si>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</si>
  <si>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</si>
  <si>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</si>
  <si>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</si>
  <si>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</si>
  <si>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</si>
  <si>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</si>
  <si>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</si>
  <si>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</si>
  <si>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</si>
  <si>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</si>
  <si>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</si>
  <si>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</si>
  <si>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</si>
  <si>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</si>
  <si>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Tot/Active</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</si>
  <si>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</si>
  <si>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</si>
  <si>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</si>
  <si>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</si>
  <si>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</si>
  <si>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</si>
  <si>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</si>
  <si>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</si>
  <si>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</si>
  <si>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</si>
  <si>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</si>
  <si>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</si>
  <si>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</si>
  <si>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</si>
  <si>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</si>
  <si>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</si>
  <si>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</si>
  <si>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</si>
  <si>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</si>
  <si>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</si>
  <si>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</si>
  <si>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SDC Database/Log Disks - Capacity</t>
  </si>
  <si>
    <t>SDC Database/Log Disks - IO</t>
  </si>
  <si>
    <t>SDC Restore Disks - Capacity</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</si>
  <si>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</si>
  <si>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</si>
  <si>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</si>
  <si>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</si>
  <si>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</si>
  <si>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</si>
  <si>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</si>
  <si>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</si>
  <si>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</si>
  <si>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</si>
  <si>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</si>
  <si>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</si>
  <si>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</si>
  <si>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</si>
  <si>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</si>
  <si>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</si>
  <si>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</si>
  <si>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</si>
  <si>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</si>
  <si>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</si>
  <si>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</si>
  <si>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</si>
  <si>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</si>
  <si>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</si>
  <si>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</si>
  <si>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</si>
  <si>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</si>
  <si>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</si>
  <si>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</si>
  <si>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</si>
  <si>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</si>
  <si>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</si>
  <si>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</si>
  <si>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</si>
  <si>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</si>
  <si>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</si>
  <si>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</si>
  <si>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</si>
  <si>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</si>
  <si>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</si>
  <si>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</si>
  <si>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</si>
  <si>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</si>
  <si>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</si>
  <si>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</si>
  <si>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</si>
  <si>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</si>
  <si>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</si>
  <si>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</si>
  <si>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</si>
  <si>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</si>
  <si>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</si>
  <si>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</si>
  <si>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</si>
  <si>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</si>
  <si>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</si>
  <si>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</si>
  <si>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</si>
  <si>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</si>
  <si>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</si>
  <si>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</si>
  <si>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</si>
  <si>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</si>
  <si>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</si>
  <si>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</si>
  <si>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</si>
  <si>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</si>
  <si>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</si>
  <si>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</si>
  <si>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</si>
  <si>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</si>
  <si>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</si>
  <si>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</si>
  <si>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</si>
  <si>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</si>
  <si>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</si>
  <si>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</si>
  <si>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</si>
  <si>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</si>
  <si>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</si>
  <si>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</si>
  <si>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</si>
  <si>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</si>
  <si>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</si>
  <si>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</si>
  <si>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</si>
  <si>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</si>
  <si>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</si>
  <si>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</si>
  <si>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</si>
  <si>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</si>
  <si>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</si>
  <si>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</si>
  <si>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</si>
  <si>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</si>
  <si>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</si>
  <si>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$DataVersion = "2.1"</t>
  </si>
  <si>
    <t>Calculated Max DB Size Not Zero Check</t>
  </si>
  <si>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</si>
  <si>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</si>
  <si>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</si>
  <si>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</si>
  <si>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</si>
  <si>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</si>
  <si>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</si>
  <si>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</si>
  <si>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</si>
  <si>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</si>
  <si>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</si>
  <si>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</si>
  <si>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</si>
  <si>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</si>
  <si>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</si>
  <si>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</si>
  <si>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</si>
  <si>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</si>
  <si>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</si>
  <si>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</si>
  <si>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</si>
  <si>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</si>
  <si>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</si>
  <si>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</si>
  <si>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</si>
  <si>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</si>
  <si>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</si>
  <si>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</si>
  <si>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</si>
  <si>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</si>
  <si>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</si>
  <si>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</si>
  <si>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</si>
  <si>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</si>
  <si>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</si>
  <si>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</si>
  <si>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</si>
  <si>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</si>
  <si>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</si>
  <si>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</si>
  <si>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</si>
  <si>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</si>
  <si>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</si>
  <si>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</si>
  <si>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$WitnessServer = $Dag.WitnessServer</t>
  </si>
  <si>
    <t xml:space="preserve">				$AltWitnessDirectory = $DAG.AltWitnessDir</t>
  </si>
  <si>
    <t xml:space="preserve">				$AltWitnessServer = $DAG.AltWitnessServer</t>
  </si>
  <si>
    <t xml:space="preserve">				$WitnessDirectory = $DAG.WitnessDir</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</si>
  <si>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</si>
  <si>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</si>
  <si>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</si>
  <si>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</si>
  <si>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</si>
  <si>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</si>
  <si>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</si>
  <si>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</si>
  <si>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</si>
  <si>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</si>
  <si>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</si>
  <si>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</si>
  <si>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</si>
  <si>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</si>
  <si>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</si>
  <si>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</si>
  <si>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</si>
  <si>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</si>
  <si>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</si>
  <si>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</si>
  <si>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</si>
  <si>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</si>
  <si>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</si>
  <si>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</si>
  <si>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</si>
  <si>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</si>
  <si>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</si>
  <si>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Add-DatabaseAvailabilityGroupServer -Identity $DAGName -MailboxServer $_</t>
  </si>
  <si>
    <t xml:space="preserve">						Write-Host "`nAdding DAG members in Site 2" -ForegroundColor $ForegroundNormal</t>
  </si>
  <si>
    <t xml:space="preserve">						$Servers2 | ForEach-Object {</t>
  </si>
  <si>
    <t xml:space="preserve">						Write-Host "`nWaiting for Domain Controllers $GC and $GC2 to get in sync before continuing" -ForegroundColor $ForegroundNormal</t>
  </si>
  <si>
    <t xml:space="preserve">				    Else {</t>
  </si>
  <si>
    <t xml:space="preserve">						Write-Host "`nAdding DAG members" -ForegroundColor $ForegroundNormal</t>
  </si>
  <si>
    <t xml:space="preserve">				    }</t>
  </si>
  <si>
    <t xml:space="preserve">				    Write-Host "`nSetting DAC Mode" -ForegroundColor $ForegroundNormal</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</si>
  <si>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</si>
  <si>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</si>
  <si>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</si>
  <si>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Write-Host "`nSetting Additional Parameters for Replay Lag Manager and Replication Port Number" -ForegroundColor $ForegroundNormal</t>
  </si>
  <si>
    <t xml:space="preserve">			Write-Host "`nThe Create DAG script completed, please check for errors." -ForegroundColor $ForegroundNormal</t>
  </si>
  <si>
    <t xml:space="preserve">			Get-DatabaseAvailabilityGroup -Id $NewDAG -Status | FL</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</si>
  <si>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</si>
  <si>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</si>
  <si>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</si>
  <si>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</si>
  <si>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1-Franklin</t>
  </si>
  <si>
    <t>2-Washington</t>
  </si>
  <si>
    <t>3-Jackson</t>
  </si>
  <si>
    <t>4-Jefferson</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</si>
  <si>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</si>
  <si>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</si>
  <si>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</si>
  <si>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</si>
  <si>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</si>
  <si>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</si>
  <si>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</si>
  <si>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</si>
  <si>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</si>
  <si>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</si>
  <si>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</si>
  <si>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</si>
  <si>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</si>
  <si>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</si>
  <si>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</si>
  <si>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</si>
  <si>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</si>
  <si>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</si>
  <si>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</si>
  <si>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</si>
  <si>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</si>
  <si>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</si>
  <si>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</si>
  <si>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</si>
  <si>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</si>
  <si>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</si>
  <si>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</si>
  <si>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</si>
  <si>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</si>
  <si>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</si>
  <si>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</si>
  <si>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</si>
  <si>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</si>
  <si>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</si>
  <si>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</si>
  <si>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</si>
  <si>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</si>
  <si>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</si>
  <si>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</si>
  <si>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</si>
  <si>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</si>
  <si>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</si>
  <si>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</si>
  <si>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</si>
  <si>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</si>
  <si>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</si>
  <si>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</si>
  <si>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</si>
  <si>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</si>
  <si>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</si>
  <si>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</si>
  <si>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</si>
  <si>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</si>
  <si>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</si>
  <si>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</si>
  <si>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</si>
  <si>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</si>
  <si>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</si>
  <si>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</si>
  <si>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</si>
  <si>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</si>
  <si>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</si>
  <si>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</si>
  <si>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</si>
  <si>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</si>
  <si>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</si>
  <si>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</si>
  <si>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</si>
  <si>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For ($Vol = $DiskStart; $Vol -le $LastDrive; $Vol++) {</t>
  </si>
  <si>
    <t xml:space="preserve">			Write-Host "Log Isolation is enabled so AutoReseed mount points will be removed" -ForegroundColor $ForeGroundNormal</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</si>
  <si>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</si>
  <si>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</si>
  <si>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</si>
  <si>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</si>
  <si>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</si>
  <si>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</si>
  <si>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</si>
  <si>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</si>
  <si>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</si>
  <si>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</si>
  <si>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</si>
  <si>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</si>
  <si>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</si>
  <si>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</si>
  <si>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</si>
  <si>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</si>
  <si>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</si>
  <si>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</si>
  <si>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</si>
  <si>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</si>
  <si>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</si>
  <si>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</si>
  <si>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</si>
  <si>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</si>
  <si>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</si>
  <si>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</si>
  <si>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</si>
  <si>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</si>
  <si>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</si>
  <si>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</si>
  <si>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Tier-1 Mailbox Space Modeling</t>
  </si>
  <si>
    <t>Tier-2 Mailbox Space Modeling</t>
  </si>
  <si>
    <t>Tier-3 Mailbox Space Modeling</t>
  </si>
  <si>
    <t>Tier-4 Mailbox Space Modeling</t>
  </si>
  <si>
    <t>Items per Server (Active)</t>
  </si>
  <si>
    <t>Items per Server (Passive)</t>
  </si>
  <si>
    <t>Number of AutoReseed Volumes per Server</t>
  </si>
  <si>
    <t>Number of AutoReseed Volumes</t>
  </si>
  <si>
    <t>$IsAdmin = $true</t>
  </si>
  <si>
    <t xml:space="preserve">	[Parameter(Position = 0)][String]$ServerFile = "Servers.csv",</t>
  </si>
  <si>
    <t xml:space="preserve">	$Last = $LastDrive</t>
  </si>
  <si>
    <t xml:space="preserve">	$Vol = $DiskStart</t>
  </si>
  <si>
    <t xml:space="preserve">	If ($Script:DBLogIsolation -eq $True) {</t>
  </si>
  <si>
    <t xml:space="preserve">	Run-Diskpart "list disk"</t>
  </si>
  <si>
    <t xml:space="preserve">					$AutoReseedVolumes = $Server.AutoReseedVolumes</t>
  </si>
  <si>
    <t>Due to performance implications, the use of RAID-5 or RAID-6 with 5.2K, 5.4K, 5.9K or 7.2K spindles is prohibited within the calculator.</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</si>
  <si>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</si>
  <si>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</si>
  <si>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Number of Months to reach Maximum Mailbox Size</t>
  </si>
  <si>
    <t>If (![bool]$WhatIfPreference) {</t>
  </si>
  <si>
    <t xml:space="preserve">	[Parameter(Mandatory=$False)][Switch]$PrepareAutoReseedVolume</t>
  </si>
  <si>
    <t xml:space="preserve">	If ([bool]$WhatIfPreference) {</t>
  </si>
  <si>
    <t xml:space="preserve">		If (![bool]$WhatIfPreference) {</t>
  </si>
  <si>
    <t xml:space="preserve">					Write-Host "Autoreseed volumes: $AutoReseedVolumes" -ForegroundColor $ForeGroundNormal</t>
  </si>
  <si>
    <t xml:space="preserve">	If ($PrepareAutoReseedVolume.IsPresent) {$Last += $AutoReseedVolumes}</t>
  </si>
  <si>
    <t xml:space="preserve">						$LastDrive = $DiskStart - 1 + $DbMap.Count/$DBperVolume</t>
  </si>
  <si>
    <t xml:space="preserve">							$LastDrive = $DiskStart - 1 + $DbMap.Count * 2</t>
  </si>
  <si>
    <t>Recommended Maximum Database Size</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</si>
  <si>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</si>
  <si>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</si>
  <si>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</si>
  <si>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</si>
  <si>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</si>
  <si>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</si>
  <si>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If ($DAGNetwork1 -eq "255.255.255.255") {</t>
  </si>
  <si>
    <t>6.7 - Changed Processor Cores/Server to not use a list drop down; Fixed bugs in Diskpart script with PrepareAutoReseedVolume switch and WhatIf processing; Added ability to create DAG without IP address in CreateDAG script (Dave Colbeck)</t>
  </si>
  <si>
    <t xml:space="preserve">		$Mount = 'assign mount="' + $DBPath + '"'</t>
  </si>
  <si>
    <t xml:space="preserve">		Run-Diskpart "select volume $Volume", "$Mount"</t>
  </si>
  <si>
    <t xml:space="preserve">			$Mount = 'assign mount="' + $DBPath + '"'</t>
  </si>
  <si>
    <t xml:space="preserve">			Run-Diskpart "select volume $Volume", "$Mount"</t>
  </si>
  <si>
    <t xml:space="preserve">			$Mount = 'remove mount="' + $Volume + '"'</t>
  </si>
  <si>
    <t xml:space="preserve">			$Mount = 'assign mount="' + $Volume + '"'</t>
  </si>
  <si>
    <t xml:space="preserve">			$RemoveMount = 'remove mount="' + $Volume + '"'</t>
  </si>
  <si>
    <t xml:space="preserve">			Run-Diskpart "select volume $Volume", "$RemoveMount","$Mount"</t>
  </si>
  <si>
    <t>6.9 - Fixed multiple databases / volume calculation to take into account symmetric designs that utilize an odd number of servers in a single site (Vaughn Winslow); Fixed scenario to count number of servers in A/P scenario where the only copy deployed in DR is a lagged copy (Andrew Haines)</t>
  </si>
  <si>
    <t>Normal Runtime</t>
  </si>
  <si>
    <t>Single Failure</t>
  </si>
  <si>
    <t>Double Failure</t>
  </si>
  <si>
    <t>Worst Failure Mode</t>
  </si>
  <si>
    <t>Site Failure</t>
  </si>
  <si>
    <t>Megacycle Calculations</t>
  </si>
  <si>
    <t>Worst Failure</t>
  </si>
  <si>
    <t>Active Databases</t>
  </si>
  <si>
    <t>CPU Utilization / DAG</t>
  </si>
  <si>
    <t>7.0 - Added CPU utilization figures for various failure modes (Brian Day); Fixed #NAME error in Database Copy Configuration table for standalone configurations</t>
  </si>
  <si>
    <t>ReplayLagManager Enabled</t>
  </si>
  <si>
    <t>Number of HA DB Copy Instances in SDC (Actual)</t>
  </si>
  <si>
    <t>Number of Lagged DB Copy Instances in SDC (Actual)</t>
  </si>
  <si>
    <t>Number of HA DB Copy Instances in PDC (Actual)</t>
  </si>
  <si>
    <t>Number of Lagged DB Copy Instances in PDC (Actual)</t>
  </si>
  <si>
    <t>Replay Lag Manager Enabled</t>
  </si>
  <si>
    <t>7.1 - Added support for ReplayLagManager; Updated Distribution Tab error reporting and Lastrow calculation; updated DC1 memory sizing to take into account site failure mode for A/A (Single DAG) designs involving a 2 copy architectures (Brendon Baker)</t>
  </si>
  <si>
    <t>7.2 - Added modeling for Retsore-DatabaseAvailabilityGroup to Distribution tab;</t>
  </si>
  <si>
    <t>6.8 - Changed default for Deleted Item Retention in export file to be the highest profile value for Deleted Item Retention; Changed default for Circular Logging in export file to be true when using Exchange Native Protection;Added ability to save scripts and CSV files to OneDrive for Business; Fixed bug in Diskpart with escaping quotes in some languages (Martijn van Geffen); Fixed bug with display of lag copies in single site design (André Glöckner)</t>
  </si>
  <si>
    <t>7.3 - Minions' feedback incorporated</t>
  </si>
  <si>
    <t xml:space="preserve">Important: This tool should only be used for server and storage modeling purposes.  The example configuration provided within this calculator is just that, an example, and as such, each input option needs to be evaluated as to how it will affect your design.  Please consult with your server and storage vendors regarding the appropriate  design for your environment and follow recommended design testing processes (which include the use of JetStress, deploying a pilot, collecting and analyzing performance data, and adjusting the design accordingly). </t>
  </si>
  <si>
    <t>12000 GB</t>
  </si>
  <si>
    <t>10000 GB</t>
  </si>
  <si>
    <t>7.4 - Fixed CreateDAG.ps1 script error for DAG creation without admin IP; fixed copy count validation formula for site resilient scenarios (Satyajit Baruah); 10TB and 12TB disks</t>
  </si>
  <si>
    <t>[bool]$CLE = [System.Convert]::ToBoolean($MBDB.CircularLoggingEnabled)</t>
  </si>
  <si>
    <t>This is a sample script to create mailbox databases.</t>
  </si>
  <si>
    <t>This script Imports the CSV file and reads the list of databases and</t>
  </si>
  <si>
    <t>servers.  Each line in the CSV file provides the information required to</t>
  </si>
  <si>
    <t>create and configure the database.</t>
  </si>
  <si>
    <t>The script must be run from within the Exchange Shell.</t>
  </si>
  <si>
    <t>The header line of the CSV file contains the following:</t>
  </si>
  <si>
    <t xml:space="preserve">		Name,Server,DBFilePath,LogFolderPath,DeletedItemRetention,GC,OAB,</t>
  </si>
  <si>
    <t xml:space="preserve">		RetainDeletedItemsUntilBackup,IndexEnabled,CircularLoggingEnabled,</t>
  </si>
  <si>
    <t xml:space="preserve">		ProhibitSendReceiveQuota,ProhibitSendQuota,IssueWarningQuota,AllowFileRestore,</t>
  </si>
  <si>
    <t xml:space="preserve">		BackgroundDatabaseMaintenance,IsExcludedFromProvisioning,IsSuspendedFromProvisioning,</t>
  </si>
  <si>
    <t xml:space="preserve">		MailboxRetention,MountAtStartup,EventHistoryRetentionPeriod,AutoDagExcludeFromMonitoring,</t>
  </si>
  <si>
    <t xml:space="preserve">		CalendarLoggingQuota,IsExcludedFromInitialProvisioning,DataMoveReplicationConstraint,</t>
  </si>
  <si>
    <t xml:space="preserve">		RecoverableItemsQuota,RecoverableItemsWarningQuota,DataMoveReplicationConstraint</t>
  </si>
  <si>
    <t>The specified Mailbox server must not already host a copy of the specified</t>
  </si>
  <si>
    <t>mailbox database.</t>
  </si>
  <si>
    <t>The database path used by the specified database must also be available on</t>
  </si>
  <si>
    <t>the specified Mailbox server, because all copies of a database must use the</t>
  </si>
  <si>
    <t>same path.</t>
  </si>
  <si>
    <t>Please note: The setting for Circular Logging is ignored in this script.  The</t>
  </si>
  <si>
    <t xml:space="preserve">	MailboxDatabases.csv file is also used by the script to create database copies.</t>
  </si>
  <si>
    <t xml:space="preserve">	The Circular Logging choice is enforced in that script.</t>
  </si>
  <si>
    <t>first passive copy of the database), circular logging must not be enabled</t>
  </si>
  <si>
    <t>for the specified mailbox database. If circular logging is enabled, you must</t>
  </si>
  <si>
    <t>first disable it.</t>
  </si>
  <si>
    <t>After the mailbox database copy has been added, circular logging can be</t>
  </si>
  <si>
    <t>enabled.</t>
  </si>
  <si>
    <t>After enabling circular logging for a replicated mailbox database,</t>
  </si>
  <si>
    <t>continuous replication circular logging (CRCL) is used instead of JET</t>
  </si>
  <si>
    <t>circular logging.</t>
  </si>
  <si>
    <t>If you're adding the third or subsequent copy of a database, CRCL can remain</t>
  </si>
  <si>
    <t>Name = "DB1"</t>
  </si>
  <si>
    <t>The name of the database to create</t>
  </si>
  <si>
    <t>Server = "Server 1"</t>
  </si>
  <si>
    <t>The host name of the computer on which the database should be</t>
  </si>
  <si>
    <t>created</t>
  </si>
  <si>
    <t>DBFilePath = """E:\EXCHANGEDATABASES\DB1\DB1.db\DB1.edb"""</t>
  </si>
  <si>
    <t>The path and file name of the database</t>
  </si>
  <si>
    <t>LogFolderPath = """E:\EXCHANGEDATABASES\DB1\DB1.log\"""</t>
  </si>
  <si>
    <t>The path of the log directory</t>
  </si>
  <si>
    <t>GC or GC2 = Use the FQDN in the CSV file of your preferred GC.</t>
  </si>
  <si>
    <t>Calendar logging quota is 20% of dumpster quota.</t>
  </si>
  <si>
    <t>Specifies the name of the CSV file.  The parameter is optional and  defaults</t>
  </si>
  <si>
    <t>to "MailboxDatabases.csv" in the current directory if no parameter is</t>
  </si>
  <si>
    <t>provided.</t>
  </si>
  <si>
    <t>The path of the DBFile should be enclosed in quotes if it contains</t>
  </si>
  <si>
    <t>embedded spaces.</t>
  </si>
  <si>
    <t>./CreateMBDatabases.ps1 -DBFile "D:\MailboxDatabases.csv"</t>
  </si>
  <si>
    <t>Runs the CreateMBDatabases command and imports the database information from</t>
  </si>
  <si>
    <t>the file MailboxDatabases.csv in the root directory of the D: drive.</t>
  </si>
  <si>
    <t>[Parameter(Position = 0)][String]$DBFile = "MailboxDatabases.csv"</t>
  </si>
  <si>
    <t>Exchange 2013</t>
  </si>
  <si>
    <t>THIS CODE AND INFORMATION ARE PROVIDED "AS IS" WITHOUT WARRANTY OF ANY</t>
  </si>
  <si>
    <t>KIND, EITHER EXPRESSED OR IMPLIED, INCLUDING BUT NOT LIMITED TO THE</t>
  </si>
  <si>
    <t>IMPLIED WARRANTIES OF MERCHANTABILITY AND/OR FITNESS FOR A</t>
  </si>
  <si>
    <t>PARTICULAR PURPOSE.GOSTEELERS.</t>
  </si>
  <si>
    <t>Param($SleepTime)</t>
  </si>
  <si>
    <t># Loop Number of seconds you want to sleep</t>
  </si>
  <si>
    <t>For ($i=0;$i -le $SleepTime;$i++){</t>
  </si>
  <si>
    <t>$timeleft = ($SleepTime - $i);</t>
  </si>
  <si>
    <t># Progress bar showing progress of the sleep</t>
  </si>
  <si>
    <t>Write-Progress "Sleeping" "$Timeleft More Seconds" -PercentComplete (($i/$SleepTime)*100);</t>
  </si>
  <si>
    <t>If ($i -lt $SleepTime){Sleep 1}</t>
  </si>
  <si>
    <t>Param ([String]$DBtoMonitor)</t>
  </si>
  <si>
    <t>$GC = $MBDB.GC</t>
  </si>
  <si>
    <t># Check if it is mounted if not sleep 60 seconds then try again</t>
  </si>
  <si>
    <t>$Trys = 0</t>
  </si>
  <si>
    <t>Write-Host "`nAttempting to mount $DBtoMonitor using the $GC domain controller" -ForegroundColor $ForeGroundNormal</t>
  </si>
  <si>
    <t>try</t>
  </si>
  <si>
    <t>Mount-Database -Identity $DBtoMonitor -DomainController $GC -ErrorAction Stop</t>
  </si>
  <si>
    <t>catch</t>
  </si>
  <si>
    <t>Write-Host "$DBtoMonitor did not mount. Retrying $MaxTrys mount attempts...`n" -ForegroundColor $ForeGroundNormal</t>
  </si>
  <si>
    <t>While (($Trys -lt $MaxTrys) -and ((Get-Mailboxdatabase $DBtoMonitor -status).Mounted -ne $True)){</t>
  </si>
  <si>
    <t>Mount-Database -Identity $DBtoMonitor -DomainController $GC</t>
  </si>
  <si>
    <t>Write-Host "$DBtoMonitor did not mount. Sleeping...`n" -ForegroundColor $ForeGroundError</t>
  </si>
  <si>
    <t>Sleep_Progress 60</t>
  </si>
  <si>
    <t>$Trys++</t>
  </si>
  <si>
    <t>If ($Trys -eq $MaxTrys) {</t>
  </si>
  <si>
    <t>Write-Host "Failed to mount $DBtoMonitor`n" -ForegroundColor $ForeGroundError</t>
  </si>
  <si>
    <t>Write-Host "CreateMDDatabases script version $Version" -ForegroundColor $ForeGroundNormal</t>
  </si>
  <si>
    <t>Write-Host "CreateMDDatabases data version $DataVersion" -ForegroundColor $ForeGroundNormal</t>
  </si>
  <si>
    <t>Write-Host "Attempting to read CSV file: $DBFile" -ForegroundColor $ForegroundNormal</t>
  </si>
  <si>
    <t>[Array]$MBDBs = Import-CSV $DBFile</t>
  </si>
  <si>
    <t>$i=0</t>
  </si>
  <si>
    <t>If ($DataVersion -eq $MBDBs[0].Server) {</t>
  </si>
  <si>
    <t>Foreach ($MBDB in $MBDBs) {</t>
  </si>
  <si>
    <t>If ($Ver -ne $MBDB.Name) {</t>
  </si>
  <si>
    <t>$Name = $MBDB.Name</t>
  </si>
  <si>
    <t>$Server = $MBDB.Server</t>
  </si>
  <si>
    <t>$LogFolderPath = $MBDB.LogFolderPath</t>
  </si>
  <si>
    <t>$PFDatabase = $MBDB.PFDatabase</t>
  </si>
  <si>
    <t>$DeletedItemRetention = $MBDB.DeletedItemRetention</t>
  </si>
  <si>
    <t>$OAB = $MBDB.OAB</t>
  </si>
  <si>
    <t>[bool]$RDIUB = [System.Convert]::ToBoolean($MBDB.RetainDeletedItemsUntilBackup)</t>
  </si>
  <si>
    <t>[bool]$IE = [System.Convert]::ToBoolean($MBDB.IndexEnabled)</t>
  </si>
  <si>
    <t>#				[bool]$CLE = [System.Convert]::ToBoolean($MBDB.CircularLoggingEnabled)</t>
  </si>
  <si>
    <t>$CLQ = $MBDB.CalendarLoggingQuota</t>
  </si>
  <si>
    <t>$PSRQ = $MBDB.ProhibitSendReceiveQuota</t>
  </si>
  <si>
    <t>$PSQ = $MBDB.ProhibitSendQuota</t>
  </si>
  <si>
    <t>$IWQ = $MBDB.IssueWarningQuota</t>
  </si>
  <si>
    <t>[bool]$AFR = [System.Convert]::ToBoolean($MBDB.AllowFileRestore)</t>
  </si>
  <si>
    <t>[bool]$BDM = [System.Convert]::ToBoolean($MBDB.BackgroundDatabaseMaintenance)</t>
  </si>
  <si>
    <t>$DMRC = $MBDB.DataMoveReplicationConstraint</t>
  </si>
  <si>
    <t>[bool]$IEFP = [System.Convert]::ToBoolean($MBDB.IsExcludedFromProvisioning)</t>
  </si>
  <si>
    <t>[bool]$IEFIP = [System.Convert]::ToBoolean($MBDB.IsExcludedFromInitialProvisioning)</t>
  </si>
  <si>
    <t>[bool]$ISFP = [System.Convert]::ToBoolean($MBDB.IsSuspendedFromProvisioning)</t>
  </si>
  <si>
    <t>[bool]$ADEFM = [System.Convert]::ToBoolean($MBDB.AutoDagExcludeFromMonitoring)</t>
  </si>
  <si>
    <t>$MR = $MBDB.MailboxRetention</t>
  </si>
  <si>
    <t>[bool]$MAS = [System.Convert]::ToBoolean($MBDB.MountAtStartup)</t>
  </si>
  <si>
    <t>$EHRP =$MBDB.EventHistoryRetentionPeriod</t>
  </si>
  <si>
    <t>Write-Progress -activity "Creating databases..." -status $Name -percentComplete (($i / $MBDBs.Count)  * 100)</t>
  </si>
  <si>
    <t>Set-ADServerSettings –PreferredServer "$GC"</t>
  </si>
  <si>
    <t>Write-Host "`nAdding a new database $Name...." -ForegroundColor $ForegroundNormal</t>
  </si>
  <si>
    <t>Write-Host "`nNew-MailboxDatabase -Name $Name -Server $Server -EdbFilePath $DBFilePath -LogFolderPath $LogFolderPath -DomainController $GC" -ForegroundColor $ForegroundNormal</t>
  </si>
  <si>
    <t>New-MailboxDatabase -Name $Name -Server $Server -EdbFilePath "$DBFilePath" -LogFolderPath "$LogFolderPath" -DomainController $GC</t>
  </si>
  <si>
    <t>Write-Host "`nSetting database properties of database $Name..." -ForegroundColor $ForegroundNormal</t>
  </si>
  <si>
    <t>Write-Host "`nDone with database $Name..." -ForegroundColor $ForegroundNormal</t>
  </si>
  <si>
    <t>$i++;</t>
  </si>
  <si>
    <t>$i=0;</t>
  </si>
  <si>
    <t>If ($Ver -ne $MBDB.Name)</t>
  </si>
  <si>
    <t>Write-Progress -activity "Mounting databases..." -status $Name -percentComplete (($i / $MBDBs.Count)  * 100)</t>
  </si>
  <si>
    <t>Monitor_Mount -DBToMonitor $Name</t>
  </si>
  <si>
    <t>Write-Host "`nMismatch between script data version ($DataVersion) and $DBFile data version (" $MBDBs[0].Server ")" -ForegroundColor $ForeGroundError</t>
  </si>
  <si>
    <t>Exit 2</t>
  </si>
  <si>
    <t>Write-Host "`nCannot find CSV file: $DBFile.  Exiting on keystroke..." -ForegroundColor $ForeGroundError</t>
  </si>
  <si>
    <t>$Host.UI.RawUI.ReadKey() | Out-Null</t>
  </si>
  <si>
    <t>Exit 3</t>
  </si>
  <si>
    <t xml:space="preserve">		enabled, you must first disable it.</t>
  </si>
  <si>
    <t xml:space="preserve">		Suspended state if the SeedingPostponed parameter is specified.</t>
  </si>
  <si>
    <t xml:space="preserve">	Specifies the name of the CSV file documenting the location of additional database copies.</t>
  </si>
  <si>
    <t xml:space="preserve">	The parameter is optional and  defaults to "MailboxDatabaseCopies.csv" in the</t>
  </si>
  <si>
    <t xml:space="preserve">	current directory if no parameter is provided.</t>
  </si>
  <si>
    <t xml:space="preserve">	Specifies the name of the CSV file documenting the databases and their properties.</t>
  </si>
  <si>
    <t xml:space="preserve">	The parameter is optional and  defaults to "MailboxDatabase.csv" in the current</t>
  </si>
  <si>
    <t xml:space="preserve">	directory if no parameter is provided.</t>
  </si>
  <si>
    <t xml:space="preserve">	The path of the DBFile should be enclosed in quotes if it contains</t>
  </si>
  <si>
    <t>.PARAMETER SeedingPostponed</t>
  </si>
  <si>
    <t>Specifies the task doesn't seed the database copy. You</t>
  </si>
  <si>
    <t>must then explicitly seed the database copy.</t>
  </si>
  <si>
    <t xml:space="preserve">	./CreateMBDatabaseCopies.ps1 -DBCopyFile "D:\MailboxDatabaseCopies.csv" -DBFile "D:\MailboxDatabases.csv"</t>
  </si>
  <si>
    <t xml:space="preserve">	./CreateMBDatabaseCopies.ps1 -DBCopyFile "D:\MailboxDatabaseCopies.csv" -DBFile "D:\MailboxDatabases.csv" -SeedingPostponed</t>
  </si>
  <si>
    <t xml:space="preserve">	from the file MailboxDatabases.csv in the root directory of the D: drive and</t>
  </si>
  <si>
    <t>does not seed the databases.</t>
  </si>
  <si>
    <t xml:space="preserve">	[Parameter(Position = 0)][String]$DBCopyFile = "MailboxDatabaseCopies.csv",</t>
  </si>
  <si>
    <t>[Parameter(Position = 1)][String]$DBFile = "MailboxDatabases.csv",</t>
  </si>
  <si>
    <t>[switch]$SeedingPostponed</t>
  </si>
  <si>
    <t>$DBDataVersion = "2.1"</t>
  </si>
  <si>
    <t>$TimeLeft = ($SleepTime - $i);</t>
  </si>
  <si>
    <t>If ((Test-Path "$DBCopyFile") -and (Test-Path "$DBFile")) {</t>
  </si>
  <si>
    <t xml:space="preserve">	Write-Host "Attempting to read CSV file: $DBFile" -ForegroundColor $ForegroundNormal</t>
  </si>
  <si>
    <t xml:space="preserve">	If ($CopyDataVersion -eq $DBCopies[0].GC2) {</t>
  </si>
  <si>
    <t xml:space="preserve">			    			</t>
  </si>
  <si>
    <t>If ($SeedingPostponed -eq $false) {</t>
  </si>
  <si>
    <t>Write-Host " `nAdd-MailboxDatabaseCopy -Identity $CopyName -MailboxServer $CopyServer -ActivationPreference $CopyPreference -DomainController $PrimaryADSiteCopyDC -ReplayLagTime  $ReplayLagTime  -TruncationLagTime  $TruncationLagTime"</t>
  </si>
  <si>
    <t>Write-Host " `nAdd-MailboxDatabaseCopy -Identity $CopyName -SeedingPostponed -MailboxServer $CopyServer -ActivationPreference $CopyPreference -DomainController $PrimaryADSiteCopyDC -ReplayLagTime  $ReplayLagTime  -TruncationLagTime  $TruncationLagTime"</t>
  </si>
  <si>
    <t>If ($DBDataVersion -eq $MBDBs[0].Server) {</t>
  </si>
  <si>
    <t>Write-Host "`nMismatch between script data version ($DBDataVersion) and $DBFile data version (" $MBDBs[0].Server ")" -ForegroundColor $ForeGroundError</t>
  </si>
  <si>
    <t xml:space="preserve">	If ($SeedingPostponed) {</t>
  </si>
  <si>
    <t xml:space="preserve">		Write-Host "Database copies were created with seeding postponed. Remember to initiate seeding." -ForegroundColor $ForeGroundWarn</t>
  </si>
  <si>
    <t xml:space="preserve">	If ((Test-Path $DBCopyFile) -eq $false) {</t>
  </si>
  <si>
    <t>Write-Host "Cannot find CSV file: $DBCopyFile.  Exiting on keystroke..." -ForegroundColor $ForeGroundError</t>
  </si>
  <si>
    <t xml:space="preserve">	    $Host.UI.RawUI.ReadKey() | Out-Null</t>
  </si>
  <si>
    <t xml:space="preserve">	    Exit 3</t>
  </si>
  <si>
    <t>If ((Test-Path $DBFile) -eq $false) {</t>
  </si>
  <si>
    <t>Write-Host "Cannot find CSV file: $DBFile.  Exiting on keystroke..." -ForegroundColor $ForeGroundError</t>
  </si>
  <si>
    <t>$DBFilePath = $MBDB.EDBFilePath</t>
  </si>
  <si>
    <t>You are deploying more RAM than is recommended. Consider scaling out your deployment. Please see http://aka.ms/e2013cpu for more information.</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</si>
  <si>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t>
    </r>
  </si>
  <si>
    <t>Administrators group on the witness server.</t>
  </si>
  <si>
    <t>directory and share on the witness server as needed.</t>
  </si>
  <si>
    <t xml:space="preserve">				$DAGTest = Get-DatabaseAvailabilityGroup $DAGName -ErrorAction SilentlyContinue</t>
  </si>
  <si>
    <t xml:space="preserve">				$MPAD1 = [int]$DAG.MaximumPreferredActiveDatabasesSite1</t>
  </si>
  <si>
    <t xml:space="preserve">				$MPAD2 = [int]$DAG.MaximumPreferredActiveDatabasesSite2</t>
  </si>
  <si>
    <t xml:space="preserve">				    New-DatabaseAvailabilityGroup -Name $DAGName -WitnessServer $WitnessServer -WitnessDirectory $WitnessDirectory -DatabaseAvailabilityGroupIPAddresses $DAGIPs -DomainController $GC</t>
  </si>
  <si>
    <t xml:space="preserve">						Countdown 5			</t>
  </si>
  <si>
    <t xml:space="preserve">				    Set-DatabaseAvailabilityGroup -Identity $DAGName -DatacenterActivationMode $DAC</t>
  </si>
  <si>
    <t xml:space="preserve">		Write-Host "Mismatch between script schema version ($DataVersion) and $ServerFile schema version (" $DAGInfoFile[0].DagIps ")" -ForegroundColor $ForeGroundError</t>
  </si>
  <si>
    <t xml:space="preserve">				$MountDial = [String]$DAG.AutoDatabaseMountDial</t>
  </si>
  <si>
    <t xml:space="preserve">				If ($DAG.DagMapiNetwork -ne $null) {</t>
  </si>
  <si>
    <t xml:space="preserve">						$DAGIps = "([System.Net.IPAddress])::None"</t>
  </si>
  <si>
    <t xml:space="preserve">				[Bool]$LogIsolation = [System.Convert]::ToBoolean($DAG.LogIsolation)</t>
  </si>
  <si>
    <t xml:space="preserve">		If ($Found) {</t>
  </si>
  <si>
    <t>MaximumPreferredActiveDatabases PDC</t>
  </si>
  <si>
    <t>MaximumPreferredActiveDatabases SDC</t>
  </si>
  <si>
    <t>Max Actives</t>
  </si>
  <si>
    <t>MaximumActiveDatabases PDC</t>
  </si>
  <si>
    <t>MaximumActiveDatabases SDC</t>
  </si>
  <si>
    <t xml:space="preserve">							Set-MailboxServer $_ -MaximumActiveDatabases $MAD1 -AutoDatabaseMountDial $MountDial</t>
  </si>
  <si>
    <t>Set-MailboxServer $_ -MaximumPreferredActiveDatabases $MPAD1</t>
  </si>
  <si>
    <t xml:space="preserve">							Set-MailboxServer $_ -MaximumActiveDatabases $MAD2 -AutoDatabaseMountDial $MountDial</t>
  </si>
  <si>
    <t>Set-MailboxServer $_ -MaximumPreferredActiveDatabases $MPAD2</t>
  </si>
  <si>
    <t xml:space="preserve">							Set-MailboxServer $_ -MaximumActiveDatabases  $MAD1 -AutoDatabaseMountDial $MountDial</t>
  </si>
  <si>
    <t xml:space="preserve">				</t>
  </si>
  <si>
    <t>Write-Host "`nSetting Alternate Witness" -ForegroundColor $ForegroundNormal</t>
  </si>
  <si>
    <t xml:space="preserve">				        Set-DatabaseAvailabilityGroup -Identity $DAGName  -AlternateWitnessServer $AltWitnessServer -AlternateWitnessDirectory $AltWitnessDirectory</t>
  </si>
  <si>
    <t xml:space="preserve">					   	Set-DatabaseAvailabilityGroup -Identity $DAGName  -AutoDagVolumesRootFolderPath $ADVRFP -AutoDagDatabasesRootFolderPath $ADDRFP  -AutoDagDatabaseCopiesPerVolume $ADDCPV</t>
  </si>
  <si>
    <t>7.5 - Fixed run-time error on distribution tab when disabling site resilience (Aaron Sprout); fixed distribution error when disabling cross-site failover (Evan Dodds); added warning about &gt;24 processor cores; Modified CreateMBDatabases.ps1 to ignore CircularLogging choice and modified CreateMBDatabaseCopies.ps1 to enforce CircularLogging choice; Fixed bug in Distribution tab ActiveServer formula when modeling Cross Site Failover behavior; added warning about exceeding 96GB of memory; fixed Export DAG list function to use the correct value for MaximumActiveDatabases; added support for MaximumPreferredActiveDatabases and AutoDatabaseMountDial in Export DAG List function and createdag.ps1; fixed an issue with the distribution tab throwing an error when two files were opened at the same time; modified CreateMBDatabaseCopies.ps1 to remove sleep timer, improving copy creation significantly; fixed createdag.ps1 to not generate an error when there is no alternate witness server provided; fixed distribution algorithm where lagged copies were not always represented correctly; blocked support for A/A (Single DAG) scenario where copy count is not the same in both datacenters</t>
  </si>
  <si>
    <t>Database overide limit per DAG</t>
  </si>
  <si>
    <t>7.6 - Fixed issue where disabling site resilience disabled calculator results</t>
  </si>
  <si>
    <t>Exchange Server Role Requirements Calculator</t>
  </si>
  <si>
    <t>Exchange Server Version</t>
  </si>
  <si>
    <t>Server Version</t>
  </si>
  <si>
    <t>DAG1-DB</t>
  </si>
  <si>
    <t>This script was tested with Exchange Server 2013 and Exchange Server 2016.</t>
  </si>
  <si>
    <t>We recommend that you use an Exchange server in the Active Directory site containing</t>
  </si>
  <si>
    <t>the DAG. This allows the witness server and directory to remain under the control</t>
  </si>
  <si>
    <t>of an Exchange administrator.</t>
  </si>
  <si>
    <t>an Exchange server in the local Active Directory site, and it automatically creates</t>
  </si>
  <si>
    <t>the default directory and share on that server and uses that Client Access server as the</t>
  </si>
  <si>
    <t>DatabaseAvailabilityGroupIpAddresses parameter when creating an Exchange 2013 DAG,</t>
  </si>
  <si>
    <t>the system attempts to lease one or more IP addresses from a DHCP server in your</t>
  </si>
  <si>
    <t>organization to assign to the DAG. If you omit the DatabaseAvailabilityGroupIpAddresses</t>
  </si>
  <si>
    <t>to a value of 0.0.0.0 configures the DAG to use DHCP.</t>
  </si>
  <si>
    <t>database mount points when using the AutoReseed feature of the DAG.</t>
  </si>
  <si>
    <t>for all disks, INCLUDING spare disks, when using the AutoReseed feature of the DAG.</t>
  </si>
  <si>
    <t>#   MICROSOFT 2015</t>
  </si>
  <si>
    <t>and shared on the witness server.</t>
  </si>
  <si>
    <t>parameter when creating an Exchange 2016 DAG, the system creates a DAG without a cluster</t>
  </si>
  <si>
    <t>administrative access point. Setting the DatabaseAvailabilityGroupIpAddresses parameter</t>
  </si>
  <si>
    <t>#	PARTICULAR PURPOSE.</t>
  </si>
  <si>
    <t>$ServerVersion = $DAG.ServerVersion</t>
  </si>
  <si>
    <t>$VolumeFormat = $DAG.VolumeFormat</t>
  </si>
  <si>
    <t xml:space="preserve">						Write-Host "`nAutoReseed not configured because Log Isolation is enabled" -ForegroundColor $ForegroundNormal</t>
  </si>
  <si>
    <t xml:space="preserve">						Write-Host "`nSetting AutoReseed Parameters" -ForegroundColor $ForegroundNormal</t>
  </si>
  <si>
    <t xml:space="preserve">				    Set-DatabaseAvailabilityGroup -Identity $DAGName -NetworkCompression $NC -NetworkEncryption $NE</t>
  </si>
  <si>
    <t xml:space="preserve">				    Set-DatabaseAvailabilityGroup -Identity $DAGName -ReplayLagManagerEnabled $RLME -ReplicationPort $RP</t>
  </si>
  <si>
    <t>If ($ServerVersion -eq "2016") {</t>
  </si>
  <si>
    <t>Write-Host "`nSetting Default File System Format to $VolumeFormat for AutoReseed" -ForegroundColor $ForegroundNormal</t>
  </si>
  <si>
    <t>Set-DatabaseAvailabilityGroup -Identity $DAGName -FileSystem $VolumeFormat</t>
  </si>
  <si>
    <t xml:space="preserve">	of Exchange Server, as well as older configurations with a single</t>
  </si>
  <si>
    <t xml:space="preserve">	New Terminology with Exchange Server 2013 and Exchange Server 2016:</t>
  </si>
  <si>
    <t xml:space="preserve">	PARTICULAR PURPOSE.</t>
  </si>
  <si>
    <t>$Version = "2.8"</t>
  </si>
  <si>
    <t>$DataVersion = "2.2"</t>
  </si>
  <si>
    <t>2.8</t>
  </si>
  <si>
    <t>$Version = "2.3"</t>
  </si>
  <si>
    <t>Write-Host "`nSet-MailboxDatabase -Identity $Name  -DomainController $GC -CircularLoggingEnabled $CLE -DataMoveReplicationConstraint $DMRC" -ForegroundColor $ForegroundNormal</t>
  </si>
  <si>
    <t>Set-MailboxDatabase -Identity $Name  -DomainController $GC -CircularLoggingEnabled $CLE -DataMoveReplicationConstraint $DMRC</t>
  </si>
  <si>
    <t>Write-Host "`nFinished updating circular logging and setting the Data Move Replication Constraint for database $Name..." -ForegroundColor $ForegroundNormal</t>
  </si>
  <si>
    <t>#$DMRC = $MBDB.DataMoveReplicationConstraint</t>
  </si>
  <si>
    <t>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t>
  </si>
  <si>
    <t>#                Set-MailboxDatabase -Identity $Name  -AutoDagExcludeFromMonitoring $ADEFM  CircularLoggingEnabled $CLE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t>
  </si>
  <si>
    <t xml:space="preserve">	Write-Host "CreateDAG schema version: $DataVersion" -ForegroundColor $ForeGroundNormal</t>
  </si>
  <si>
    <t>If ($MPAD1 -ne 0) {</t>
  </si>
  <si>
    <t>If ($MPAD2 -ne 0) {</t>
  </si>
  <si>
    <t xml:space="preserve">				    If ($LogIsolation) {</t>
  </si>
  <si>
    <t>Defaults</t>
  </si>
  <si>
    <t>Activation Preference</t>
  </si>
  <si>
    <t>DAGs</t>
  </si>
  <si>
    <t>DB_Build</t>
  </si>
  <si>
    <t>Mount_Points</t>
  </si>
  <si>
    <t>DBFliePath</t>
  </si>
  <si>
    <t>VolumePath</t>
  </si>
  <si>
    <t>GC1</t>
  </si>
  <si>
    <t>GC2</t>
  </si>
  <si>
    <t>OAB</t>
  </si>
  <si>
    <t>RetainDeletedItemsUntilBackup</t>
  </si>
  <si>
    <t>IndexEnabled</t>
  </si>
  <si>
    <t>ProhibitSendReceive</t>
  </si>
  <si>
    <t>ProhibitSend</t>
  </si>
  <si>
    <t>IssueWarning</t>
  </si>
  <si>
    <t>AllowFileRestore</t>
  </si>
  <si>
    <t>BackgroundDBMaint</t>
  </si>
  <si>
    <t>IsExcludedFromProvisioning</t>
  </si>
  <si>
    <t>IsSuspendedFromProvisioning</t>
  </si>
  <si>
    <t>MailboxRetention</t>
  </si>
  <si>
    <t>MountAtStartup</t>
  </si>
  <si>
    <t>HistoryRetention</t>
  </si>
  <si>
    <t>AutoDagExcludeFromMonitoring</t>
  </si>
  <si>
    <t>CalendarLoggingQuota</t>
  </si>
  <si>
    <t>1GB</t>
  </si>
  <si>
    <t>IsExcludedFromInitialProvisioning</t>
  </si>
  <si>
    <t>RecoverableItemsWarningQuota</t>
  </si>
  <si>
    <t>RecoverableItemsQuota</t>
  </si>
  <si>
    <t>C:\ExchangeDatabases</t>
  </si>
  <si>
    <t>C:\ExchangeVolumes</t>
  </si>
  <si>
    <t>GC1.contoso.com</t>
  </si>
  <si>
    <t>GC2.contoso.com</t>
  </si>
  <si>
    <t>\Default Offline Address Book</t>
  </si>
  <si>
    <t>Unused</t>
  </si>
  <si>
    <t>VolumesRootPath</t>
  </si>
  <si>
    <t>DatabasesRootPath</t>
  </si>
  <si>
    <t>GC</t>
  </si>
  <si>
    <t>WitnessServer</t>
  </si>
  <si>
    <t>witness.contoso.com</t>
  </si>
  <si>
    <t>WitnessDir</t>
  </si>
  <si>
    <t>C:\DAG-FSW\DAG1</t>
  </si>
  <si>
    <t>AltWitnessServer</t>
  </si>
  <si>
    <t>alt-witness.contoso.com</t>
  </si>
  <si>
    <t>AltWitnessDir</t>
  </si>
  <si>
    <t>C:\DAG-FSW\DAG1-Alt</t>
  </si>
  <si>
    <t>DACMode</t>
  </si>
  <si>
    <t>DAGOnly</t>
  </si>
  <si>
    <t>ManualDAGNetworkConfiguration</t>
  </si>
  <si>
    <t>ReplayLagManagerEnabled</t>
  </si>
  <si>
    <t>NetworkEncryption</t>
  </si>
  <si>
    <t>NetworkCompression</t>
  </si>
  <si>
    <t>ReplicationPort</t>
  </si>
  <si>
    <t>DAGName</t>
  </si>
  <si>
    <t>DAGIps</t>
  </si>
  <si>
    <t>DAG Name</t>
  </si>
  <si>
    <t xml:space="preserve">			New-Item $VolPath -type Directory</t>
  </si>
  <si>
    <t xml:space="preserve">			New-Item $DBPath -type Directory</t>
  </si>
  <si>
    <t xml:space="preserve">		New-Item $DBPath\$DB.db -type Directory</t>
  </si>
  <si>
    <t xml:space="preserve">		New-Item $DBPath\$DB.log -type Directory</t>
  </si>
  <si>
    <t>7.7 - Fixed inaccuracies with "Number of Exchange Data Volumes per Server" input (Andi Conrad); fixed calcActDBPDCWorst formula to take into account non-HA deployments (Lou Mandich); fixed comment inaccuracies; fixed multiple dbs / volume calculation to take into account ReplayLagManager (Brian Reid); fixed calcNumDBCopyInSDC formula to take into account proper number of lagged copies; fixed MaxPreferredActive not being displayed for A/A (Single DAG) site resilient solutions</t>
  </si>
  <si>
    <t>Write-Host "`nSet-MailboxDatabase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 -ForegroundColor $ForegroundNormal</t>
  </si>
  <si>
    <t xml:space="preserve">	Write-Host "CreateMBDatabaseCopies data version $CopyDataVersion" -ForegroundColor $ForeGroundNormal</t>
  </si>
  <si>
    <t>Write-Host "CreateMBDatabase data version $DBDataVersion" -ForegroundColor $ForeGroundNormal</t>
  </si>
  <si>
    <t>Multi-Role Deployment</t>
  </si>
  <si>
    <t>ActiveMegacycle Muliplication Factor</t>
  </si>
  <si>
    <t>PassiveMegacycle Multiplication Factor</t>
  </si>
  <si>
    <t>IOPS Reduction Multiplication Factor</t>
  </si>
  <si>
    <t>7.8 - Added support for Exchange 2016; updated diskpart.ps1 and createdag.ps1 to support ReFS features; Moved setting DataMoveReplicationConstraint from creatembdatabases.ps1 to creatembdatabasecopies.ps1; Fixed bug with Fail* buttons on Distribution tab when using some regional settings (Stéphane Olivier); updated dialog code to to make the global catalog value persistent across dialogs and fixed a bug with volume path persistence on the mountpoints dialog;  revised all of the dialogs so they load their defaults from variables rather than use hard coded values; made the DAG name from Input tab flow through as the default on the Export DAG dialog; added conditional formatting for ReplayLagTime and SafetyNetThreshold (Matt Karel)</t>
  </si>
  <si>
    <t xml:space="preserve">	Important Note:</t>
  </si>
  <si>
    <t xml:space="preserve">	VolumeFormat = "ReFS"</t>
  </si>
  <si>
    <t xml:space="preserve">		Determines the formatting of the volumes hosting Exchange data.</t>
  </si>
  <si>
    <t xml:space="preserve">		The value is either ReFS or NTFS.	</t>
  </si>
  <si>
    <t xml:space="preserve">	DbPerVolume = "4"</t>
  </si>
  <si>
    <t xml:space="preserve">	MICROSOFT 2016</t>
  </si>
  <si>
    <t xml:space="preserve">	Remove-Item $Tempfile -WhatIf:$False</t>
  </si>
  <si>
    <t xml:space="preserve">		If ($VolumeFormat -ne "ReFS") {</t>
  </si>
  <si>
    <t xml:space="preserve">			$Format = "Format FS=NTFS UNIT=64k Label=ExVol" + $Disk + " QUICK"</t>
  </si>
  <si>
    <t xml:space="preserve">			$Mount = 'assign mount="' + $Volpath + '"'	</t>
  </si>
  <si>
    <t xml:space="preserve">			Run-Diskpart "select disk $Disk","attributes disk clear readonly","online disk","convert GPT noerr","create partition primary","$Format","$Mount"</t>
  </si>
  <si>
    <t xml:space="preserve">			Run-Diskpart "select disk $Disk","attributes disk clear readonly","online disk","convert GPT noerr","create partition primary"</t>
  </si>
  <si>
    <t xml:space="preserve">			Add-PartitionAccessPath -DiskNumber $disk -PartitionNumber 2 -AccessPath "$Volpath"-Passthru |Set-Partition -NoDefaultDriveLetter:$True</t>
  </si>
  <si>
    <t xml:space="preserve">		    	$Machine = get-wmiobject "Win32_ComputerSystem"</t>
  </si>
  <si>
    <t xml:space="preserve">		    	$MachineName = $Machine.Name</t>
  </si>
  <si>
    <t xml:space="preserve">			If ($Found -eq $False) {</t>
  </si>
  <si>
    <t xml:space="preserve">				Write-Host "Could not find entry for $MachineName in $ServerFile file" -ForegroundColor $ForeGroundError</t>
  </si>
  <si>
    <t xml:space="preserve">			Start-Sleep 10</t>
  </si>
  <si>
    <t>Get-Partition -disknumber $disk -partitionnumber 2|Format-Volume –AllocationUnitSize 65536 –FileSystem REFS –NewFileSystemLabel “ExVol$Disk" –SetIntegrityStreams:$false -confirm:$false</t>
  </si>
  <si>
    <t xml:space="preserve">			#note on line above, code was added to address the bug with add-partitionaccesspath above by setting the partition back to no default drive letter.</t>
  </si>
  <si>
    <t xml:space="preserve">			$VolumeFormat = $Server.VolumeFormat					</t>
  </si>
  <si>
    <t xml:space="preserve">			$ExchangeVols = $Server.VolumesRootFolder</t>
  </si>
  <si>
    <t>1800 GB</t>
  </si>
  <si>
    <t>7.9 - fixed calcNumDBCopyInSDC formula to take into account proper number of lagged copies (Shantanu Porwal); added color format for when memory exceeds max recommended value; fixed issue where ReplayLagManager calculated field did not take into account user disabling JBOD scenario (Darren McComas); Fixed version mismatch and Add-PartitionAccessPath in Diskpart; Fixed issue with export DAG script where it defined Alternate Witness in single datacenter deployments; fixed diskpart to sleep after creating partition but prior to formatting; Fixed RetainDeletedItemsUntilBackup to be set to $false for NDP deployments (Matthew Karel); added 1.8TB disk capacity (Evan Morris)</t>
  </si>
  <si>
    <t>Maximum Recommended CPU Utilization</t>
  </si>
  <si>
    <t>Servers</t>
  </si>
  <si>
    <t>Memory</t>
  </si>
  <si>
    <t>OptimizeChoice</t>
  </si>
  <si>
    <t>Maximun Disks per Server</t>
  </si>
  <si>
    <t>Server Memory</t>
  </si>
  <si>
    <t>Maximum Mailbox Server Memory</t>
  </si>
  <si>
    <t>Optimize for fewest Servers or fewest DAGs?</t>
  </si>
  <si>
    <t>Automatically determine number of DAGs and Servers</t>
  </si>
  <si>
    <t>Maximum DAGs</t>
  </si>
  <si>
    <t>Goal Seek Limits</t>
  </si>
  <si>
    <t>JBOD Validation Check</t>
  </si>
  <si>
    <t>Role Requirements Input Factors - Processor &amp; Memory Configuration</t>
  </si>
  <si>
    <t>8.0/8.1 - Added ability to seek DAG configuration within server constraints (RAM,Disk,CPU); Adjusted Input tab configuration to align with new seek ability; Added named ranges for several result properties (Paul Galjan)</t>
  </si>
  <si>
    <t>8.2 - Added Read from passive support resulting in reduced bandwidth for E2016 HA copies</t>
  </si>
  <si>
    <t>Number of CI Streams Between Datacenters / DAG</t>
  </si>
  <si>
    <t>Use Microsoft Recommended Limit for Maximum Mailbox Server Memory</t>
  </si>
  <si>
    <t>Peak Log &amp; Content Index Throughput Required / Lagged Database Copy</t>
  </si>
  <si>
    <t>Peak Log &amp; Content Index Throughput Required / HA Database Copy</t>
  </si>
  <si>
    <t>RPO Log &amp; Content Index Throughput Required / HA Database Copy</t>
  </si>
  <si>
    <t>RPO Log &amp; Content Index Throughput Required / Lagged Database Copy</t>
  </si>
  <si>
    <t>Total Peak Log &amp; Content Index Replication Throughput Required Between Datacenters</t>
  </si>
  <si>
    <t>Total RPO Log &amp; Content Index Replication Throughput Required Between Datacenters</t>
  </si>
  <si>
    <t>8.3 - Broke out difference in throughput requirements for HA copies vs. lagged copies (Andrew Higginbotham)</t>
  </si>
  <si>
    <t>Replay Lag Max Delay (Hours)</t>
  </si>
  <si>
    <t>2.4</t>
  </si>
  <si>
    <t>$Version = "2.4"</t>
  </si>
  <si>
    <t>$CopyDataVersion = "2.2"</t>
  </si>
  <si>
    <t>$ReplayLagMaxDelay = $DBCopy.ReplayLagMaxDelay</t>
  </si>
  <si>
    <t>$ServerVersion = $DBCopy.ServerVersion</t>
  </si>
  <si>
    <t>Add-MailboxDatabaseCopy -Identity $CopyName -MailboxServer $CopyServer -ActivationPreference $CopyPreference -DomainController $PrimaryADSiteCopyDC -ReplayLagTime $ReplayLagTime -TruncationLagTime $TruncationLagTime -ReplayLagMaxDelay $ReplayLagMaxDelay</t>
  </si>
  <si>
    <t>Add-MailboxDatabaseCopy -Identity $CopyName -MailboxServer $CopyServer -ActivationPreference $CopyPreference -DomainController $PrimaryADSiteCopyDC -ReplayLagTime $ReplayLagTime -TruncationLagTime $TruncationLagTime</t>
  </si>
  <si>
    <t>Add-MailboxDatabaseCopy -Identity $CopyName -SeedingPostponed -MailboxServer $CopyServer -ActivationPreference $CopyPreference -DomainController $PrimaryADSiteCopyDC -ReplayLagTime $ReplayLagTime -TruncationLagTime $TruncationLagTime -ReplayLagMaxDelay $ReplayLagMaxDelay</t>
  </si>
  <si>
    <t>Add-MailboxDatabaseCopy -Identity $CopyName -SeedingPostponed -MailboxServer $CopyServer -ActivationPreference $CopyPreference -DomainController $PrimaryADSiteCopyDC -ReplayLagTime $ReplayLagTime -TruncationLagTime $TruncationLagTime</t>
  </si>
  <si>
    <t>Write-Host "`nMismatch between script data version ($CopyDataVersion) and $DBCopyFile data version (" $DBCopies[0].GC2 ")" -ForegroundColor $ForeGroundError</t>
  </si>
  <si>
    <t>$Version = "2.7"</t>
  </si>
  <si>
    <t>$DataVersion = "2.6"</t>
  </si>
  <si>
    <t>$SafetyNetHoldTime = $DAG.SafetyNetHoldTime</t>
  </si>
  <si>
    <t>Write-Host "`nValidating and/or Configuring SafetyNetHoldTime" -ForegroundColor $ForegroundNormal</t>
  </si>
  <si>
    <t>If ((Get-TransportConfig).SafetyNetHoldTime.TotalDays -lt $SafetyNetHoldTime) {</t>
  </si>
  <si>
    <t xml:space="preserve">	                    Set-TransportConfig -SafetyNetHoldTime $SafetyNetHoldTime</t>
  </si>
  <si>
    <t>2.7</t>
  </si>
  <si>
    <t>Write-Host "`nSetting SafetyNetHoldTime to a value of $SafetyNetHoldTime days" -ForegroundColor $ForegroundNormal</t>
  </si>
  <si>
    <t>8.4 - Fixed bug with goal seek results display; Fixed bug with goal seek and single site DAG; Fixed bug with goal seek and SPECInt validation; Fixed bug with goal seek and Active/Passive mode (Andi Conrad);Fixed conditional formatting issue with transaction logs table (Mike Hendrickson); Added support for ReplayLagMaxDelay; Added support for SafetyNetHoldTime in CreateDAG.ps1; Removed data validation from certain unused cells on Input tab (Clifton Leonard)</t>
  </si>
  <si>
    <t>8.5 - Fixed export of CreateMBDatabaseCopies.ps1 to include contents of entire script (Marco Roth); conditional formatting fixes</t>
  </si>
  <si>
    <t>8.6 - Fixed calcNumActiveDBsSF to show correct number of activated copies in A/A design; conditional formatting changes; comment location fixes; fixed "DAG Solution Found" dialog label to indicate data volumes / server (Evan Morris); Fixed issue where MaximumPreferredActiveDatabases was calculated incorrectly for 4 server deployments (Darren McComas)</t>
  </si>
  <si>
    <t>8.7 - Fixed VBA bug with automatic configuration calculation;</t>
  </si>
  <si>
    <t>8.8 - Fixed VBA bug with automatic configuration selection;</t>
  </si>
  <si>
    <t>Step 1 - Please enter in the appropriate information for cells that are blue and choose the appropriate drop-downs for cells that are red concerning your messaging environment's configuration.  For optimal sizing, choose a multiple of the total number of database copies you have selected for the number of mailbox servers.</t>
  </si>
  <si>
    <t>Step 2 - Please enter in the appropriate information for cells that are blue and choose the appropriate drop-downs for cells that are red concerning your mailbox population.  If the server(s) will house multiple mailbox types, then please enter that information in the Tier-2 through Tier-4 User Mailbox tables.  Otherwise, only use the Tier-1 User Mailbox table.</t>
  </si>
  <si>
    <t>Step 3 - Please enter in the appropriate information for cells that are blue and choose the appropriate drop-downs for cells that are red concerning your server(s) backup configuration, failure tolerance thresholds, and whether you will isolate the database from the transaction logs.</t>
  </si>
  <si>
    <t>Step 4 -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</si>
  <si>
    <t>8.9 - Fixed potential VBA bug with ActiveSheets when multiple Excel workbooks are open simultaneously; Fixed automatic configuration bug with single site; max memory for Exchange 2016 increased</t>
  </si>
  <si>
    <t>Maximum Recommended Memory (2016)</t>
  </si>
  <si>
    <t>9.1 - Fixed VBA bug with constant (Stéphane OLIVIER); Adjused max memory to 192GB for E2016</t>
  </si>
  <si>
    <t>Maximum Recommended Memory (2019)</t>
  </si>
  <si>
    <t>Use Metacache Database</t>
  </si>
  <si>
    <t>Maximum Recommended Memory (GB)</t>
  </si>
  <si>
    <t>CPU Subscription Ratio</t>
  </si>
  <si>
    <t>Virtualization CPU Subscription</t>
  </si>
  <si>
    <t>Core Divisor</t>
  </si>
  <si>
    <t>HDDs per SSD</t>
  </si>
  <si>
    <t>MCDB Target Replicate</t>
  </si>
  <si>
    <t>Metacache Database Space Required</t>
  </si>
  <si>
    <t>Metacache Database Devices Required</t>
  </si>
  <si>
    <t>10.0 - Added support for 2019, larger min/max memory and MCDB.  Changed virtualized CPU calculation to include CPU Subsription Ratio and updated calculation guidance.  Updates to correct/adjust volume calculation.</t>
  </si>
  <si>
    <t>MCDB IOPs Reduction</t>
  </si>
  <si>
    <t>14000 GB</t>
  </si>
  <si>
    <t>Client Version</t>
  </si>
  <si>
    <t>Dominant Outlook Version</t>
  </si>
  <si>
    <t>Outlook Version</t>
  </si>
  <si>
    <t>51-60</t>
  </si>
  <si>
    <t>61-70</t>
  </si>
  <si>
    <t>71-80</t>
  </si>
  <si>
    <t>81-90</t>
  </si>
  <si>
    <t>Azure Stack Premium</t>
  </si>
  <si>
    <t>Azure Hosted Premium</t>
  </si>
  <si>
    <t>Outlook Connection Mode</t>
  </si>
  <si>
    <t>Online Mode IO Multiplier</t>
  </si>
  <si>
    <t>Maximum Recommended Memory (2013)</t>
  </si>
  <si>
    <t>Max Memory</t>
  </si>
  <si>
    <t>Max Cores</t>
  </si>
  <si>
    <t>Server Search IOP Offset</t>
  </si>
  <si>
    <t>Azure Data Box</t>
  </si>
  <si>
    <t>Global Server Architecture</t>
  </si>
  <si>
    <t>Min HA Copy Count</t>
  </si>
  <si>
    <t>Multi-Role Enabled</t>
  </si>
  <si>
    <t>Virtual Machine Configuration</t>
  </si>
  <si>
    <t>91-99</t>
  </si>
  <si>
    <t>Exchange Server Count</t>
  </si>
  <si>
    <t>Min JBOD Copy Count</t>
  </si>
  <si>
    <t>Min ENP Copy Count</t>
  </si>
  <si>
    <t>Active 
Server</t>
  </si>
  <si>
    <t>Database 
Name</t>
  </si>
  <si>
    <t>Active/Active</t>
  </si>
  <si>
    <t>When not using virtualization you must specify all available cores are used.</t>
  </si>
  <si>
    <t>You are specifying more cores than are available.</t>
  </si>
  <si>
    <t>You must specify at least one core.</t>
  </si>
  <si>
    <r>
      <t>Instructions</t>
    </r>
    <r>
      <rPr>
        <sz val="10"/>
        <rFont val="Calibri"/>
        <family val="2"/>
      </rPr>
      <t xml:space="preserve">: Fill in the </t>
    </r>
    <r>
      <rPr>
        <sz val="10"/>
        <color indexed="12"/>
        <rFont val="Calibri"/>
        <family val="2"/>
      </rPr>
      <t>blue variables</t>
    </r>
    <r>
      <rPr>
        <sz val="10"/>
        <rFont val="Calibri"/>
        <family val="2"/>
      </rPr>
      <t xml:space="preserve">.  Choose the appropriate drop-downs for the </t>
    </r>
    <r>
      <rPr>
        <sz val="10"/>
        <color indexed="10"/>
        <rFont val="Calibri"/>
        <family val="2"/>
      </rPr>
      <t>red variables</t>
    </r>
    <r>
      <rPr>
        <sz val="10"/>
        <rFont val="Calibri"/>
        <family val="2"/>
      </rPr>
      <t>.  Values highlighted in yellow require additional attention.  The calculator will do the rest.</t>
    </r>
  </si>
  <si>
    <t>1 Volume / DB</t>
  </si>
  <si>
    <t>2 Volumes / Backup Set</t>
  </si>
  <si>
    <t>2 Volumes / DB</t>
  </si>
  <si>
    <t>Multiple DBs / Volume</t>
  </si>
  <si>
    <t>Volume Architecture</t>
  </si>
  <si>
    <t>Incorrect Volume Architecture</t>
  </si>
  <si>
    <t>Insufficient Disk Capacity</t>
  </si>
  <si>
    <t>Insufficient Disk IO Capacity</t>
  </si>
  <si>
    <t>RAID Required</t>
  </si>
  <si>
    <t>Incorrect Storage Architecture</t>
  </si>
  <si>
    <t>String ID</t>
  </si>
  <si>
    <t>String Text</t>
  </si>
  <si>
    <t>Insufficient Database Copies</t>
  </si>
  <si>
    <t>Database and Log Isolation Enabled</t>
  </si>
  <si>
    <t>Entirely on RAID</t>
  </si>
  <si>
    <t>Entirely on JBOD</t>
  </si>
  <si>
    <t>Disk Calculation Choices</t>
  </si>
  <si>
    <t>The calculator determined that the architecture should leverage both JBOD and RAID storage to mitigate single points of failure while minimizing the number of disks within the solution.</t>
  </si>
  <si>
    <t>The calculator determined that the architecture could be deployed in a JBOD configuration to minimize the number of disks within the solution.</t>
  </si>
  <si>
    <t>The calculator determined that the architecture must be deployed in a RAID configuration to mitigate any single points of failure within the design.</t>
  </si>
  <si>
    <t>The design chosen prohibits the use of JBOD; therefore, the storage architecture must use RAID storage.</t>
  </si>
  <si>
    <t>Given the design constraints, deploying the entire architecture on JBOD is not recommended as it results in a single point of failure.</t>
  </si>
  <si>
    <t>Invalid Active/Active DAG</t>
  </si>
  <si>
    <t>Location</t>
  </si>
  <si>
    <t>Primary Datacenter (DB+Log)</t>
  </si>
  <si>
    <t>Secondary Datacenter (DB+Log)</t>
  </si>
  <si>
    <t>Optimize Active/Passive Storage</t>
  </si>
  <si>
    <t>PDC Validation Check</t>
  </si>
  <si>
    <t>Max DAG Server Count</t>
  </si>
  <si>
    <t>Witness is active in primary site.</t>
  </si>
  <si>
    <t>Witness is active in secondary site.</t>
  </si>
  <si>
    <t>Witness is active in third site.</t>
  </si>
  <si>
    <t>Lag Copy Count Validation Check</t>
  </si>
  <si>
    <t>Unable to meet mailbox count with specified number of servers or DAGs.</t>
  </si>
  <si>
    <t>Unable to meet mailbox count with specified number of servers.</t>
  </si>
  <si>
    <t>You are deploying more processor cores than recommended.</t>
  </si>
  <si>
    <t>Storage solution comments:</t>
  </si>
  <si>
    <t>One or more disk types you have selected does not meet requirements for deploying a JBOD solution.</t>
  </si>
  <si>
    <t>One or more disk capacities you have selected does not meet requirements for deploying a JBOD solution.</t>
  </si>
  <si>
    <t>You have specified a solution which mixes JBOD and RAID disks.  This adds complexity to the design and should be avoided.</t>
  </si>
  <si>
    <t>Total Number of non-Lagged Database Copies within DAG (include Active)</t>
  </si>
  <si>
    <t>Total Number of Lagged Database Copies within DAG</t>
  </si>
  <si>
    <t>Number of non-Lagged Database Copies in Secondary Datacenter</t>
  </si>
  <si>
    <t>Number of Lagged Database Copies in Secondary Datacenter</t>
  </si>
  <si>
    <t>Number of Lag DB Copies in DC1 / DAG</t>
  </si>
  <si>
    <t>Number of Lag DB Copies in DC2 / DAG</t>
  </si>
  <si>
    <t>Utilization</t>
  </si>
  <si>
    <t>System Disk</t>
  </si>
  <si>
    <t>Dedicated RAID-1 Disk</t>
  </si>
  <si>
    <t>MIN OS Volume</t>
  </si>
  <si>
    <t>Total Number of DC2 Passive DB Copies in DC1 / DAG</t>
  </si>
  <si>
    <t>Memory Per Core</t>
  </si>
  <si>
    <t>Insufficient server count for number of database copies</t>
  </si>
  <si>
    <t>Note 2: The results shown assume that all servers entered into the calculator will replicate over the same network link.</t>
  </si>
  <si>
    <t>Note 1: Do not make any changes to this sheet.  This sheet is only used for calculation purposes.</t>
  </si>
  <si>
    <t>Note 3: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</si>
  <si>
    <t>Note 4: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</si>
  <si>
    <t>Note 3: The results do not factor in Safety Net redundancy.</t>
  </si>
  <si>
    <t>Note 3: If third-party applications/services will be utilized, please refer to the third-party manufacturer to determine if the application/service will have any I/O or capacity impacts on the solution.</t>
  </si>
  <si>
    <t>Latest version available at https://aka.ms/Exchange2019Calc</t>
  </si>
  <si>
    <r>
      <rPr>
        <b/>
        <sz val="10"/>
        <rFont val="Calibri"/>
        <family val="2"/>
      </rPr>
      <t>Legal Information</t>
    </r>
    <r>
      <rPr>
        <sz val="10"/>
        <rFont val="Calibri"/>
        <family val="2"/>
      </rPr>
      <t>: This is provided "AS IS" with no warranties, and confers no rights. Use of this application is subject to the Terms of Use - https://technet.microsoft.com/en-us/library/ee221168(EXCHG.80).aspx.</t>
    </r>
  </si>
  <si>
    <t>Note 2: The calculated IOPS/mbx value has an accuracy of +/- 20% accuracy and does not account for third-party products that may generate additional Database Reads and Writes.</t>
  </si>
  <si>
    <t>Note 1: This calculator distributes the different tiers of mailboxes across each database (in other words, mailbox tiers do not have dedicated databases).</t>
  </si>
  <si>
    <t>DedLaggedCopyServer</t>
  </si>
  <si>
    <t>Max Mailbox Size</t>
  </si>
  <si>
    <t>Too Many DB Copies per Volume Check</t>
  </si>
  <si>
    <t>Mailbox Count Check</t>
  </si>
  <si>
    <t>Database count must be the same in both datacenters.</t>
  </si>
  <si>
    <t>Database copy count exceeds available volume storage.</t>
  </si>
  <si>
    <t>Failure domain values are invalid.</t>
  </si>
  <si>
    <t>When using RAID, caching should be enabled on the controller using a 25:75 read:write cache ratio.</t>
  </si>
  <si>
    <t>Note: The below table identifies databases by a unique number.  Databases copies are distributed across the servers, and thus, these numbers hold no significance and are used solely as an example to show a server's volume layout.</t>
  </si>
  <si>
    <t>Step 5 - Please enter in the appropriate information for cells that are blue and choose the appropriate drop-downs for cells that are red concerning your mailbox server processor and memory configurations.  For more information on how to determine your SPECint2017 Rate Value, please see http://www.spec.org.</t>
  </si>
  <si>
    <t>SSD Devices Required</t>
  </si>
  <si>
    <t>10.1 - Fixed memory sizing warning to conform to 2019 standards and device count calculation</t>
  </si>
  <si>
    <t>10.2 - Fixed MB count check w/mutliple DAGs.  Fixed Export Primary DB list bug. Fixed standalone server DB environment count. Fixed RAID device count calculation.</t>
  </si>
  <si>
    <t>Restore Volume Impact</t>
  </si>
  <si>
    <t>DB Volume Size Check</t>
  </si>
  <si>
    <t>Volume Calculation</t>
  </si>
  <si>
    <t>Database and Log Volume Design / Server</t>
  </si>
  <si>
    <t>Not enough disk space available for requested number of copies</t>
  </si>
  <si>
    <t>*Indicates whether design is limited by capacity or throughput</t>
  </si>
  <si>
    <t>Invalid Active/Passive DAG</t>
  </si>
  <si>
    <t>Database Size</t>
  </si>
  <si>
    <t>Database Size w/Overhead</t>
  </si>
  <si>
    <t>Total Log Disk Space Required w/Overhead</t>
  </si>
  <si>
    <t>Log Space Required per Database w/Overhead</t>
  </si>
  <si>
    <t>Number of Log Volumes</t>
  </si>
  <si>
    <t>1</t>
  </si>
  <si>
    <t>MultDBs</t>
  </si>
  <si>
    <t>Number of Backup Sets</t>
  </si>
  <si>
    <t>DB Volume Size</t>
  </si>
  <si>
    <t>Database and Log Configuration</t>
  </si>
  <si>
    <t>Vol 1</t>
  </si>
  <si>
    <t>PDC Invalid Virtual Disk</t>
  </si>
  <si>
    <t>SDC Invalid Virtual Disk</t>
  </si>
  <si>
    <t>SDC Validation Check</t>
  </si>
  <si>
    <t>Invalid Virtual Disk</t>
  </si>
  <si>
    <t>Invalid Active/Active configuration.</t>
  </si>
  <si>
    <t>Invalid Active/Passive configuration.</t>
  </si>
  <si>
    <t>Virtual disks cannot be used without virtualized servers.</t>
  </si>
  <si>
    <t>Summarization limited to 100 databases</t>
  </si>
  <si>
    <t>Condition</t>
  </si>
  <si>
    <t>System configuration does not support the required number of mailboxes.</t>
  </si>
  <si>
    <t>Copy count exceeds capacity</t>
  </si>
  <si>
    <t>You are deploying more RAM than is recommended, consider scaling out your deployment.</t>
  </si>
  <si>
    <t xml:space="preserve">Status:  OK   Number of databases per volume is:   </t>
  </si>
  <si>
    <t>Enable 'High Availability Deployment' option to use this tab...</t>
  </si>
  <si>
    <t>Calculating failure domains…</t>
  </si>
  <si>
    <t>Calculating layout…</t>
  </si>
  <si>
    <t>Calculating status…</t>
  </si>
  <si>
    <t>When deploying site resilient servers, a symmetric use of disk sizes and types is recommended.</t>
  </si>
  <si>
    <t>PDC/SDC Disk Type Mismatch</t>
  </si>
  <si>
    <t>PDC/SDC Disk Check</t>
  </si>
  <si>
    <t>PDC/SDC Disk Size Mismatch</t>
  </si>
  <si>
    <t>Log Disk Space Required / DAG Member w/Overhead</t>
  </si>
  <si>
    <t>Content Index Size Impact</t>
  </si>
  <si>
    <t>Content Index IOPs Impact</t>
  </si>
  <si>
    <t>Log Stream IOPs Impact</t>
  </si>
  <si>
    <t>Peak DB IOPS</t>
  </si>
  <si>
    <t>Peak DB IOPS / Server</t>
  </si>
  <si>
    <t>Config Option</t>
  </si>
  <si>
    <t>High Availability</t>
  </si>
  <si>
    <t>Site Resilience</t>
  </si>
  <si>
    <t>Virtualization</t>
  </si>
  <si>
    <t>MCDB</t>
  </si>
  <si>
    <t xml:space="preserve">The number of Primary datacenter servers assigned to failure domains does not equal the number of servers in the Primary datacenter.  The number of Primary datacenter database copies assigned to failure domains does not equal the number of copies in the Primary datacenter.  There are 2 database copies assigned to failure domain 1 of the Primary datacenter but only 0 servers in the failure domain.  </t>
  </si>
  <si>
    <t>Status:  OK   Number of databases per volume is:   2</t>
  </si>
  <si>
    <r>
      <rPr>
        <sz val="11"/>
        <rFont val="Calibri"/>
        <family val="2"/>
      </rPr>
      <t>Step 6 (Optional)</t>
    </r>
    <r>
      <rPr>
        <b/>
        <sz val="11"/>
        <rFont val="Calibri"/>
        <family val="2"/>
      </rPr>
      <t xml:space="preserve"> - </t>
    </r>
    <r>
      <rPr>
        <sz val="10"/>
        <rFont val="Calibri"/>
        <family val="2"/>
      </rPr>
      <t xml:space="preserve">Please enter in the appropriate information for cells that are </t>
    </r>
    <r>
      <rPr>
        <sz val="10"/>
        <color rgb="FF0000FF"/>
        <rFont val="Calibri"/>
        <family val="2"/>
      </rPr>
      <t>blue</t>
    </r>
    <r>
      <rPr>
        <sz val="10"/>
        <rFont val="Calibri"/>
        <family val="2"/>
      </rPr>
      <t xml:space="preserve"> concerning your naming configuration.</t>
    </r>
  </si>
  <si>
    <t>Step 7 (Optional) - If the solution will replicate data between physical locations, then in order to determine the bandwidth requirements, please enter in the appropriate information for cells that are blue concerning your log generation frequency on an hourly basis and network link latency.  Also, choose the appropriate network link type via the red drop-down cell.  This data will help determine the appropriate log bandwidth requirements for the database copies that are being replicated to the secondary datacenter.  When entering the log generation data, enter it for a single server that is representative of the environment.</t>
  </si>
  <si>
    <t>IOPs Bound</t>
  </si>
  <si>
    <t>If ($AltWitnessServer -ne $null) {</t>
  </si>
  <si>
    <t>10.3 - Updated default DataGrowth, CIFactor and RestoreFactor use in formulas to smooth and reduced unused disk space, fix AltWtiness typo in deployment scripts, add 16TB drives</t>
  </si>
  <si>
    <t>16000 GB</t>
  </si>
  <si>
    <t>Maximum recommended transport DB size exceeded, add additional servers.</t>
  </si>
  <si>
    <t>Max Transport DB Size</t>
  </si>
  <si>
    <t>Transport DB Size Check</t>
  </si>
  <si>
    <t>Ratio Variables</t>
  </si>
  <si>
    <t>Tier 1 Capacity Requirement</t>
  </si>
  <si>
    <t>Tier 2 Capacity Requirement</t>
  </si>
  <si>
    <t>Tier 3 Capacity Requirement</t>
  </si>
  <si>
    <t>Tier 4 Capacity Requirement</t>
  </si>
  <si>
    <t>Aggregate Capacity Profile</t>
  </si>
  <si>
    <t>Tier 1 IO Requirement</t>
  </si>
  <si>
    <t>Tier 2 IO Requirement</t>
  </si>
  <si>
    <t>Tier 3 IO Requirement</t>
  </si>
  <si>
    <t>Tier 4 IO Requirement</t>
  </si>
  <si>
    <t>Aggregate IO Profile</t>
  </si>
  <si>
    <t>Tier 1 Capacity Ratio</t>
  </si>
  <si>
    <t>Tier 2 Capacity Ratio</t>
  </si>
  <si>
    <t>Tier 3 Capacity Ratio</t>
  </si>
  <si>
    <t>Tier 4 Capacity Ratio</t>
  </si>
  <si>
    <t>Tier 1 IO Ratio</t>
  </si>
  <si>
    <t>Tier 2 IO Ratio</t>
  </si>
  <si>
    <t>Tier 3 IO Ratio</t>
  </si>
  <si>
    <t>Tier 4 IO Ratio</t>
  </si>
  <si>
    <t>10.4 - Added Max Transport DB Size check, added distinct IO and Capacity deployment ratios</t>
  </si>
  <si>
    <t>Tier 1 MBX's / DB (Capacity)</t>
  </si>
  <si>
    <t>Tier 1 MBX's / DB (IO)</t>
  </si>
  <si>
    <t>Tier 2 MBX's / DB (IO)</t>
  </si>
  <si>
    <t>Tier 3 MBX's / DB (IO)</t>
  </si>
  <si>
    <t>Tier 4 MBX's / DB (IO)</t>
  </si>
  <si>
    <t>DB Mailbox Count by Tier</t>
  </si>
  <si>
    <t>Tier 2 MBX's / DB (Capacity)</t>
  </si>
  <si>
    <t>Tier 3 MBX's / DB (Capacity)</t>
  </si>
  <si>
    <t>Tier 4 MBX's / DB (Capacity)</t>
  </si>
  <si>
    <t>Tier-1 User Mailbox Ratio (Count)</t>
  </si>
  <si>
    <t>Tier-2 User Mailbox Ratio (Count)</t>
  </si>
  <si>
    <t>Tier-3 User Mailbox Ratio (Count)</t>
  </si>
  <si>
    <t>Tier-4 User Mailbox Ratio (Count)</t>
  </si>
  <si>
    <t>10.5 - Removed RAID requirement when Restore Volume is not used.  Fixed Log Size per DB calculation in Role Requirements to display correct value, no computation change, display only issue.  Transport DB size calculation fix for cases where remaining servers after worst case failure was 0 by mistake.  Update CPU requirements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</si>
</sst>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00\ &quot;GB&quot;"/>
    <numFmt numFmtId="184" formatCode="0.0000"/>
    <numFmt numFmtId="185" formatCode="&quot;Server&quot;\ #"/>
  </numFmts>
  <fonts count="125"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FF0000"/>
      <name val="Calibri"/>
      <family val="2"/>
    </font>
    <font>
      <sz val="11"/>
      <color theme="1"/>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sz val="11"/>
      <name val="Calibri"/>
      <family val="2"/>
    </font>
    <font>
      <b/>
      <sz val="11"/>
      <name val="Calibri"/>
      <family val="2"/>
    </font>
    <font>
      <sz val="11"/>
      <name val="Calibri"/>
      <family val="2"/>
    </font>
    <font>
      <sz val="11"/>
      <color theme="1"/>
      <name val="Calibri"/>
      <family val="2"/>
    </font>
    <font>
      <b/>
      <sz val="11"/>
      <color theme="0"/>
      <name val="Calibri"/>
      <family val="2"/>
      <scheme val="minor"/>
    </font>
    <font>
      <sz val="10"/>
      <color theme="0"/>
      <name val="Calibri"/>
      <family val="2"/>
    </font>
    <font>
      <sz val="10"/>
      <color rgb="FF000000"/>
      <name val="Calibri"/>
      <family val="2"/>
    </font>
    <font>
      <sz val="11"/>
      <name val="Calibri"/>
      <family val="2"/>
    </font>
    <font>
      <sz val="11"/>
      <name val="Calibri"/>
      <family val="2"/>
    </font>
    <font>
      <b/>
      <sz val="11"/>
      <name val="Calibri"/>
      <family val="2"/>
    </font>
    <font>
      <sz val="11"/>
      <color theme="1"/>
      <name val="Calibri"/>
      <family val="2"/>
    </font>
    <font>
      <sz val="11"/>
      <name val="Calibri"/>
      <family val="2"/>
    </font>
    <font>
      <sz val="11"/>
      <name val="Calibri"/>
      <family val="2"/>
    </font>
    <font>
      <b/>
      <sz val="11"/>
      <color theme="0"/>
      <name val="Calibri"/>
      <family val="2"/>
      <scheme val="minor"/>
    </font>
    <font>
      <sz val="11"/>
      <color theme="1"/>
      <name val="Calibri"/>
      <family val="2"/>
    </font>
    <font>
      <sz val="14"/>
      <color rgb="FF000000"/>
      <name val="Calibri"/>
      <family val="2"/>
    </font>
    <font>
      <b/>
      <sz val="10"/>
      <name val="Calibri"/>
      <family val="2"/>
    </font>
    <font>
      <sz val="10"/>
      <color indexed="12"/>
      <name val="Calibri"/>
      <family val="2"/>
    </font>
    <font>
      <sz val="10"/>
      <color indexed="10"/>
      <name val="Calibri"/>
      <family val="2"/>
    </font>
    <font>
      <sz val="10"/>
      <color rgb="FF0000FF"/>
      <name val="Calibri"/>
      <family val="2"/>
    </font>
    <font>
      <b/>
      <sz val="11"/>
      <color theme="0"/>
      <name val="Calibri"/>
      <family val="2"/>
    </font>
    <font>
      <b/>
      <sz val="16"/>
      <color indexed="18"/>
      <name val="Calibri"/>
      <family val="2"/>
    </font>
    <font>
      <b/>
      <sz val="12"/>
      <color indexed="10"/>
      <name val="Calibri"/>
      <family val="2"/>
    </font>
    <font>
      <sz val="11"/>
      <name val="Calibri"/>
      <family val="2"/>
    </font>
    <font>
      <b/>
      <sz val="11"/>
      <name val="Calibri"/>
      <family val="2"/>
    </font>
    <font>
      <sz val="11"/>
      <color indexed="18"/>
      <name val="Calibri"/>
      <family val="2"/>
    </font>
    <font>
      <sz val="10"/>
      <name val="Calibri"/>
      <family val="2"/>
    </font>
    <font>
      <u/>
      <sz val="11"/>
      <color theme="10"/>
      <name val="Calibri"/>
      <family val="2"/>
    </font>
    <font>
      <sz val="11"/>
      <color theme="0"/>
      <name val="Calibri"/>
      <family val="2"/>
    </font>
    <font>
      <b/>
      <sz val="11"/>
      <color indexed="18"/>
      <name val="Calibri"/>
      <family val="2"/>
    </font>
    <font>
      <sz val="11"/>
      <color theme="1"/>
      <name val="Calibri"/>
      <family val="2"/>
    </font>
    <font>
      <sz val="11"/>
      <color indexed="10"/>
      <name val="Calibri"/>
      <family val="2"/>
    </font>
    <font>
      <sz val="11"/>
      <color rgb="FFFF0000"/>
      <name val="Calibri"/>
      <family val="2"/>
    </font>
    <font>
      <sz val="11"/>
      <color rgb="FF0000FF"/>
      <name val="Calibri"/>
      <family val="2"/>
    </font>
    <font>
      <sz val="11"/>
      <color indexed="12"/>
      <name val="Calibri"/>
      <family val="2"/>
    </font>
    <font>
      <sz val="11"/>
      <color rgb="FF0000FF"/>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sz val="11"/>
      <color indexed="10"/>
      <name val="Calibri"/>
      <family val="2"/>
      <scheme val="minor"/>
    </font>
    <font>
      <sz val="11"/>
      <color theme="1"/>
      <name val="Calibri"/>
      <family val="2"/>
      <scheme val="minor"/>
    </font>
    <font>
      <b/>
      <sz val="11"/>
      <color indexed="8"/>
      <name val="Calibri"/>
      <family val="2"/>
    </font>
    <font>
      <u/>
      <sz val="8.5"/>
      <color theme="10"/>
      <name val="Calibri"/>
      <family val="2"/>
    </font>
    <font>
      <sz val="10"/>
      <color rgb="FF000000"/>
      <name val="Calibri"/>
      <family val="2"/>
    </font>
    <font>
      <b/>
      <sz val="11"/>
      <color theme="1"/>
      <name val="Calibri"/>
      <family val="2"/>
    </font>
    <font>
      <b/>
      <sz val="11"/>
      <color rgb="FF0000FF"/>
      <name val="Calibri"/>
      <family val="2"/>
    </font>
    <font>
      <strike/>
      <sz val="11"/>
      <color theme="0"/>
      <name val="Calibri"/>
      <family val="2"/>
    </font>
    <font>
      <sz val="8"/>
      <color rgb="FF000000"/>
      <name val="Segoe UI"/>
      <family val="2"/>
    </font>
    <font>
      <sz val="8"/>
      <color rgb="FF000000"/>
      <name val="Tahoma"/>
      <family val="2"/>
    </font>
    <font>
      <sz val="9"/>
      <color rgb="FF000000"/>
      <name val="Tahoma"/>
      <family val="2"/>
    </font>
    <font>
      <b/>
      <sz val="8"/>
      <color rgb="FF000000"/>
      <name val="Tahoma"/>
      <family val="2"/>
    </font>
    <font>
      <sz val="11"/>
      <name val="Calibri"/>
      <family val="2"/>
    </font>
    <font>
      <b/>
      <sz val="11"/>
      <color rgb="FF080808"/>
      <name val="Calibri"/>
      <family val="2"/>
    </font>
    <font>
      <u/>
      <sz val="9"/>
      <color indexed="81"/>
      <name val="Tahoma"/>
      <family val="2"/>
    </font>
    <font>
      <sz val="11"/>
      <color theme="1"/>
      <name val="Calibri"/>
      <family val="2"/>
    </font>
    <font>
      <sz val="11"/>
      <color theme="1"/>
      <name val="Calibri"/>
      <family val="2"/>
    </font>
    <font>
      <sz val="11"/>
      <color indexed="10"/>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solid">
        <fgColor theme="5" tint="0.39997558519241921"/>
        <bgColor indexed="65"/>
      </patternFill>
    </fill>
    <fill>
      <patternFill patternType="solid">
        <fgColor theme="6" tint="0.79998168889431442"/>
        <bgColor indexed="65"/>
      </patternFill>
    </fill>
    <fill>
      <patternFill patternType="lightUp">
        <fgColor theme="0" tint="-0.24994659260841701"/>
        <bgColor indexed="65"/>
      </patternFill>
    </fill>
  </fills>
  <borders count="155">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medium">
        <color indexed="64"/>
      </left>
      <right/>
      <top style="medium">
        <color theme="1"/>
      </top>
      <bottom/>
      <diagonal/>
    </border>
    <border>
      <left style="medium">
        <color theme="1"/>
      </left>
      <right style="medium">
        <color indexed="64"/>
      </right>
      <top/>
      <bottom/>
      <diagonal/>
    </border>
    <border>
      <left style="medium">
        <color theme="1"/>
      </left>
      <right/>
      <top style="thin">
        <color theme="1"/>
      </top>
      <bottom style="thin">
        <color theme="1"/>
      </bottom>
      <diagonal/>
    </border>
    <border>
      <left style="medium">
        <color auto="1"/>
      </left>
      <right style="thin">
        <color theme="1"/>
      </right>
      <top style="thin">
        <color theme="1"/>
      </top>
      <bottom/>
      <diagonal/>
    </border>
    <border>
      <left style="medium">
        <color theme="1"/>
      </left>
      <right/>
      <top style="medium">
        <color theme="1"/>
      </top>
      <bottom/>
      <diagonal/>
    </border>
    <border>
      <left style="thin">
        <color theme="1"/>
      </left>
      <right/>
      <top style="medium">
        <color indexed="64"/>
      </top>
      <bottom/>
      <diagonal/>
    </border>
    <border>
      <left style="thin">
        <color theme="1"/>
      </left>
      <right/>
      <top style="thin">
        <color theme="1"/>
      </top>
      <bottom style="medium">
        <color theme="1"/>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style="medium">
        <color indexed="64"/>
      </right>
      <top/>
      <bottom/>
      <diagonal/>
    </border>
    <border>
      <left style="thin">
        <color theme="1"/>
      </left>
      <right style="medium">
        <color indexed="64"/>
      </right>
      <top style="thin">
        <color theme="1"/>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auto="1"/>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indexed="64"/>
      </right>
      <top style="thin">
        <color theme="0"/>
      </top>
      <bottom style="double">
        <color theme="0"/>
      </bottom>
      <diagonal/>
    </border>
    <border>
      <left/>
      <right style="thin">
        <color theme="0"/>
      </right>
      <top style="thin">
        <color theme="0"/>
      </top>
      <bottom style="double">
        <color theme="0"/>
      </bottom>
      <diagonal/>
    </border>
    <border>
      <left/>
      <right/>
      <top style="thin">
        <color theme="0"/>
      </top>
      <bottom style="double">
        <color theme="0"/>
      </bottom>
      <diagonal/>
    </border>
  </borders>
  <cellStyleXfs count="50">
    <xf numFmtId="0" fontId="0" fillId="0" borderId="0"/>
    <xf numFmtId="0" fontId="38" fillId="4" borderId="0" applyNumberFormat="0" applyBorder="0" applyAlignment="0" applyProtection="0"/>
    <xf numFmtId="0" fontId="41" fillId="5" borderId="0" applyNumberFormat="0" applyBorder="0" applyAlignment="0" applyProtection="0"/>
    <xf numFmtId="0" fontId="41" fillId="5" borderId="0" applyNumberFormat="0" applyBorder="0" applyAlignment="0" applyProtection="0"/>
    <xf numFmtId="0" fontId="38" fillId="6" borderId="0" applyNumberFormat="0" applyBorder="0" applyAlignment="0" applyProtection="0"/>
    <xf numFmtId="0" fontId="38" fillId="7" borderId="0" applyNumberFormat="0" applyBorder="0" applyAlignment="0" applyProtection="0"/>
    <xf numFmtId="0" fontId="41" fillId="8" borderId="0" applyNumberFormat="0" applyBorder="0" applyAlignment="0" applyProtection="0"/>
    <xf numFmtId="0" fontId="41" fillId="9" borderId="0" applyNumberFormat="0" applyBorder="0" applyAlignment="0" applyProtection="0"/>
    <xf numFmtId="0" fontId="38" fillId="10" borderId="0" applyNumberFormat="0" applyBorder="0" applyAlignment="0" applyProtection="0"/>
    <xf numFmtId="0" fontId="38" fillId="10" borderId="0" applyNumberFormat="0" applyBorder="0" applyAlignment="0" applyProtection="0"/>
    <xf numFmtId="0" fontId="41" fillId="8" borderId="0" applyNumberFormat="0" applyBorder="0" applyAlignment="0" applyProtection="0"/>
    <xf numFmtId="0" fontId="41" fillId="11" borderId="0" applyNumberFormat="0" applyBorder="0" applyAlignment="0" applyProtection="0"/>
    <xf numFmtId="0" fontId="38" fillId="9" borderId="0" applyNumberFormat="0" applyBorder="0" applyAlignment="0" applyProtection="0"/>
    <xf numFmtId="0" fontId="38" fillId="4" borderId="0" applyNumberFormat="0" applyBorder="0" applyAlignment="0" applyProtection="0"/>
    <xf numFmtId="0" fontId="41" fillId="5" borderId="0" applyNumberFormat="0" applyBorder="0" applyAlignment="0" applyProtection="0"/>
    <xf numFmtId="0" fontId="41" fillId="9" borderId="0" applyNumberFormat="0" applyBorder="0" applyAlignment="0" applyProtection="0"/>
    <xf numFmtId="0" fontId="38" fillId="9" borderId="0" applyNumberFormat="0" applyBorder="0" applyAlignment="0" applyProtection="0"/>
    <xf numFmtId="0" fontId="38" fillId="12" borderId="0" applyNumberFormat="0" applyBorder="0" applyAlignment="0" applyProtection="0"/>
    <xf numFmtId="0" fontId="41" fillId="13" borderId="0" applyNumberFormat="0" applyBorder="0" applyAlignment="0" applyProtection="0"/>
    <xf numFmtId="0" fontId="41" fillId="5" borderId="0" applyNumberFormat="0" applyBorder="0" applyAlignment="0" applyProtection="0"/>
    <xf numFmtId="0" fontId="38" fillId="6" borderId="0" applyNumberFormat="0" applyBorder="0" applyAlignment="0" applyProtection="0"/>
    <xf numFmtId="0" fontId="38" fillId="14" borderId="0" applyNumberFormat="0" applyBorder="0" applyAlignment="0" applyProtection="0"/>
    <xf numFmtId="0" fontId="41" fillId="8" borderId="0" applyNumberFormat="0" applyBorder="0" applyAlignment="0" applyProtection="0"/>
    <xf numFmtId="0" fontId="41" fillId="15" borderId="0" applyNumberFormat="0" applyBorder="0" applyAlignment="0" applyProtection="0"/>
    <xf numFmtId="0" fontId="38" fillId="15" borderId="0" applyNumberFormat="0" applyBorder="0" applyAlignment="0" applyProtection="0"/>
    <xf numFmtId="0" fontId="33" fillId="16" borderId="0" applyNumberFormat="0" applyBorder="0" applyAlignment="0" applyProtection="0"/>
    <xf numFmtId="0" fontId="38" fillId="3" borderId="1" applyNumberFormat="0" applyAlignment="0" applyProtection="0"/>
    <xf numFmtId="0" fontId="39" fillId="0" borderId="0" applyNumberFormat="0" applyFill="0" applyBorder="0" applyAlignment="0" applyProtection="0"/>
    <xf numFmtId="0" fontId="35" fillId="17" borderId="0" applyNumberFormat="0" applyBorder="0" applyAlignment="0" applyProtection="0"/>
    <xf numFmtId="0" fontId="35" fillId="18" borderId="0" applyNumberFormat="0" applyBorder="0" applyAlignment="0" applyProtection="0"/>
    <xf numFmtId="0" fontId="35" fillId="19" borderId="0" applyNumberFormat="0" applyBorder="0" applyAlignment="0" applyProtection="0"/>
    <xf numFmtId="0" fontId="32" fillId="11" borderId="0" applyNumberFormat="0" applyBorder="0" applyAlignment="0" applyProtection="0"/>
    <xf numFmtId="0" fontId="29" fillId="0" borderId="2" applyNumberFormat="0" applyFill="0" applyAlignment="0" applyProtection="0"/>
    <xf numFmtId="0" fontId="30" fillId="0" borderId="3" applyNumberFormat="0" applyFill="0" applyAlignment="0" applyProtection="0"/>
    <xf numFmtId="0" fontId="31" fillId="0" borderId="4" applyNumberFormat="0" applyFill="0" applyAlignment="0" applyProtection="0"/>
    <xf numFmtId="0" fontId="31" fillId="0" borderId="0" applyNumberFormat="0" applyFill="0" applyBorder="0" applyAlignment="0" applyProtection="0"/>
    <xf numFmtId="0" fontId="36" fillId="2" borderId="5" applyNumberFormat="0" applyAlignment="0" applyProtection="0"/>
    <xf numFmtId="0" fontId="27" fillId="20" borderId="6" applyNumberFormat="0" applyFont="0" applyAlignment="0" applyProtection="0"/>
    <xf numFmtId="0" fontId="34" fillId="20" borderId="0" applyNumberFormat="0" applyBorder="0" applyAlignment="0" applyProtection="0"/>
    <xf numFmtId="0" fontId="27" fillId="8" borderId="7" applyNumberFormat="0" applyFont="0" applyAlignment="0" applyProtection="0"/>
    <xf numFmtId="0" fontId="37" fillId="21" borderId="8" applyNumberFormat="0" applyAlignment="0" applyProtection="0"/>
    <xf numFmtId="0" fontId="28" fillId="0" borderId="0" applyNumberFormat="0" applyFill="0" applyBorder="0" applyAlignment="0" applyProtection="0"/>
    <xf numFmtId="0" fontId="35" fillId="0" borderId="9" applyNumberFormat="0" applyFill="0" applyAlignment="0" applyProtection="0"/>
    <xf numFmtId="0" fontId="40" fillId="0" borderId="0" applyNumberFormat="0" applyFill="0" applyBorder="0" applyAlignment="0" applyProtection="0"/>
    <xf numFmtId="9" fontId="45" fillId="0" borderId="0" applyFont="0" applyFill="0" applyBorder="0" applyAlignment="0" applyProtection="0"/>
    <xf numFmtId="0" fontId="46" fillId="0" borderId="0" applyNumberFormat="0" applyFill="0" applyBorder="0" applyAlignment="0" applyProtection="0">
      <alignment vertical="top"/>
      <protection locked="0"/>
    </xf>
    <xf numFmtId="9" fontId="27" fillId="0" borderId="0" applyFont="0" applyFill="0" applyBorder="0" applyAlignment="0" applyProtection="0"/>
    <xf numFmtId="0" fontId="49" fillId="59" borderId="0" applyNumberFormat="0" applyBorder="0" applyAlignment="0" applyProtection="0"/>
    <xf numFmtId="0" fontId="7" fillId="60" borderId="0" applyNumberFormat="0" applyBorder="0" applyAlignment="0" applyProtection="0"/>
    <xf numFmtId="0" fontId="27" fillId="0" borderId="0"/>
  </cellStyleXfs>
  <cellXfs count="1306">
    <xf numFmtId="0" fontId="0" fillId="0" borderId="0" xfId="0"/>
    <xf numFmtId="0" fontId="22" fillId="0" borderId="12" xfId="0" applyFont="1" applyBorder="1"/>
    <xf numFmtId="0" fontId="44" fillId="0" borderId="0" xfId="0" applyFont="1" applyAlignment="1">
      <alignment vertical="center"/>
    </xf>
    <xf numFmtId="0" fontId="44" fillId="22" borderId="12" xfId="0" applyFont="1" applyFill="1" applyBorder="1" applyAlignment="1">
      <alignment vertical="center"/>
    </xf>
    <xf numFmtId="0" fontId="44" fillId="22" borderId="0" xfId="0" applyFont="1" applyFill="1" applyAlignment="1">
      <alignment vertical="center"/>
    </xf>
    <xf numFmtId="0" fontId="0" fillId="0" borderId="23" xfId="0" applyBorder="1"/>
    <xf numFmtId="0" fontId="0" fillId="0" borderId="15" xfId="0" applyBorder="1"/>
    <xf numFmtId="0" fontId="52" fillId="0" borderId="0" xfId="0" applyFont="1" applyAlignment="1">
      <alignment vertical="center"/>
    </xf>
    <xf numFmtId="0" fontId="44" fillId="22" borderId="13" xfId="0" applyFont="1" applyFill="1" applyBorder="1" applyAlignment="1">
      <alignment vertical="center"/>
    </xf>
    <xf numFmtId="0" fontId="44" fillId="0" borderId="13" xfId="0" applyFont="1" applyBorder="1" applyAlignment="1">
      <alignment vertical="center"/>
    </xf>
    <xf numFmtId="0" fontId="44" fillId="0" borderId="12" xfId="0" applyFont="1" applyBorder="1" applyAlignment="1">
      <alignment vertical="center"/>
    </xf>
    <xf numFmtId="0" fontId="44" fillId="23" borderId="0" xfId="0" applyFont="1" applyFill="1" applyAlignment="1">
      <alignment vertical="center"/>
    </xf>
    <xf numFmtId="0" fontId="44" fillId="23" borderId="12" xfId="0" applyFont="1" applyFill="1" applyBorder="1" applyAlignment="1">
      <alignment vertical="center"/>
    </xf>
    <xf numFmtId="0" fontId="44" fillId="23" borderId="13" xfId="0" applyFont="1" applyFill="1" applyBorder="1" applyAlignment="1">
      <alignment vertical="center"/>
    </xf>
    <xf numFmtId="1" fontId="44" fillId="0" borderId="0" xfId="0" applyNumberFormat="1" applyFont="1" applyAlignment="1">
      <alignment vertical="center"/>
    </xf>
    <xf numFmtId="2" fontId="44" fillId="0" borderId="0" xfId="0" applyNumberFormat="1" applyFont="1" applyAlignment="1">
      <alignment vertical="center"/>
    </xf>
    <xf numFmtId="1" fontId="44" fillId="0" borderId="12" xfId="0" applyNumberFormat="1" applyFont="1" applyBorder="1" applyAlignment="1">
      <alignment vertical="center"/>
    </xf>
    <xf numFmtId="0" fontId="50" fillId="0" borderId="0" xfId="0" applyFont="1" applyAlignment="1">
      <alignment horizontal="center" vertical="center" wrapText="1"/>
    </xf>
    <xf numFmtId="0" fontId="53" fillId="23" borderId="0" xfId="0" applyFont="1" applyFill="1" applyAlignment="1">
      <alignment horizontal="left" vertical="center"/>
    </xf>
    <xf numFmtId="0" fontId="53" fillId="23" borderId="0" xfId="0" applyFont="1" applyFill="1" applyAlignment="1">
      <alignment vertical="center"/>
    </xf>
    <xf numFmtId="0" fontId="53" fillId="22" borderId="0" xfId="0" applyFont="1" applyFill="1" applyAlignment="1">
      <alignment vertical="center"/>
    </xf>
    <xf numFmtId="0" fontId="53" fillId="0" borderId="0" xfId="0" applyFont="1" applyAlignment="1">
      <alignment vertical="center"/>
    </xf>
    <xf numFmtId="0" fontId="53" fillId="22" borderId="12" xfId="0" applyFont="1" applyFill="1" applyBorder="1" applyAlignment="1">
      <alignment vertical="center"/>
    </xf>
    <xf numFmtId="1" fontId="53" fillId="23" borderId="0" xfId="0" applyNumberFormat="1" applyFont="1" applyFill="1" applyAlignment="1">
      <alignment vertical="center"/>
    </xf>
    <xf numFmtId="0" fontId="53" fillId="23" borderId="12" xfId="0" applyFont="1" applyFill="1" applyBorder="1" applyAlignment="1">
      <alignment vertical="center"/>
    </xf>
    <xf numFmtId="0" fontId="53" fillId="0" borderId="13" xfId="0" applyFont="1" applyBorder="1" applyAlignment="1">
      <alignment vertical="center"/>
    </xf>
    <xf numFmtId="0" fontId="53" fillId="0" borderId="12" xfId="0" applyFont="1" applyBorder="1" applyAlignment="1">
      <alignment vertical="center"/>
    </xf>
    <xf numFmtId="0" fontId="53" fillId="0" borderId="10" xfId="0" applyFont="1" applyBorder="1" applyAlignment="1">
      <alignment vertical="center"/>
    </xf>
    <xf numFmtId="1" fontId="53" fillId="22" borderId="0" xfId="0" applyNumberFormat="1" applyFont="1" applyFill="1" applyAlignment="1">
      <alignment vertical="center"/>
    </xf>
    <xf numFmtId="0" fontId="53" fillId="22" borderId="0" xfId="0" applyFont="1" applyFill="1" applyAlignment="1">
      <alignment horizontal="center" vertical="center"/>
    </xf>
    <xf numFmtId="0" fontId="53" fillId="22" borderId="12" xfId="0" applyFont="1" applyFill="1" applyBorder="1" applyAlignment="1">
      <alignment horizontal="center" vertical="center"/>
    </xf>
    <xf numFmtId="0" fontId="53" fillId="23" borderId="12" xfId="0" applyFont="1" applyFill="1" applyBorder="1" applyAlignment="1">
      <alignment horizontal="center" vertical="center"/>
    </xf>
    <xf numFmtId="0" fontId="53" fillId="0" borderId="11" xfId="0" applyFont="1" applyBorder="1" applyAlignment="1">
      <alignment horizontal="right" vertical="center"/>
    </xf>
    <xf numFmtId="0" fontId="53" fillId="23" borderId="0" xfId="0" applyFont="1" applyFill="1" applyAlignment="1">
      <alignment horizontal="center" vertical="center"/>
    </xf>
    <xf numFmtId="1" fontId="53" fillId="0" borderId="0" xfId="0" applyNumberFormat="1" applyFont="1" applyAlignment="1">
      <alignment vertical="center"/>
    </xf>
    <xf numFmtId="0" fontId="53" fillId="0" borderId="0" xfId="0" applyFont="1" applyAlignment="1">
      <alignment horizontal="left" vertical="center"/>
    </xf>
    <xf numFmtId="0" fontId="54" fillId="22" borderId="13" xfId="0" applyFont="1" applyFill="1" applyBorder="1" applyAlignment="1">
      <alignment vertical="center"/>
    </xf>
    <xf numFmtId="0" fontId="53" fillId="0" borderId="0" xfId="0" applyFont="1" applyAlignment="1">
      <alignment horizontal="right" vertical="center"/>
    </xf>
    <xf numFmtId="0" fontId="53" fillId="0" borderId="0" xfId="0" applyFont="1"/>
    <xf numFmtId="0" fontId="53" fillId="23" borderId="23" xfId="0" applyFont="1" applyFill="1" applyBorder="1" applyAlignment="1">
      <alignment vertical="center"/>
    </xf>
    <xf numFmtId="0" fontId="53" fillId="23" borderId="0" xfId="0" applyFont="1" applyFill="1"/>
    <xf numFmtId="165" fontId="53" fillId="23" borderId="23" xfId="0" applyNumberFormat="1" applyFont="1" applyFill="1" applyBorder="1" applyAlignment="1">
      <alignment vertical="center"/>
    </xf>
    <xf numFmtId="165" fontId="53" fillId="0" borderId="0" xfId="0" applyNumberFormat="1" applyFont="1" applyAlignment="1">
      <alignment vertical="center"/>
    </xf>
    <xf numFmtId="0" fontId="54" fillId="22" borderId="0" xfId="0" applyFont="1" applyFill="1" applyAlignment="1">
      <alignment horizontal="left" vertical="center"/>
    </xf>
    <xf numFmtId="0" fontId="54" fillId="22" borderId="12" xfId="0" applyFont="1" applyFill="1" applyBorder="1" applyAlignment="1">
      <alignment horizontal="left" vertical="center"/>
    </xf>
    <xf numFmtId="0" fontId="53" fillId="0" borderId="12" xfId="0" applyFont="1" applyBorder="1"/>
    <xf numFmtId="0" fontId="54" fillId="23" borderId="0" xfId="0" applyFont="1" applyFill="1" applyAlignment="1">
      <alignment horizontal="center" vertical="center"/>
    </xf>
    <xf numFmtId="0" fontId="54" fillId="23" borderId="12" xfId="0" applyFont="1" applyFill="1" applyBorder="1" applyAlignment="1">
      <alignment horizontal="center" vertical="center"/>
    </xf>
    <xf numFmtId="0" fontId="54" fillId="23" borderId="0" xfId="0" applyFont="1" applyFill="1"/>
    <xf numFmtId="10" fontId="53" fillId="23" borderId="0" xfId="0" applyNumberFormat="1" applyFont="1" applyFill="1" applyAlignment="1">
      <alignment vertical="center"/>
    </xf>
    <xf numFmtId="164" fontId="53" fillId="0" borderId="12" xfId="0" applyNumberFormat="1" applyFont="1" applyBorder="1" applyAlignment="1">
      <alignment vertical="center"/>
    </xf>
    <xf numFmtId="164" fontId="53" fillId="0" borderId="0" xfId="0" applyNumberFormat="1" applyFont="1" applyAlignment="1">
      <alignment vertical="center"/>
    </xf>
    <xf numFmtId="164" fontId="53" fillId="0" borderId="0" xfId="0" applyNumberFormat="1" applyFont="1" applyAlignment="1">
      <alignment horizontal="right"/>
    </xf>
    <xf numFmtId="164" fontId="53" fillId="0" borderId="12" xfId="0" applyNumberFormat="1" applyFont="1" applyBorder="1" applyAlignment="1">
      <alignment horizontal="right"/>
    </xf>
    <xf numFmtId="0" fontId="53" fillId="0" borderId="14" xfId="0" applyFont="1" applyBorder="1" applyAlignment="1">
      <alignment horizontal="right" vertical="center"/>
    </xf>
    <xf numFmtId="0" fontId="54" fillId="0" borderId="0" xfId="0" applyFont="1"/>
    <xf numFmtId="2" fontId="53" fillId="23" borderId="0" xfId="0" applyNumberFormat="1" applyFont="1" applyFill="1"/>
    <xf numFmtId="0" fontId="53" fillId="23" borderId="12" xfId="0" applyFont="1" applyFill="1" applyBorder="1"/>
    <xf numFmtId="0" fontId="54" fillId="23" borderId="0" xfId="0" applyFont="1" applyFill="1" applyAlignment="1">
      <alignment vertical="center"/>
    </xf>
    <xf numFmtId="164" fontId="53" fillId="23" borderId="0" xfId="0" applyNumberFormat="1" applyFont="1" applyFill="1" applyAlignment="1">
      <alignment horizontal="right" vertical="center"/>
    </xf>
    <xf numFmtId="165" fontId="53" fillId="0" borderId="0" xfId="0" applyNumberFormat="1" applyFont="1" applyAlignment="1">
      <alignment horizontal="right" vertical="center"/>
    </xf>
    <xf numFmtId="0" fontId="53" fillId="0" borderId="13" xfId="0" applyFont="1" applyBorder="1"/>
    <xf numFmtId="0" fontId="53" fillId="23" borderId="23" xfId="0" applyFont="1" applyFill="1" applyBorder="1"/>
    <xf numFmtId="0" fontId="53" fillId="23" borderId="15" xfId="0" applyFont="1" applyFill="1" applyBorder="1"/>
    <xf numFmtId="0" fontId="21" fillId="0" borderId="0" xfId="0" applyFont="1" applyAlignment="1">
      <alignment horizontal="left" vertical="center"/>
    </xf>
    <xf numFmtId="0" fontId="53" fillId="23" borderId="0" xfId="0" applyFont="1" applyFill="1" applyAlignment="1">
      <alignment horizontal="left" vertical="center" wrapText="1"/>
    </xf>
    <xf numFmtId="0" fontId="53" fillId="23" borderId="12" xfId="0" applyFont="1" applyFill="1" applyBorder="1" applyAlignment="1">
      <alignment horizontal="left" vertical="center" wrapText="1"/>
    </xf>
    <xf numFmtId="0" fontId="53" fillId="0" borderId="11" xfId="0" applyFont="1" applyBorder="1" applyAlignment="1">
      <alignment vertical="center"/>
    </xf>
    <xf numFmtId="0" fontId="53" fillId="23" borderId="13" xfId="0" applyFont="1" applyFill="1" applyBorder="1" applyAlignment="1">
      <alignment vertical="center"/>
    </xf>
    <xf numFmtId="0" fontId="53" fillId="0" borderId="14" xfId="0" applyFont="1" applyBorder="1" applyAlignment="1">
      <alignment vertical="center"/>
    </xf>
    <xf numFmtId="0" fontId="54" fillId="22" borderId="0" xfId="0" applyFont="1" applyFill="1" applyAlignment="1">
      <alignment vertical="center" wrapText="1"/>
    </xf>
    <xf numFmtId="0" fontId="54" fillId="22" borderId="0" xfId="0" applyFont="1" applyFill="1" applyAlignment="1">
      <alignment horizontal="left" vertical="center" wrapText="1"/>
    </xf>
    <xf numFmtId="0" fontId="59" fillId="22" borderId="0" xfId="0" applyFont="1" applyFill="1"/>
    <xf numFmtId="0" fontId="53" fillId="22" borderId="0" xfId="0" applyFont="1" applyFill="1"/>
    <xf numFmtId="0" fontId="53" fillId="0" borderId="10" xfId="0" applyFont="1" applyBorder="1" applyAlignment="1">
      <alignment horizontal="right" vertical="center"/>
    </xf>
    <xf numFmtId="0" fontId="53" fillId="0" borderId="12" xfId="0" applyFont="1" applyBorder="1" applyAlignment="1">
      <alignment horizontal="right" vertical="center"/>
    </xf>
    <xf numFmtId="0" fontId="53" fillId="0" borderId="10" xfId="0" applyFont="1" applyBorder="1" applyAlignment="1">
      <alignment horizontal="right"/>
    </xf>
    <xf numFmtId="0" fontId="53" fillId="0" borderId="10" xfId="0" applyFont="1" applyBorder="1"/>
    <xf numFmtId="0" fontId="53" fillId="0" borderId="0" xfId="0" applyFont="1" applyAlignment="1">
      <alignment horizontal="right"/>
    </xf>
    <xf numFmtId="0" fontId="53" fillId="0" borderId="11" xfId="0" applyFont="1" applyBorder="1"/>
    <xf numFmtId="0" fontId="54" fillId="0" borderId="20" xfId="0" applyFont="1" applyBorder="1"/>
    <xf numFmtId="0" fontId="53" fillId="0" borderId="15" xfId="0" applyFont="1" applyBorder="1"/>
    <xf numFmtId="0" fontId="53" fillId="0" borderId="23" xfId="0" applyFont="1" applyBorder="1"/>
    <xf numFmtId="0" fontId="53" fillId="22" borderId="23" xfId="0" applyFont="1" applyFill="1" applyBorder="1"/>
    <xf numFmtId="0" fontId="54" fillId="0" borderId="20" xfId="0" applyFont="1" applyBorder="1" applyAlignment="1">
      <alignment horizontal="center"/>
    </xf>
    <xf numFmtId="0" fontId="54" fillId="0" borderId="15" xfId="0" applyFont="1" applyBorder="1" applyAlignment="1">
      <alignment horizontal="center"/>
    </xf>
    <xf numFmtId="0" fontId="54" fillId="22" borderId="20" xfId="0" applyFont="1" applyFill="1" applyBorder="1" applyAlignment="1">
      <alignment horizontal="center"/>
    </xf>
    <xf numFmtId="0" fontId="53" fillId="0" borderId="19" xfId="0" applyFont="1" applyBorder="1" applyAlignment="1">
      <alignment horizontal="right"/>
    </xf>
    <xf numFmtId="0" fontId="53" fillId="0" borderId="12" xfId="0" applyFont="1" applyBorder="1" applyAlignment="1">
      <alignment horizontal="right"/>
    </xf>
    <xf numFmtId="0" fontId="53" fillId="0" borderId="15" xfId="0" applyFont="1" applyBorder="1" applyAlignment="1">
      <alignment horizontal="right"/>
    </xf>
    <xf numFmtId="0" fontId="54" fillId="0" borderId="21" xfId="0" applyFont="1" applyBorder="1" applyAlignment="1">
      <alignment horizontal="center"/>
    </xf>
    <xf numFmtId="0" fontId="53" fillId="23" borderId="0" xfId="0" applyFont="1" applyFill="1" applyAlignment="1">
      <alignment horizontal="right"/>
    </xf>
    <xf numFmtId="0" fontId="53" fillId="0" borderId="14" xfId="0" applyFont="1" applyBorder="1" applyAlignment="1">
      <alignment horizontal="right"/>
    </xf>
    <xf numFmtId="0" fontId="53" fillId="0" borderId="14" xfId="0" applyFont="1" applyBorder="1"/>
    <xf numFmtId="0" fontId="53" fillId="22" borderId="18" xfId="0" applyFont="1" applyFill="1" applyBorder="1"/>
    <xf numFmtId="49" fontId="53" fillId="0" borderId="12" xfId="0" applyNumberFormat="1" applyFont="1" applyBorder="1" applyAlignment="1">
      <alignment horizontal="right"/>
    </xf>
    <xf numFmtId="49" fontId="53" fillId="0" borderId="11" xfId="0" applyNumberFormat="1" applyFont="1" applyBorder="1" applyAlignment="1">
      <alignment horizontal="right"/>
    </xf>
    <xf numFmtId="0" fontId="53" fillId="23" borderId="18" xfId="0" applyFont="1" applyFill="1" applyBorder="1" applyAlignment="1">
      <alignment horizontal="right"/>
    </xf>
    <xf numFmtId="0" fontId="53" fillId="23" borderId="18" xfId="0" applyFont="1" applyFill="1" applyBorder="1"/>
    <xf numFmtId="0" fontId="53" fillId="22" borderId="13" xfId="0" applyFont="1" applyFill="1" applyBorder="1" applyAlignment="1">
      <alignment horizontal="right"/>
    </xf>
    <xf numFmtId="0" fontId="53" fillId="22" borderId="10" xfId="0" applyFont="1" applyFill="1" applyBorder="1" applyAlignment="1">
      <alignment horizontal="right"/>
    </xf>
    <xf numFmtId="0" fontId="54" fillId="0" borderId="22" xfId="0" applyFont="1" applyBorder="1" applyAlignment="1">
      <alignment horizontal="center"/>
    </xf>
    <xf numFmtId="0" fontId="53" fillId="0" borderId="23" xfId="0" applyFont="1" applyBorder="1" applyAlignment="1">
      <alignment vertical="center"/>
    </xf>
    <xf numFmtId="0" fontId="53" fillId="0" borderId="24" xfId="0" applyFont="1" applyBorder="1" applyAlignment="1">
      <alignment vertical="center"/>
    </xf>
    <xf numFmtId="0" fontId="53" fillId="0" borderId="19" xfId="0" quotePrefix="1" applyFont="1" applyBorder="1" applyAlignment="1">
      <alignment horizontal="right" vertical="center"/>
    </xf>
    <xf numFmtId="0" fontId="54" fillId="22" borderId="20" xfId="0" applyFont="1" applyFill="1" applyBorder="1"/>
    <xf numFmtId="0" fontId="53" fillId="23" borderId="13" xfId="0" applyFont="1" applyFill="1" applyBorder="1" applyAlignment="1">
      <alignment horizontal="right"/>
    </xf>
    <xf numFmtId="0" fontId="53" fillId="0" borderId="21" xfId="0" applyFont="1" applyBorder="1"/>
    <xf numFmtId="0" fontId="53" fillId="0" borderId="20" xfId="0" applyFont="1" applyBorder="1"/>
    <xf numFmtId="0" fontId="53" fillId="22" borderId="13" xfId="0" applyFont="1" applyFill="1" applyBorder="1"/>
    <xf numFmtId="0" fontId="53" fillId="0" borderId="11" xfId="0" applyFont="1" applyBorder="1" applyAlignment="1">
      <alignment horizontal="right"/>
    </xf>
    <xf numFmtId="0" fontId="53" fillId="23" borderId="13" xfId="0" applyFont="1" applyFill="1" applyBorder="1"/>
    <xf numFmtId="0" fontId="50" fillId="0" borderId="0" xfId="0" applyFont="1" applyAlignment="1">
      <alignment horizontal="center" vertical="center"/>
    </xf>
    <xf numFmtId="1" fontId="44" fillId="0" borderId="12" xfId="0" applyNumberFormat="1" applyFont="1" applyBorder="1" applyAlignment="1">
      <alignment horizontal="right" vertical="center"/>
    </xf>
    <xf numFmtId="0" fontId="44" fillId="0" borderId="0" xfId="0" applyFont="1" applyAlignment="1">
      <alignment horizontal="right" vertical="center"/>
    </xf>
    <xf numFmtId="1" fontId="44" fillId="0" borderId="0" xfId="0" applyNumberFormat="1" applyFont="1" applyAlignment="1">
      <alignment horizontal="right" vertical="center"/>
    </xf>
    <xf numFmtId="2" fontId="44" fillId="0" borderId="0" xfId="0" applyNumberFormat="1" applyFont="1" applyAlignment="1">
      <alignment horizontal="right" vertical="center"/>
    </xf>
    <xf numFmtId="0" fontId="44" fillId="0" borderId="0" xfId="0" applyFont="1" applyAlignment="1">
      <alignment horizontal="center" vertical="center"/>
    </xf>
    <xf numFmtId="167" fontId="44" fillId="0" borderId="0" xfId="0" applyNumberFormat="1" applyFont="1" applyAlignment="1">
      <alignment vertical="center"/>
    </xf>
    <xf numFmtId="0" fontId="50" fillId="26" borderId="0" xfId="0" applyFont="1" applyFill="1" applyAlignment="1">
      <alignment vertical="center"/>
    </xf>
    <xf numFmtId="0" fontId="60" fillId="26" borderId="13" xfId="0" applyFont="1" applyFill="1" applyBorder="1" applyAlignment="1">
      <alignment vertical="center"/>
    </xf>
    <xf numFmtId="0" fontId="50" fillId="26" borderId="12" xfId="0" applyFont="1" applyFill="1" applyBorder="1" applyAlignment="1">
      <alignment vertical="center"/>
    </xf>
    <xf numFmtId="0" fontId="50" fillId="0" borderId="13" xfId="0" applyFont="1" applyBorder="1" applyAlignment="1">
      <alignment horizontal="center" vertical="center"/>
    </xf>
    <xf numFmtId="0" fontId="44" fillId="0" borderId="12" xfId="0" applyFont="1" applyBorder="1" applyAlignment="1">
      <alignment horizontal="center" vertical="center"/>
    </xf>
    <xf numFmtId="169" fontId="44" fillId="0" borderId="12" xfId="0" applyNumberFormat="1" applyFont="1" applyBorder="1" applyAlignment="1">
      <alignment vertical="center"/>
    </xf>
    <xf numFmtId="166" fontId="44" fillId="0" borderId="0" xfId="0" applyNumberFormat="1" applyFont="1" applyAlignment="1">
      <alignment horizontal="right" vertical="center"/>
    </xf>
    <xf numFmtId="167" fontId="44" fillId="0" borderId="0" xfId="0" applyNumberFormat="1" applyFont="1" applyAlignment="1">
      <alignment horizontal="right" vertical="center"/>
    </xf>
    <xf numFmtId="9" fontId="44" fillId="0" borderId="0" xfId="0" applyNumberFormat="1" applyFont="1" applyAlignment="1">
      <alignment vertical="center"/>
    </xf>
    <xf numFmtId="0" fontId="54" fillId="0" borderId="0" xfId="0" applyFont="1" applyAlignment="1">
      <alignment horizontal="center" vertical="center"/>
    </xf>
    <xf numFmtId="1" fontId="53" fillId="0" borderId="0" xfId="0" applyNumberFormat="1" applyFont="1" applyAlignment="1">
      <alignment horizontal="right" vertical="center"/>
    </xf>
    <xf numFmtId="0" fontId="54" fillId="0" borderId="0" xfId="0" applyFont="1" applyAlignment="1">
      <alignment vertical="center"/>
    </xf>
    <xf numFmtId="168" fontId="53" fillId="0" borderId="0" xfId="0" applyNumberFormat="1" applyFont="1" applyAlignment="1">
      <alignment horizontal="center" vertical="center"/>
    </xf>
    <xf numFmtId="0" fontId="53" fillId="22" borderId="0" xfId="0" applyFont="1" applyFill="1" applyAlignment="1">
      <alignment horizontal="right" vertical="center"/>
    </xf>
    <xf numFmtId="0" fontId="53" fillId="0" borderId="15" xfId="0" applyFont="1" applyBorder="1" applyAlignment="1">
      <alignment vertical="center"/>
    </xf>
    <xf numFmtId="0" fontId="54" fillId="0" borderId="12" xfId="0" applyFont="1" applyBorder="1" applyAlignment="1">
      <alignment horizontal="center" vertical="center"/>
    </xf>
    <xf numFmtId="0" fontId="54" fillId="0" borderId="12" xfId="0" applyFont="1" applyBorder="1" applyAlignment="1">
      <alignment vertical="center"/>
    </xf>
    <xf numFmtId="0" fontId="21" fillId="0" borderId="0" xfId="0" applyFont="1" applyAlignment="1">
      <alignment vertical="center"/>
    </xf>
    <xf numFmtId="0" fontId="54" fillId="22" borderId="0" xfId="0" applyFont="1" applyFill="1" applyAlignment="1">
      <alignment vertical="center"/>
    </xf>
    <xf numFmtId="0" fontId="54" fillId="0" borderId="13" xfId="0" applyFont="1" applyBorder="1" applyAlignment="1">
      <alignment horizontal="center" vertical="center"/>
    </xf>
    <xf numFmtId="0" fontId="53" fillId="0" borderId="0" xfId="0" applyFont="1" applyAlignment="1">
      <alignment horizontal="center" vertical="center"/>
    </xf>
    <xf numFmtId="10" fontId="53" fillId="30" borderId="41" xfId="44" applyNumberFormat="1" applyFont="1" applyFill="1" applyBorder="1" applyAlignment="1">
      <alignment vertical="center"/>
    </xf>
    <xf numFmtId="0" fontId="53" fillId="30" borderId="41" xfId="0" applyFont="1" applyFill="1" applyBorder="1" applyAlignment="1">
      <alignment vertical="center"/>
    </xf>
    <xf numFmtId="0" fontId="53" fillId="26" borderId="0" xfId="0" applyFont="1" applyFill="1" applyAlignment="1">
      <alignment vertical="center"/>
    </xf>
    <xf numFmtId="0" fontId="54" fillId="26" borderId="0" xfId="0" applyFont="1" applyFill="1" applyAlignment="1">
      <alignment horizontal="center" vertical="center"/>
    </xf>
    <xf numFmtId="0" fontId="53" fillId="26" borderId="29" xfId="0" applyFont="1" applyFill="1" applyBorder="1" applyAlignment="1">
      <alignment vertical="center"/>
    </xf>
    <xf numFmtId="0" fontId="53" fillId="26" borderId="34" xfId="0" applyFont="1" applyFill="1" applyBorder="1" applyAlignment="1">
      <alignment vertical="center"/>
    </xf>
    <xf numFmtId="0" fontId="53" fillId="31" borderId="43" xfId="0" applyFont="1" applyFill="1" applyBorder="1" applyAlignment="1">
      <alignment horizontal="right" vertical="center"/>
    </xf>
    <xf numFmtId="0" fontId="53" fillId="30" borderId="39" xfId="0" applyFont="1" applyFill="1" applyBorder="1" applyAlignment="1">
      <alignment vertical="center"/>
    </xf>
    <xf numFmtId="10" fontId="53" fillId="30" borderId="39" xfId="44" applyNumberFormat="1" applyFont="1" applyFill="1" applyBorder="1" applyAlignment="1">
      <alignment vertical="center"/>
    </xf>
    <xf numFmtId="166" fontId="53" fillId="30" borderId="31" xfId="0" applyNumberFormat="1" applyFont="1" applyFill="1" applyBorder="1" applyAlignment="1">
      <alignment vertical="center"/>
    </xf>
    <xf numFmtId="164" fontId="53" fillId="30" borderId="39" xfId="0" applyNumberFormat="1" applyFont="1" applyFill="1" applyBorder="1" applyAlignment="1">
      <alignment vertical="center"/>
    </xf>
    <xf numFmtId="10" fontId="53" fillId="31" borderId="34" xfId="44" applyNumberFormat="1" applyFont="1" applyFill="1" applyBorder="1" applyAlignment="1">
      <alignment vertical="center"/>
    </xf>
    <xf numFmtId="166" fontId="53" fillId="31" borderId="40" xfId="0" applyNumberFormat="1" applyFont="1" applyFill="1" applyBorder="1" applyAlignment="1">
      <alignment vertical="center"/>
    </xf>
    <xf numFmtId="164" fontId="53" fillId="31" borderId="34" xfId="0" applyNumberFormat="1" applyFont="1" applyFill="1" applyBorder="1" applyAlignment="1">
      <alignment vertical="center"/>
    </xf>
    <xf numFmtId="0" fontId="53" fillId="31" borderId="39" xfId="0" applyFont="1" applyFill="1" applyBorder="1" applyAlignment="1">
      <alignment vertical="center"/>
    </xf>
    <xf numFmtId="10" fontId="53" fillId="31" borderId="39" xfId="44" applyNumberFormat="1" applyFont="1" applyFill="1" applyBorder="1" applyAlignment="1">
      <alignment vertical="center"/>
    </xf>
    <xf numFmtId="166" fontId="53" fillId="31" borderId="31" xfId="0" applyNumberFormat="1" applyFont="1" applyFill="1" applyBorder="1" applyAlignment="1">
      <alignment vertical="center"/>
    </xf>
    <xf numFmtId="164" fontId="53" fillId="31" borderId="39" xfId="0" applyNumberFormat="1" applyFont="1" applyFill="1" applyBorder="1" applyAlignment="1">
      <alignment vertical="center"/>
    </xf>
    <xf numFmtId="0" fontId="53" fillId="30" borderId="31" xfId="0" applyFont="1" applyFill="1" applyBorder="1" applyAlignment="1">
      <alignment horizontal="right" vertical="center"/>
    </xf>
    <xf numFmtId="164" fontId="53" fillId="31" borderId="30" xfId="0" applyNumberFormat="1" applyFont="1" applyFill="1" applyBorder="1" applyAlignment="1">
      <alignment vertical="center"/>
    </xf>
    <xf numFmtId="164" fontId="53" fillId="30" borderId="47" xfId="0" applyNumberFormat="1" applyFont="1" applyFill="1" applyBorder="1" applyAlignment="1">
      <alignment vertical="center"/>
    </xf>
    <xf numFmtId="164" fontId="53" fillId="31" borderId="47" xfId="0" applyNumberFormat="1" applyFont="1" applyFill="1" applyBorder="1" applyAlignment="1">
      <alignment vertical="center"/>
    </xf>
    <xf numFmtId="0" fontId="56" fillId="0" borderId="0" xfId="0" applyFont="1" applyAlignment="1">
      <alignment horizontal="right" vertical="center"/>
    </xf>
    <xf numFmtId="2" fontId="58" fillId="0" borderId="0" xfId="0" applyNumberFormat="1" applyFont="1" applyAlignment="1">
      <alignment horizontal="right" vertical="center"/>
    </xf>
    <xf numFmtId="9" fontId="55" fillId="0" borderId="0" xfId="0" applyNumberFormat="1" applyFont="1" applyAlignment="1">
      <alignment vertical="center"/>
    </xf>
    <xf numFmtId="9" fontId="55" fillId="0" borderId="0" xfId="0" applyNumberFormat="1" applyFont="1" applyAlignment="1">
      <alignment horizontal="right" vertical="center"/>
    </xf>
    <xf numFmtId="0" fontId="58" fillId="0" borderId="0" xfId="0" applyFont="1" applyAlignment="1">
      <alignment horizontal="right" vertical="center"/>
    </xf>
    <xf numFmtId="9" fontId="53" fillId="0" borderId="0" xfId="0" applyNumberFormat="1" applyFont="1" applyAlignment="1">
      <alignment vertical="center"/>
    </xf>
    <xf numFmtId="0" fontId="54" fillId="23" borderId="0" xfId="0" applyFont="1" applyFill="1" applyAlignment="1">
      <alignment horizontal="left" vertical="center" wrapText="1"/>
    </xf>
    <xf numFmtId="0" fontId="50" fillId="0" borderId="12" xfId="0" applyFont="1" applyBorder="1" applyAlignment="1">
      <alignment horizontal="center" vertical="center"/>
    </xf>
    <xf numFmtId="0" fontId="40" fillId="0" borderId="12" xfId="0" applyFont="1" applyBorder="1" applyAlignment="1">
      <alignment horizontal="right" vertical="center"/>
    </xf>
    <xf numFmtId="0" fontId="60" fillId="0" borderId="12" xfId="0" applyFont="1" applyBorder="1" applyAlignment="1">
      <alignment horizontal="center" vertical="center"/>
    </xf>
    <xf numFmtId="0" fontId="21" fillId="33" borderId="50" xfId="0" applyFont="1" applyFill="1" applyBorder="1" applyAlignment="1">
      <alignment vertical="center"/>
    </xf>
    <xf numFmtId="0" fontId="21" fillId="32" borderId="51" xfId="0" applyFont="1" applyFill="1" applyBorder="1" applyAlignment="1">
      <alignment vertical="center"/>
    </xf>
    <xf numFmtId="171" fontId="44" fillId="0" borderId="0" xfId="0" applyNumberFormat="1" applyFont="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7" fillId="0" borderId="13" xfId="0" applyFont="1" applyBorder="1"/>
    <xf numFmtId="166" fontId="53" fillId="31" borderId="39" xfId="44" applyNumberFormat="1" applyFont="1" applyFill="1" applyBorder="1" applyAlignment="1">
      <alignment vertical="center"/>
    </xf>
    <xf numFmtId="166" fontId="53" fillId="30" borderId="39" xfId="44" applyNumberFormat="1" applyFont="1" applyFill="1" applyBorder="1" applyAlignment="1">
      <alignment vertical="center"/>
    </xf>
    <xf numFmtId="166" fontId="53" fillId="30" borderId="41" xfId="44" applyNumberFormat="1" applyFont="1" applyFill="1" applyBorder="1" applyAlignment="1">
      <alignment vertical="center"/>
    </xf>
    <xf numFmtId="10" fontId="53" fillId="0" borderId="0" xfId="44" applyNumberFormat="1" applyFont="1" applyAlignment="1">
      <alignment vertical="center"/>
    </xf>
    <xf numFmtId="166" fontId="53" fillId="0" borderId="0" xfId="44" applyNumberFormat="1" applyFont="1" applyAlignment="1">
      <alignment vertical="center"/>
    </xf>
    <xf numFmtId="171" fontId="53" fillId="0" borderId="0" xfId="0" applyNumberFormat="1" applyFont="1" applyAlignment="1">
      <alignment horizontal="right" vertical="center"/>
    </xf>
    <xf numFmtId="171" fontId="44" fillId="0" borderId="0" xfId="0" applyNumberFormat="1" applyFont="1" applyAlignment="1">
      <alignment horizontal="right" vertical="center"/>
    </xf>
    <xf numFmtId="0" fontId="60" fillId="35" borderId="56" xfId="0" applyFont="1" applyFill="1" applyBorder="1" applyAlignment="1">
      <alignment horizontal="center" vertical="center"/>
    </xf>
    <xf numFmtId="0" fontId="60" fillId="35" borderId="56" xfId="0" applyFont="1" applyFill="1" applyBorder="1" applyAlignment="1">
      <alignment horizontal="center" vertical="center" wrapText="1"/>
    </xf>
    <xf numFmtId="0" fontId="60" fillId="35" borderId="57" xfId="0" applyFont="1" applyFill="1" applyBorder="1" applyAlignment="1">
      <alignment horizontal="center" vertical="center" wrapText="1"/>
    </xf>
    <xf numFmtId="0" fontId="53" fillId="0" borderId="0" xfId="0" applyFont="1" applyAlignment="1">
      <alignment horizontal="left" vertical="center" wrapText="1"/>
    </xf>
    <xf numFmtId="0" fontId="53" fillId="0" borderId="27" xfId="0" applyFont="1" applyBorder="1" applyAlignment="1">
      <alignment vertical="center"/>
    </xf>
    <xf numFmtId="0" fontId="62" fillId="35" borderId="57" xfId="0" applyFont="1" applyFill="1" applyBorder="1" applyAlignment="1">
      <alignment horizontal="center" vertical="center"/>
    </xf>
    <xf numFmtId="0" fontId="19" fillId="32" borderId="29" xfId="0" applyFont="1" applyFill="1" applyBorder="1" applyAlignment="1">
      <alignment horizontal="right" vertical="center"/>
    </xf>
    <xf numFmtId="0" fontId="62" fillId="35" borderId="56" xfId="0" applyFont="1" applyFill="1" applyBorder="1" applyAlignment="1">
      <alignment horizontal="center" vertical="center"/>
    </xf>
    <xf numFmtId="0" fontId="62" fillId="37" borderId="56" xfId="0" applyFont="1" applyFill="1" applyBorder="1" applyAlignment="1">
      <alignment horizontal="center" vertical="center"/>
    </xf>
    <xf numFmtId="0" fontId="62" fillId="37" borderId="63" xfId="0" applyFont="1" applyFill="1" applyBorder="1" applyAlignment="1">
      <alignment horizontal="center" vertical="center"/>
    </xf>
    <xf numFmtId="0" fontId="62" fillId="37" borderId="64" xfId="0" applyFont="1" applyFill="1" applyBorder="1" applyAlignment="1">
      <alignment horizontal="center" vertical="center"/>
    </xf>
    <xf numFmtId="0" fontId="64" fillId="0" borderId="0" xfId="0" applyFont="1" applyAlignment="1">
      <alignment horizontal="right" vertical="center"/>
    </xf>
    <xf numFmtId="0" fontId="18" fillId="32" borderId="34" xfId="0" applyFont="1" applyFill="1" applyBorder="1" applyAlignment="1">
      <alignment horizontal="right" vertical="center"/>
    </xf>
    <xf numFmtId="1" fontId="18" fillId="32" borderId="29" xfId="0" applyNumberFormat="1" applyFont="1" applyFill="1" applyBorder="1" applyAlignment="1">
      <alignment horizontal="right" vertical="center"/>
    </xf>
    <xf numFmtId="0" fontId="18" fillId="33" borderId="34" xfId="0" applyFont="1" applyFill="1" applyBorder="1" applyAlignment="1">
      <alignment vertical="center"/>
    </xf>
    <xf numFmtId="0" fontId="18" fillId="33" borderId="34" xfId="0" applyFont="1" applyFill="1" applyBorder="1" applyAlignment="1">
      <alignment horizontal="right" vertical="center"/>
    </xf>
    <xf numFmtId="1" fontId="18" fillId="33" borderId="29" xfId="0" applyNumberFormat="1" applyFont="1" applyFill="1" applyBorder="1" applyAlignment="1">
      <alignment horizontal="right" vertical="center"/>
    </xf>
    <xf numFmtId="0" fontId="18" fillId="32" borderId="41" xfId="0" applyFont="1" applyFill="1" applyBorder="1" applyAlignment="1">
      <alignment vertical="center"/>
    </xf>
    <xf numFmtId="1" fontId="18" fillId="32" borderId="41" xfId="0" applyNumberFormat="1" applyFont="1" applyFill="1" applyBorder="1" applyAlignment="1">
      <alignment horizontal="right" vertical="center"/>
    </xf>
    <xf numFmtId="1" fontId="18" fillId="32" borderId="0" xfId="0" applyNumberFormat="1" applyFont="1" applyFill="1" applyAlignment="1">
      <alignment horizontal="right" vertical="center"/>
    </xf>
    <xf numFmtId="10" fontId="53" fillId="0" borderId="10" xfId="0" applyNumberFormat="1" applyFont="1" applyBorder="1"/>
    <xf numFmtId="168" fontId="53" fillId="0" borderId="17" xfId="0" applyNumberFormat="1" applyFont="1" applyBorder="1" applyAlignment="1">
      <alignment horizontal="center" vertical="center"/>
    </xf>
    <xf numFmtId="1" fontId="53" fillId="0" borderId="23" xfId="0" applyNumberFormat="1" applyFont="1" applyBorder="1" applyAlignment="1">
      <alignment horizontal="right" vertical="center"/>
    </xf>
    <xf numFmtId="0" fontId="22" fillId="0" borderId="10" xfId="0" applyFont="1" applyBorder="1"/>
    <xf numFmtId="0" fontId="22" fillId="0" borderId="15" xfId="0" applyFont="1" applyBorder="1"/>
    <xf numFmtId="0" fontId="65" fillId="0" borderId="21" xfId="0" applyFont="1" applyBorder="1" applyAlignment="1">
      <alignment horizontal="center"/>
    </xf>
    <xf numFmtId="0" fontId="65" fillId="0" borderId="20" xfId="0" applyFont="1" applyBorder="1" applyAlignment="1">
      <alignment horizontal="center"/>
    </xf>
    <xf numFmtId="0" fontId="22" fillId="0" borderId="14" xfId="0" applyFont="1" applyBorder="1"/>
    <xf numFmtId="0" fontId="22" fillId="0" borderId="11" xfId="0" applyFont="1" applyBorder="1"/>
    <xf numFmtId="0" fontId="22" fillId="0" borderId="0" xfId="0" quotePrefix="1" applyFont="1" applyAlignment="1">
      <alignment horizontal="right"/>
    </xf>
    <xf numFmtId="49" fontId="22" fillId="0" borderId="0" xfId="0" applyNumberFormat="1" applyFont="1" applyAlignment="1">
      <alignment horizontal="right"/>
    </xf>
    <xf numFmtId="0" fontId="65" fillId="0" borderId="20" xfId="0" applyFont="1" applyBorder="1" applyAlignment="1">
      <alignment horizontal="center" vertical="top"/>
    </xf>
    <xf numFmtId="0" fontId="53" fillId="23" borderId="0" xfId="0" applyFont="1" applyFill="1" applyAlignment="1">
      <alignment horizontal="left"/>
    </xf>
    <xf numFmtId="0" fontId="22" fillId="0" borderId="23" xfId="0" quotePrefix="1" applyFont="1" applyBorder="1" applyAlignment="1">
      <alignment horizontal="right"/>
    </xf>
    <xf numFmtId="0" fontId="52" fillId="0" borderId="13" xfId="0" applyFont="1" applyBorder="1" applyAlignment="1">
      <alignment vertical="center"/>
    </xf>
    <xf numFmtId="167" fontId="52" fillId="0" borderId="37" xfId="0" applyNumberFormat="1" applyFont="1" applyBorder="1" applyAlignment="1">
      <alignment vertical="center"/>
    </xf>
    <xf numFmtId="173" fontId="52" fillId="0" borderId="33" xfId="0" applyNumberFormat="1" applyFont="1" applyBorder="1" applyAlignment="1">
      <alignment vertical="center"/>
    </xf>
    <xf numFmtId="174" fontId="44" fillId="0" borderId="0" xfId="0" applyNumberFormat="1" applyFont="1" applyAlignment="1">
      <alignment horizontal="right" vertical="center"/>
    </xf>
    <xf numFmtId="0" fontId="22" fillId="23" borderId="0" xfId="0" applyFont="1" applyFill="1"/>
    <xf numFmtId="0" fontId="22" fillId="23" borderId="0" xfId="0" quotePrefix="1" applyFont="1" applyFill="1" applyAlignment="1">
      <alignment horizontal="right"/>
    </xf>
    <xf numFmtId="0" fontId="52" fillId="0" borderId="34" xfId="0" applyFont="1" applyBorder="1" applyAlignment="1">
      <alignment vertical="center"/>
    </xf>
    <xf numFmtId="0" fontId="60" fillId="0" borderId="57" xfId="0" applyFont="1" applyBorder="1" applyAlignment="1">
      <alignment horizontal="center" vertical="center"/>
    </xf>
    <xf numFmtId="0" fontId="44" fillId="0" borderId="57" xfId="0" applyFont="1" applyBorder="1" applyAlignment="1">
      <alignment horizontal="center" vertical="center"/>
    </xf>
    <xf numFmtId="0" fontId="61" fillId="0" borderId="0" xfId="0" applyFont="1" applyAlignment="1">
      <alignment vertical="center"/>
    </xf>
    <xf numFmtId="1" fontId="52" fillId="0" borderId="34" xfId="0" applyNumberFormat="1" applyFont="1" applyBorder="1" applyAlignment="1">
      <alignment horizontal="right" vertical="center"/>
    </xf>
    <xf numFmtId="0" fontId="66" fillId="0" borderId="0" xfId="0" applyFont="1" applyAlignment="1">
      <alignment vertical="center"/>
    </xf>
    <xf numFmtId="1" fontId="66" fillId="0" borderId="0" xfId="0" applyNumberFormat="1" applyFont="1" applyAlignment="1">
      <alignment vertical="center"/>
    </xf>
    <xf numFmtId="49" fontId="53" fillId="0" borderId="10" xfId="0" applyNumberFormat="1" applyFont="1" applyBorder="1" applyAlignment="1">
      <alignment horizontal="right"/>
    </xf>
    <xf numFmtId="2" fontId="53" fillId="31" borderId="39" xfId="0" applyNumberFormat="1" applyFont="1" applyFill="1" applyBorder="1" applyAlignment="1">
      <alignment vertical="center"/>
    </xf>
    <xf numFmtId="2" fontId="53" fillId="31" borderId="47" xfId="0" applyNumberFormat="1" applyFont="1" applyFill="1" applyBorder="1" applyAlignment="1">
      <alignment vertical="center"/>
    </xf>
    <xf numFmtId="2" fontId="53" fillId="30" borderId="39" xfId="0" applyNumberFormat="1" applyFont="1" applyFill="1" applyBorder="1" applyAlignment="1">
      <alignment vertical="center"/>
    </xf>
    <xf numFmtId="2" fontId="53" fillId="30" borderId="47" xfId="0" applyNumberFormat="1" applyFont="1" applyFill="1" applyBorder="1" applyAlignment="1">
      <alignment vertical="center"/>
    </xf>
    <xf numFmtId="2" fontId="53" fillId="30" borderId="41" xfId="0" applyNumberFormat="1" applyFont="1" applyFill="1" applyBorder="1" applyAlignment="1">
      <alignment vertical="center"/>
    </xf>
    <xf numFmtId="2" fontId="53" fillId="30" borderId="12" xfId="0" applyNumberFormat="1" applyFont="1" applyFill="1" applyBorder="1" applyAlignment="1">
      <alignment vertical="center"/>
    </xf>
    <xf numFmtId="2" fontId="53" fillId="31" borderId="0" xfId="0" applyNumberFormat="1" applyFont="1" applyFill="1" applyAlignment="1">
      <alignment horizontal="right"/>
    </xf>
    <xf numFmtId="2" fontId="53" fillId="31" borderId="44" xfId="0" applyNumberFormat="1" applyFont="1" applyFill="1" applyBorder="1" applyAlignment="1">
      <alignment horizontal="right"/>
    </xf>
    <xf numFmtId="2" fontId="53" fillId="31" borderId="43" xfId="0" applyNumberFormat="1" applyFont="1" applyFill="1" applyBorder="1" applyAlignment="1">
      <alignment horizontal="right"/>
    </xf>
    <xf numFmtId="2" fontId="53" fillId="31" borderId="46" xfId="0" applyNumberFormat="1" applyFont="1" applyFill="1" applyBorder="1" applyAlignment="1">
      <alignment horizontal="right"/>
    </xf>
    <xf numFmtId="0" fontId="52" fillId="36" borderId="61" xfId="0" applyFont="1" applyFill="1" applyBorder="1" applyAlignment="1">
      <alignment vertical="center"/>
    </xf>
    <xf numFmtId="0" fontId="51" fillId="36" borderId="65" xfId="0" applyFont="1" applyFill="1" applyBorder="1" applyAlignment="1">
      <alignment horizontal="right" vertical="center"/>
    </xf>
    <xf numFmtId="0" fontId="40" fillId="0" borderId="10" xfId="0" applyFont="1" applyBorder="1" applyAlignment="1">
      <alignment horizontal="right" vertical="center"/>
    </xf>
    <xf numFmtId="0" fontId="66" fillId="0" borderId="0" xfId="0" applyFont="1" applyAlignment="1">
      <alignment horizontal="right" vertical="center"/>
    </xf>
    <xf numFmtId="0" fontId="66" fillId="0" borderId="0" xfId="0" quotePrefix="1" applyFont="1" applyAlignment="1">
      <alignment vertical="center"/>
    </xf>
    <xf numFmtId="1" fontId="44" fillId="0" borderId="0" xfId="0" quotePrefix="1" applyNumberFormat="1" applyFont="1" applyAlignment="1">
      <alignment horizontal="right" vertical="center"/>
    </xf>
    <xf numFmtId="167" fontId="44" fillId="0" borderId="0" xfId="0" applyNumberFormat="1" applyFont="1" applyAlignment="1">
      <alignment horizontal="right" vertical="center" wrapText="1"/>
    </xf>
    <xf numFmtId="167" fontId="66" fillId="0" borderId="0" xfId="0" applyNumberFormat="1" applyFont="1" applyAlignment="1">
      <alignment horizontal="right" vertical="center"/>
    </xf>
    <xf numFmtId="2" fontId="53" fillId="0" borderId="0" xfId="0" applyNumberFormat="1" applyFont="1"/>
    <xf numFmtId="10" fontId="53" fillId="0" borderId="12" xfId="0" applyNumberFormat="1" applyFont="1" applyBorder="1"/>
    <xf numFmtId="9" fontId="53" fillId="0" borderId="12" xfId="44" applyFont="1" applyBorder="1"/>
    <xf numFmtId="0" fontId="54" fillId="0" borderId="20" xfId="0" applyFont="1" applyBorder="1" applyAlignment="1">
      <alignment horizontal="left"/>
    </xf>
    <xf numFmtId="0" fontId="62" fillId="35" borderId="63" xfId="0" applyFont="1" applyFill="1" applyBorder="1" applyAlignment="1">
      <alignment horizontal="center" vertical="center" wrapText="1"/>
    </xf>
    <xf numFmtId="0" fontId="62" fillId="35" borderId="56" xfId="0" applyFont="1" applyFill="1" applyBorder="1" applyAlignment="1">
      <alignment horizontal="center" vertical="center" wrapText="1"/>
    </xf>
    <xf numFmtId="0" fontId="62" fillId="35" borderId="57" xfId="0" applyFont="1" applyFill="1" applyBorder="1" applyAlignment="1">
      <alignment horizontal="center" vertical="center" wrapText="1"/>
    </xf>
    <xf numFmtId="0" fontId="54" fillId="0" borderId="57" xfId="0" applyFont="1" applyBorder="1" applyAlignment="1">
      <alignment horizontal="center" vertical="center"/>
    </xf>
    <xf numFmtId="0" fontId="53" fillId="0" borderId="71" xfId="0" applyFont="1" applyBorder="1" applyAlignment="1">
      <alignment horizontal="right" vertical="center"/>
    </xf>
    <xf numFmtId="0" fontId="54" fillId="0" borderId="58" xfId="0" applyFont="1" applyBorder="1" applyAlignment="1">
      <alignment horizontal="center" vertical="center"/>
    </xf>
    <xf numFmtId="0" fontId="53" fillId="30" borderId="32" xfId="0" applyFont="1" applyFill="1" applyBorder="1" applyAlignment="1">
      <alignment vertical="center"/>
    </xf>
    <xf numFmtId="0" fontId="53" fillId="31" borderId="72" xfId="0" applyFont="1" applyFill="1" applyBorder="1" applyAlignment="1">
      <alignment vertical="center"/>
    </xf>
    <xf numFmtId="1" fontId="62" fillId="26" borderId="76" xfId="0" applyNumberFormat="1" applyFont="1" applyFill="1" applyBorder="1" applyAlignment="1">
      <alignment horizontal="center"/>
    </xf>
    <xf numFmtId="0" fontId="62" fillId="26" borderId="54" xfId="0" applyFont="1" applyFill="1" applyBorder="1" applyAlignment="1">
      <alignment horizontal="center"/>
    </xf>
    <xf numFmtId="0" fontId="62" fillId="26" borderId="64" xfId="0" applyFont="1" applyFill="1" applyBorder="1" applyAlignment="1">
      <alignment horizontal="center" vertical="center"/>
    </xf>
    <xf numFmtId="0" fontId="53" fillId="31" borderId="77" xfId="0" applyFont="1" applyFill="1" applyBorder="1" applyAlignment="1">
      <alignment vertical="center"/>
    </xf>
    <xf numFmtId="167" fontId="44" fillId="0" borderId="12" xfId="0" applyNumberFormat="1" applyFont="1" applyBorder="1" applyAlignment="1">
      <alignment horizontal="right" vertical="center"/>
    </xf>
    <xf numFmtId="0" fontId="52" fillId="0" borderId="66" xfId="0" applyFont="1" applyBorder="1" applyAlignment="1">
      <alignment vertical="center"/>
    </xf>
    <xf numFmtId="0" fontId="53" fillId="0" borderId="79" xfId="0" applyFont="1" applyBorder="1"/>
    <xf numFmtId="0" fontId="53" fillId="0" borderId="80" xfId="0" applyFont="1" applyBorder="1" applyAlignment="1">
      <alignment horizontal="right"/>
    </xf>
    <xf numFmtId="0" fontId="53" fillId="23" borderId="81" xfId="0" applyFont="1" applyFill="1" applyBorder="1"/>
    <xf numFmtId="0" fontId="54" fillId="0" borderId="11" xfId="0" applyFont="1" applyBorder="1"/>
    <xf numFmtId="0" fontId="53" fillId="23" borderId="82" xfId="0" applyFont="1" applyFill="1" applyBorder="1"/>
    <xf numFmtId="0" fontId="53" fillId="23" borderId="48" xfId="0" applyFont="1" applyFill="1" applyBorder="1"/>
    <xf numFmtId="0" fontId="53" fillId="23" borderId="83" xfId="0" applyFont="1" applyFill="1" applyBorder="1"/>
    <xf numFmtId="0" fontId="54" fillId="0" borderId="84" xfId="0" applyFont="1" applyBorder="1"/>
    <xf numFmtId="0" fontId="53" fillId="23" borderId="85" xfId="0" applyFont="1" applyFill="1" applyBorder="1"/>
    <xf numFmtId="0" fontId="44" fillId="0" borderId="86" xfId="0" applyFont="1" applyBorder="1" applyAlignment="1">
      <alignment vertical="center"/>
    </xf>
    <xf numFmtId="2" fontId="66" fillId="0" borderId="0" xfId="0" quotePrefix="1" applyNumberFormat="1" applyFont="1" applyAlignment="1">
      <alignment vertical="center"/>
    </xf>
    <xf numFmtId="176" fontId="44" fillId="0" borderId="0" xfId="0" applyNumberFormat="1" applyFont="1" applyAlignment="1">
      <alignment horizontal="right" vertical="center"/>
    </xf>
    <xf numFmtId="0" fontId="53" fillId="0" borderId="19" xfId="0" applyFont="1" applyBorder="1"/>
    <xf numFmtId="1" fontId="66" fillId="0" borderId="0" xfId="0" quotePrefix="1" applyNumberFormat="1" applyFont="1" applyAlignment="1">
      <alignment horizontal="right" vertical="center"/>
    </xf>
    <xf numFmtId="0" fontId="54" fillId="0" borderId="14" xfId="0" applyFont="1" applyBorder="1"/>
    <xf numFmtId="0" fontId="54" fillId="22" borderId="0" xfId="0" applyFont="1" applyFill="1" applyAlignment="1">
      <alignment horizontal="left"/>
    </xf>
    <xf numFmtId="0" fontId="53" fillId="23" borderId="18" xfId="0" applyFont="1" applyFill="1" applyBorder="1" applyAlignment="1">
      <alignment vertical="center"/>
    </xf>
    <xf numFmtId="0" fontId="22" fillId="23" borderId="18" xfId="0" applyFont="1" applyFill="1" applyBorder="1"/>
    <xf numFmtId="0" fontId="53" fillId="0" borderId="18" xfId="0" applyFont="1" applyBorder="1"/>
    <xf numFmtId="1" fontId="52" fillId="0" borderId="12" xfId="0" applyNumberFormat="1" applyFont="1" applyBorder="1" applyAlignment="1">
      <alignment horizontal="right" vertical="center"/>
    </xf>
    <xf numFmtId="1" fontId="52" fillId="0" borderId="12" xfId="0" applyNumberFormat="1" applyFont="1" applyBorder="1" applyAlignment="1">
      <alignment vertical="center"/>
    </xf>
    <xf numFmtId="0" fontId="52" fillId="0" borderId="29" xfId="0" applyFont="1" applyBorder="1" applyAlignment="1">
      <alignment horizontal="left" vertical="center"/>
    </xf>
    <xf numFmtId="0" fontId="52" fillId="0" borderId="12" xfId="0" applyFont="1" applyBorder="1" applyAlignment="1">
      <alignment vertical="center"/>
    </xf>
    <xf numFmtId="0" fontId="62" fillId="0" borderId="56" xfId="0" applyFont="1" applyBorder="1" applyAlignment="1">
      <alignment horizontal="center" vertical="center"/>
    </xf>
    <xf numFmtId="0" fontId="62" fillId="0" borderId="88" xfId="0" applyFont="1" applyBorder="1" applyAlignment="1">
      <alignment horizontal="center" vertical="center"/>
    </xf>
    <xf numFmtId="0" fontId="62" fillId="0" borderId="0" xfId="0" applyFont="1" applyAlignment="1">
      <alignment horizontal="left" vertical="center"/>
    </xf>
    <xf numFmtId="0" fontId="53" fillId="0" borderId="86" xfId="0" applyFont="1" applyBorder="1" applyAlignment="1">
      <alignment vertical="center"/>
    </xf>
    <xf numFmtId="0" fontId="53" fillId="0" borderId="18" xfId="0" applyFont="1" applyBorder="1" applyAlignment="1">
      <alignment vertical="center"/>
    </xf>
    <xf numFmtId="0" fontId="17" fillId="38" borderId="34" xfId="0" applyFont="1" applyFill="1" applyBorder="1" applyAlignment="1">
      <alignment horizontal="right" vertical="center"/>
    </xf>
    <xf numFmtId="0" fontId="58" fillId="36" borderId="90" xfId="0" applyFont="1" applyFill="1" applyBorder="1" applyAlignment="1">
      <alignment horizontal="right" vertical="center"/>
    </xf>
    <xf numFmtId="0" fontId="62" fillId="37" borderId="57" xfId="0" applyFont="1" applyFill="1" applyBorder="1" applyAlignment="1">
      <alignment horizontal="center" vertical="center"/>
    </xf>
    <xf numFmtId="0" fontId="17" fillId="38" borderId="40" xfId="0" applyFont="1" applyFill="1" applyBorder="1" applyAlignment="1">
      <alignment horizontal="right" vertical="center"/>
    </xf>
    <xf numFmtId="0" fontId="17" fillId="38" borderId="29" xfId="0" applyFont="1" applyFill="1" applyBorder="1" applyAlignment="1">
      <alignment horizontal="right" vertical="center"/>
    </xf>
    <xf numFmtId="0" fontId="17" fillId="38" borderId="33" xfId="0" applyFont="1" applyFill="1" applyBorder="1" applyAlignment="1">
      <alignment horizontal="right" vertical="center"/>
    </xf>
    <xf numFmtId="0" fontId="17" fillId="34" borderId="40" xfId="0" applyFont="1" applyFill="1" applyBorder="1" applyAlignment="1">
      <alignment horizontal="right" vertical="center"/>
    </xf>
    <xf numFmtId="0" fontId="17" fillId="34" borderId="29" xfId="0" applyFont="1" applyFill="1" applyBorder="1" applyAlignment="1">
      <alignment horizontal="right" vertical="center"/>
    </xf>
    <xf numFmtId="0" fontId="17" fillId="34" borderId="33" xfId="0" applyFont="1" applyFill="1" applyBorder="1" applyAlignment="1">
      <alignment horizontal="right" vertical="center"/>
    </xf>
    <xf numFmtId="0" fontId="17" fillId="38" borderId="43" xfId="0" applyFont="1" applyFill="1" applyBorder="1" applyAlignment="1">
      <alignment horizontal="right" vertical="center"/>
    </xf>
    <xf numFmtId="0" fontId="17" fillId="38" borderId="0" xfId="0" applyFont="1" applyFill="1" applyAlignment="1">
      <alignment horizontal="right" vertical="center"/>
    </xf>
    <xf numFmtId="0" fontId="17" fillId="38" borderId="44" xfId="0" applyFont="1" applyFill="1" applyBorder="1" applyAlignment="1">
      <alignment horizontal="right" vertical="center"/>
    </xf>
    <xf numFmtId="0" fontId="16" fillId="32" borderId="34" xfId="0" applyFont="1" applyFill="1" applyBorder="1" applyAlignment="1">
      <alignment vertical="center"/>
    </xf>
    <xf numFmtId="1" fontId="53" fillId="0" borderId="0" xfId="0" applyNumberFormat="1" applyFont="1" applyAlignment="1">
      <alignment horizontal="center" vertical="center"/>
    </xf>
    <xf numFmtId="0" fontId="64" fillId="0" borderId="23" xfId="0" applyFont="1" applyBorder="1" applyAlignment="1">
      <alignment horizontal="right" vertical="center"/>
    </xf>
    <xf numFmtId="1" fontId="67" fillId="0" borderId="0" xfId="0" applyNumberFormat="1" applyFont="1" applyAlignment="1">
      <alignment vertical="center"/>
    </xf>
    <xf numFmtId="0" fontId="67" fillId="0" borderId="0" xfId="0" applyFont="1" applyAlignment="1">
      <alignment vertical="center"/>
    </xf>
    <xf numFmtId="0" fontId="62" fillId="27" borderId="0" xfId="0" applyFont="1" applyFill="1" applyAlignment="1">
      <alignment vertical="center"/>
    </xf>
    <xf numFmtId="1" fontId="49" fillId="27" borderId="0" xfId="0" applyNumberFormat="1" applyFont="1" applyFill="1" applyAlignment="1">
      <alignment horizontal="right" vertical="center"/>
    </xf>
    <xf numFmtId="0" fontId="62" fillId="27" borderId="0" xfId="0" applyFont="1" applyFill="1" applyAlignment="1">
      <alignment horizontal="left" vertical="center" wrapText="1"/>
    </xf>
    <xf numFmtId="171" fontId="49" fillId="27" borderId="0" xfId="0" applyNumberFormat="1" applyFont="1" applyFill="1" applyAlignment="1">
      <alignment horizontal="right" vertical="center"/>
    </xf>
    <xf numFmtId="0" fontId="62" fillId="40" borderId="34" xfId="0" applyFont="1" applyFill="1" applyBorder="1" applyAlignment="1">
      <alignment vertical="center"/>
    </xf>
    <xf numFmtId="171" fontId="49" fillId="40" borderId="34" xfId="0" applyNumberFormat="1" applyFont="1" applyFill="1" applyBorder="1" applyAlignment="1">
      <alignment vertical="center"/>
    </xf>
    <xf numFmtId="0" fontId="62" fillId="41" borderId="39" xfId="0" applyFont="1" applyFill="1" applyBorder="1" applyAlignment="1">
      <alignment horizontal="left" vertical="center" wrapText="1"/>
    </xf>
    <xf numFmtId="171" fontId="49" fillId="41" borderId="55" xfId="0" applyNumberFormat="1" applyFont="1" applyFill="1" applyBorder="1" applyAlignment="1">
      <alignment horizontal="right" vertical="center"/>
    </xf>
    <xf numFmtId="9" fontId="44" fillId="0" borderId="0" xfId="44" applyFont="1" applyAlignment="1">
      <alignment horizontal="right" vertical="center"/>
    </xf>
    <xf numFmtId="0" fontId="44" fillId="0" borderId="0" xfId="0" applyFont="1" applyAlignment="1">
      <alignment horizontal="left" vertical="center"/>
    </xf>
    <xf numFmtId="0" fontId="44" fillId="0" borderId="17" xfId="0" applyFont="1" applyBorder="1" applyAlignment="1">
      <alignment vertical="center"/>
    </xf>
    <xf numFmtId="0" fontId="44" fillId="0" borderId="23" xfId="0" applyFont="1" applyBorder="1" applyAlignment="1">
      <alignment vertical="center"/>
    </xf>
    <xf numFmtId="0" fontId="53" fillId="23" borderId="92" xfId="0" applyFont="1" applyFill="1" applyBorder="1"/>
    <xf numFmtId="0" fontId="53" fillId="23" borderId="93" xfId="0" applyFont="1" applyFill="1" applyBorder="1"/>
    <xf numFmtId="167" fontId="52" fillId="0" borderId="0" xfId="0" applyNumberFormat="1" applyFont="1" applyAlignment="1">
      <alignment vertical="center"/>
    </xf>
    <xf numFmtId="173" fontId="52" fillId="0" borderId="0" xfId="0" applyNumberFormat="1" applyFont="1" applyAlignment="1">
      <alignment vertical="center"/>
    </xf>
    <xf numFmtId="0" fontId="17" fillId="0" borderId="0" xfId="0" applyFont="1" applyAlignment="1">
      <alignment horizontal="right" vertical="center"/>
    </xf>
    <xf numFmtId="0" fontId="17" fillId="38" borderId="60" xfId="0" applyFont="1" applyFill="1" applyBorder="1" applyAlignment="1">
      <alignment horizontal="right" vertical="center"/>
    </xf>
    <xf numFmtId="0" fontId="17" fillId="34" borderId="34" xfId="0" applyFont="1" applyFill="1" applyBorder="1" applyAlignment="1">
      <alignment horizontal="right" vertical="center"/>
    </xf>
    <xf numFmtId="0" fontId="17" fillId="38" borderId="41" xfId="0" applyFont="1" applyFill="1" applyBorder="1" applyAlignment="1">
      <alignment horizontal="right" vertical="center"/>
    </xf>
    <xf numFmtId="0" fontId="17" fillId="0" borderId="41" xfId="0" applyFont="1" applyBorder="1" applyAlignment="1">
      <alignment horizontal="right" vertical="center"/>
    </xf>
    <xf numFmtId="1" fontId="18" fillId="39" borderId="12" xfId="0" applyNumberFormat="1" applyFont="1" applyFill="1" applyBorder="1" applyAlignment="1">
      <alignment horizontal="right" vertical="center"/>
    </xf>
    <xf numFmtId="0" fontId="53" fillId="0" borderId="0" xfId="0" quotePrefix="1" applyFont="1" applyAlignment="1">
      <alignment vertical="center"/>
    </xf>
    <xf numFmtId="0" fontId="15" fillId="36" borderId="61" xfId="0" applyFont="1" applyFill="1" applyBorder="1" applyAlignment="1">
      <alignment vertical="center"/>
    </xf>
    <xf numFmtId="0" fontId="15" fillId="0" borderId="0" xfId="0" applyFont="1" applyAlignment="1">
      <alignment vertical="center"/>
    </xf>
    <xf numFmtId="1" fontId="44" fillId="0" borderId="0" xfId="0" applyNumberFormat="1" applyFont="1" applyAlignment="1">
      <alignment horizontal="center" vertical="center"/>
    </xf>
    <xf numFmtId="0" fontId="53" fillId="23" borderId="0" xfId="0" applyFont="1" applyFill="1" applyAlignment="1">
      <alignment vertical="center" wrapText="1"/>
    </xf>
    <xf numFmtId="0" fontId="53" fillId="23" borderId="12" xfId="0" applyFont="1" applyFill="1" applyBorder="1" applyAlignment="1">
      <alignment vertical="center" wrapText="1"/>
    </xf>
    <xf numFmtId="171" fontId="67" fillId="0" borderId="0" xfId="0" quotePrefix="1" applyNumberFormat="1" applyFont="1" applyAlignment="1">
      <alignment horizontal="right" vertical="center"/>
    </xf>
    <xf numFmtId="1" fontId="52" fillId="0" borderId="0" xfId="0" applyNumberFormat="1" applyFont="1" applyAlignment="1">
      <alignment horizontal="right" vertical="center"/>
    </xf>
    <xf numFmtId="164" fontId="61" fillId="24" borderId="0" xfId="0" applyNumberFormat="1" applyFont="1" applyFill="1" applyAlignment="1">
      <alignment vertical="center"/>
    </xf>
    <xf numFmtId="0" fontId="61" fillId="0" borderId="0" xfId="0" applyFont="1" applyAlignment="1">
      <alignment horizontal="center" vertical="center"/>
    </xf>
    <xf numFmtId="1" fontId="67" fillId="0" borderId="0" xfId="0" applyNumberFormat="1" applyFont="1" applyAlignment="1">
      <alignment horizontal="right" vertical="center"/>
    </xf>
    <xf numFmtId="1" fontId="67" fillId="0" borderId="0" xfId="0" quotePrefix="1" applyNumberFormat="1" applyFont="1" applyAlignment="1">
      <alignment horizontal="right" vertical="center"/>
    </xf>
    <xf numFmtId="49" fontId="53" fillId="23" borderId="0" xfId="0" applyNumberFormat="1" applyFont="1" applyFill="1" applyAlignment="1">
      <alignment horizontal="right"/>
    </xf>
    <xf numFmtId="1" fontId="62" fillId="27" borderId="0" xfId="0" applyNumberFormat="1" applyFont="1" applyFill="1" applyAlignment="1">
      <alignment horizontal="right" vertical="center"/>
    </xf>
    <xf numFmtId="0" fontId="44" fillId="0" borderId="0" xfId="0" applyFont="1" applyAlignment="1">
      <alignment horizontal="center" vertical="center" wrapText="1"/>
    </xf>
    <xf numFmtId="0" fontId="67" fillId="0" borderId="0" xfId="0" quotePrefix="1" applyFont="1" applyAlignment="1">
      <alignment horizontal="right" vertical="center"/>
    </xf>
    <xf numFmtId="0" fontId="60" fillId="35" borderId="99" xfId="0" applyFont="1" applyFill="1" applyBorder="1" applyAlignment="1">
      <alignment horizontal="center" vertical="center" wrapText="1"/>
    </xf>
    <xf numFmtId="1" fontId="68" fillId="0" borderId="0" xfId="0" applyNumberFormat="1" applyFont="1" applyAlignment="1">
      <alignment horizontal="center" vertical="center"/>
    </xf>
    <xf numFmtId="0" fontId="52" fillId="38" borderId="39" xfId="0" applyFont="1" applyFill="1" applyBorder="1" applyAlignment="1">
      <alignment vertical="center"/>
    </xf>
    <xf numFmtId="0" fontId="69" fillId="0" borderId="0" xfId="0" applyFont="1" applyAlignment="1">
      <alignment vertical="center"/>
    </xf>
    <xf numFmtId="2" fontId="44" fillId="0" borderId="0" xfId="0" applyNumberFormat="1" applyFont="1" applyAlignment="1">
      <alignment horizontal="center" vertical="center" wrapText="1"/>
    </xf>
    <xf numFmtId="1" fontId="52" fillId="0" borderId="0" xfId="0" applyNumberFormat="1" applyFont="1" applyAlignment="1">
      <alignment vertical="center"/>
    </xf>
    <xf numFmtId="1" fontId="62" fillId="0" borderId="0" xfId="0" applyNumberFormat="1" applyFont="1" applyAlignment="1">
      <alignment horizontal="right" vertical="center"/>
    </xf>
    <xf numFmtId="0" fontId="60" fillId="0" borderId="0" xfId="0" applyFont="1" applyAlignment="1">
      <alignment horizontal="center" vertical="center" wrapText="1"/>
    </xf>
    <xf numFmtId="0" fontId="70" fillId="0" borderId="66" xfId="0" applyFont="1" applyBorder="1" applyAlignment="1">
      <alignment vertical="center"/>
    </xf>
    <xf numFmtId="0" fontId="69" fillId="0" borderId="0" xfId="0" quotePrefix="1" applyFont="1" applyAlignment="1">
      <alignment horizontal="right" vertical="center"/>
    </xf>
    <xf numFmtId="1" fontId="69" fillId="0" borderId="0" xfId="0" applyNumberFormat="1" applyFont="1" applyAlignment="1">
      <alignment horizontal="right" vertical="center"/>
    </xf>
    <xf numFmtId="1" fontId="52" fillId="38" borderId="31" xfId="0" applyNumberFormat="1" applyFont="1" applyFill="1" applyBorder="1" applyAlignment="1">
      <alignment horizontal="right" vertical="center"/>
    </xf>
    <xf numFmtId="1" fontId="69" fillId="0" borderId="0" xfId="0" applyNumberFormat="1" applyFont="1" applyAlignment="1">
      <alignment vertical="center"/>
    </xf>
    <xf numFmtId="0" fontId="44" fillId="0" borderId="0" xfId="0" applyFont="1"/>
    <xf numFmtId="0" fontId="60" fillId="35" borderId="63" xfId="0" applyFont="1" applyFill="1" applyBorder="1" applyAlignment="1">
      <alignment horizontal="center" vertical="center"/>
    </xf>
    <xf numFmtId="0" fontId="62" fillId="35" borderId="63" xfId="0" applyFont="1" applyFill="1" applyBorder="1" applyAlignment="1">
      <alignment horizontal="center" vertical="center"/>
    </xf>
    <xf numFmtId="0" fontId="62" fillId="35" borderId="64" xfId="0" applyFont="1" applyFill="1" applyBorder="1" applyAlignment="1">
      <alignment horizontal="center" vertical="center" wrapText="1"/>
    </xf>
    <xf numFmtId="0" fontId="44" fillId="0" borderId="0" xfId="0" applyFont="1" applyAlignment="1">
      <alignment horizontal="right"/>
    </xf>
    <xf numFmtId="0" fontId="44" fillId="0" borderId="0" xfId="0" applyFont="1" applyAlignment="1">
      <alignment horizontal="center"/>
    </xf>
    <xf numFmtId="1" fontId="14" fillId="0" borderId="43" xfId="0" applyNumberFormat="1" applyFont="1" applyBorder="1" applyAlignment="1">
      <alignment horizontal="right" vertical="center"/>
    </xf>
    <xf numFmtId="0" fontId="60" fillId="0" borderId="63" xfId="0" applyFont="1" applyBorder="1" applyAlignment="1">
      <alignment horizontal="center" vertical="center"/>
    </xf>
    <xf numFmtId="0" fontId="27" fillId="0" borderId="0" xfId="0" applyFont="1" applyAlignment="1">
      <alignment wrapText="1"/>
    </xf>
    <xf numFmtId="0" fontId="44" fillId="22" borderId="0" xfId="0" applyFont="1" applyFill="1" applyAlignment="1">
      <alignment horizontal="center" vertical="center"/>
    </xf>
    <xf numFmtId="0" fontId="49" fillId="23" borderId="0" xfId="0" applyFont="1" applyFill="1" applyAlignment="1">
      <alignment vertical="center" wrapText="1"/>
    </xf>
    <xf numFmtId="0" fontId="49" fillId="23" borderId="12" xfId="0" applyFont="1" applyFill="1" applyBorder="1" applyAlignment="1">
      <alignment vertical="center" wrapText="1"/>
    </xf>
    <xf numFmtId="0" fontId="19" fillId="33" borderId="29" xfId="0" applyFont="1" applyFill="1" applyBorder="1" applyAlignment="1">
      <alignment horizontal="right" vertical="center"/>
    </xf>
    <xf numFmtId="1" fontId="52" fillId="0" borderId="29" xfId="0" applyNumberFormat="1" applyFont="1" applyBorder="1" applyAlignment="1">
      <alignment horizontal="right" vertical="center"/>
    </xf>
    <xf numFmtId="9" fontId="44" fillId="0" borderId="0" xfId="0" applyNumberFormat="1" applyFont="1" applyAlignment="1">
      <alignment horizontal="right" vertical="center"/>
    </xf>
    <xf numFmtId="171" fontId="44" fillId="0" borderId="0" xfId="0" quotePrefix="1" applyNumberFormat="1" applyFont="1" applyAlignment="1">
      <alignment horizontal="right" vertical="center"/>
    </xf>
    <xf numFmtId="0" fontId="69" fillId="0" borderId="0" xfId="0" applyFont="1"/>
    <xf numFmtId="0" fontId="70" fillId="0" borderId="0" xfId="0" applyFont="1" applyAlignment="1">
      <alignment vertical="center"/>
    </xf>
    <xf numFmtId="0" fontId="52" fillId="0" borderId="32" xfId="0" applyFont="1" applyBorder="1" applyAlignment="1">
      <alignment vertical="center"/>
    </xf>
    <xf numFmtId="0" fontId="52" fillId="0" borderId="39" xfId="0" applyFont="1" applyBorder="1" applyAlignment="1">
      <alignment vertical="center"/>
    </xf>
    <xf numFmtId="1" fontId="52" fillId="0" borderId="78" xfId="0" applyNumberFormat="1" applyFont="1" applyBorder="1" applyAlignment="1">
      <alignment vertical="center"/>
    </xf>
    <xf numFmtId="1" fontId="52" fillId="0" borderId="110" xfId="0" applyNumberFormat="1" applyFont="1" applyBorder="1" applyAlignment="1">
      <alignment vertical="center"/>
    </xf>
    <xf numFmtId="0" fontId="13" fillId="0" borderId="41" xfId="0" applyFont="1" applyBorder="1" applyAlignment="1">
      <alignment vertical="center"/>
    </xf>
    <xf numFmtId="1" fontId="13" fillId="0" borderId="46" xfId="0" applyNumberFormat="1" applyFont="1" applyBorder="1" applyAlignment="1">
      <alignment horizontal="right" vertical="center"/>
    </xf>
    <xf numFmtId="0" fontId="44" fillId="0" borderId="12" xfId="0" applyFont="1" applyBorder="1" applyAlignment="1">
      <alignment horizontal="right" vertical="center"/>
    </xf>
    <xf numFmtId="174" fontId="44" fillId="0" borderId="0" xfId="0" applyNumberFormat="1" applyFont="1" applyAlignment="1">
      <alignment horizontal="center"/>
    </xf>
    <xf numFmtId="1" fontId="44" fillId="0" borderId="12" xfId="0" applyNumberFormat="1" applyFont="1" applyBorder="1" applyAlignment="1">
      <alignment horizontal="center" vertical="center"/>
    </xf>
    <xf numFmtId="172" fontId="52" fillId="34" borderId="31" xfId="0" applyNumberFormat="1" applyFont="1" applyFill="1" applyBorder="1" applyAlignment="1">
      <alignment horizontal="right" vertical="center"/>
    </xf>
    <xf numFmtId="172" fontId="52" fillId="38" borderId="31" xfId="0" applyNumberFormat="1" applyFont="1" applyFill="1" applyBorder="1" applyAlignment="1">
      <alignment horizontal="right" vertical="center"/>
    </xf>
    <xf numFmtId="0" fontId="61" fillId="24" borderId="0" xfId="0" applyFont="1" applyFill="1" applyAlignment="1">
      <alignment vertical="center"/>
    </xf>
    <xf numFmtId="0" fontId="60" fillId="24" borderId="0" xfId="0" applyFont="1" applyFill="1" applyAlignment="1">
      <alignment vertical="center"/>
    </xf>
    <xf numFmtId="0" fontId="53" fillId="23" borderId="12" xfId="0" applyFont="1" applyFill="1" applyBorder="1" applyAlignment="1">
      <alignment horizontal="left" vertical="center"/>
    </xf>
    <xf numFmtId="0" fontId="71" fillId="0" borderId="63" xfId="0" applyFont="1" applyBorder="1" applyAlignment="1">
      <alignment horizontal="center" vertical="center"/>
    </xf>
    <xf numFmtId="0" fontId="0" fillId="0" borderId="0" xfId="0" applyAlignment="1">
      <alignment vertical="center"/>
    </xf>
    <xf numFmtId="0" fontId="23" fillId="22" borderId="13" xfId="0" applyFont="1" applyFill="1" applyBorder="1" applyAlignment="1">
      <alignment horizontal="left" vertical="center"/>
    </xf>
    <xf numFmtId="0" fontId="23" fillId="22" borderId="0" xfId="0" applyFont="1" applyFill="1" applyAlignment="1">
      <alignment horizontal="left" vertical="center"/>
    </xf>
    <xf numFmtId="0" fontId="23" fillId="22" borderId="12" xfId="0" applyFont="1" applyFill="1" applyBorder="1" applyAlignment="1">
      <alignment horizontal="left" vertical="center"/>
    </xf>
    <xf numFmtId="0" fontId="0" fillId="0" borderId="12" xfId="0" applyBorder="1" applyAlignment="1">
      <alignment vertical="center"/>
    </xf>
    <xf numFmtId="0" fontId="53" fillId="0" borderId="0" xfId="0" applyFont="1" applyAlignment="1">
      <alignment vertical="center" wrapText="1"/>
    </xf>
    <xf numFmtId="0" fontId="53" fillId="0" borderId="12" xfId="0" applyFont="1" applyBorder="1" applyAlignment="1">
      <alignment vertical="center" wrapText="1"/>
    </xf>
    <xf numFmtId="0" fontId="52" fillId="0" borderId="28" xfId="0" applyFont="1" applyBorder="1" applyAlignment="1">
      <alignment vertical="center"/>
    </xf>
    <xf numFmtId="0" fontId="18" fillId="0" borderId="0" xfId="0" applyFont="1" applyAlignment="1">
      <alignment vertical="center"/>
    </xf>
    <xf numFmtId="1" fontId="18" fillId="0" borderId="0" xfId="0" applyNumberFormat="1" applyFont="1" applyAlignment="1">
      <alignment horizontal="right" vertical="center"/>
    </xf>
    <xf numFmtId="0" fontId="62" fillId="42" borderId="13" xfId="0" applyFont="1" applyFill="1" applyBorder="1" applyAlignment="1">
      <alignment horizontal="center" vertical="center"/>
    </xf>
    <xf numFmtId="0" fontId="0" fillId="0" borderId="12" xfId="0" applyBorder="1" applyAlignment="1">
      <alignment horizontal="center" vertical="center"/>
    </xf>
    <xf numFmtId="0" fontId="49" fillId="43" borderId="13" xfId="0" applyFont="1" applyFill="1" applyBorder="1" applyAlignment="1">
      <alignment horizontal="center" vertical="center"/>
    </xf>
    <xf numFmtId="0" fontId="49" fillId="44" borderId="13" xfId="0" applyFont="1" applyFill="1" applyBorder="1" applyAlignment="1">
      <alignment horizontal="center" vertical="center"/>
    </xf>
    <xf numFmtId="0" fontId="49" fillId="45" borderId="13" xfId="0" applyFont="1" applyFill="1" applyBorder="1" applyAlignment="1">
      <alignment horizontal="center" vertical="center"/>
    </xf>
    <xf numFmtId="0" fontId="49" fillId="46" borderId="13" xfId="0" applyFont="1" applyFill="1" applyBorder="1" applyAlignment="1">
      <alignment horizontal="center" vertical="center"/>
    </xf>
    <xf numFmtId="0" fontId="72" fillId="47" borderId="13" xfId="0" applyFont="1" applyFill="1" applyBorder="1" applyAlignment="1">
      <alignment horizontal="center" vertical="center"/>
    </xf>
    <xf numFmtId="0" fontId="49" fillId="48" borderId="13" xfId="0" applyFont="1" applyFill="1" applyBorder="1" applyAlignment="1">
      <alignment horizontal="center" vertical="center"/>
    </xf>
    <xf numFmtId="0" fontId="49" fillId="49" borderId="13" xfId="0" applyFont="1" applyFill="1" applyBorder="1" applyAlignment="1">
      <alignment horizontal="center" vertical="center"/>
    </xf>
    <xf numFmtId="0" fontId="72" fillId="50" borderId="13" xfId="0" applyFont="1" applyFill="1" applyBorder="1" applyAlignment="1">
      <alignment horizontal="center" vertical="center"/>
    </xf>
    <xf numFmtId="0" fontId="49" fillId="51" borderId="13" xfId="0" applyFont="1" applyFill="1" applyBorder="1" applyAlignment="1">
      <alignment horizontal="center"/>
    </xf>
    <xf numFmtId="0" fontId="0" fillId="0" borderId="12" xfId="0" applyBorder="1" applyAlignment="1">
      <alignment horizontal="center"/>
    </xf>
    <xf numFmtId="0" fontId="49" fillId="52" borderId="13" xfId="0" applyFont="1" applyFill="1" applyBorder="1" applyAlignment="1">
      <alignment horizontal="center"/>
    </xf>
    <xf numFmtId="0" fontId="49" fillId="53" borderId="13" xfId="0" applyFont="1" applyFill="1" applyBorder="1" applyAlignment="1">
      <alignment horizontal="center"/>
    </xf>
    <xf numFmtId="0" fontId="72" fillId="54" borderId="13" xfId="0" applyFont="1" applyFill="1" applyBorder="1" applyAlignment="1">
      <alignment horizontal="center"/>
    </xf>
    <xf numFmtId="0" fontId="72" fillId="55" borderId="13" xfId="0" applyFont="1" applyFill="1" applyBorder="1" applyAlignment="1">
      <alignment horizontal="center"/>
    </xf>
    <xf numFmtId="0" fontId="72" fillId="56" borderId="13" xfId="0" applyFont="1" applyFill="1" applyBorder="1" applyAlignment="1">
      <alignment horizontal="center"/>
    </xf>
    <xf numFmtId="0" fontId="49" fillId="57" borderId="114" xfId="0" applyFont="1" applyFill="1" applyBorder="1" applyAlignment="1">
      <alignment horizontal="center"/>
    </xf>
    <xf numFmtId="0" fontId="0" fillId="0" borderId="115"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27" fillId="0" borderId="0" xfId="0" applyFont="1"/>
    <xf numFmtId="178" fontId="0" fillId="0" borderId="0" xfId="0" applyNumberFormat="1" applyAlignment="1">
      <alignment horizontal="left"/>
    </xf>
    <xf numFmtId="178" fontId="27" fillId="0" borderId="0" xfId="0" applyNumberFormat="1" applyFont="1" applyAlignment="1">
      <alignment horizontal="left"/>
    </xf>
    <xf numFmtId="1" fontId="0" fillId="0" borderId="0" xfId="0" applyNumberFormat="1" applyAlignment="1">
      <alignment horizontal="left"/>
    </xf>
    <xf numFmtId="1" fontId="27" fillId="0" borderId="0" xfId="0" applyNumberFormat="1" applyFont="1" applyAlignment="1">
      <alignment horizontal="left"/>
    </xf>
    <xf numFmtId="179" fontId="44" fillId="0" borderId="0" xfId="0" quotePrefix="1" applyNumberFormat="1" applyFont="1" applyAlignment="1">
      <alignment horizontal="right" vertical="center"/>
    </xf>
    <xf numFmtId="0" fontId="0" fillId="0" borderId="0" xfId="0" applyAlignment="1">
      <alignment horizontal="center"/>
    </xf>
    <xf numFmtId="2" fontId="27"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7" fillId="0" borderId="0" xfId="0" applyNumberFormat="1" applyFont="1"/>
    <xf numFmtId="0" fontId="53" fillId="0" borderId="116" xfId="0" applyFont="1" applyBorder="1"/>
    <xf numFmtId="0" fontId="53" fillId="0" borderId="116" xfId="0" applyFont="1" applyBorder="1" applyAlignment="1">
      <alignment vertical="center"/>
    </xf>
    <xf numFmtId="0" fontId="53" fillId="0" borderId="115" xfId="0" applyFont="1" applyBorder="1"/>
    <xf numFmtId="0" fontId="53" fillId="0" borderId="114" xfId="0" applyFont="1" applyBorder="1"/>
    <xf numFmtId="180" fontId="44" fillId="0" borderId="0" xfId="0" applyNumberFormat="1" applyFont="1" applyAlignment="1">
      <alignment horizontal="right" vertical="center"/>
    </xf>
    <xf numFmtId="49" fontId="27" fillId="0" borderId="0" xfId="0" applyNumberFormat="1" applyFont="1" applyAlignment="1">
      <alignment horizontal="left"/>
    </xf>
    <xf numFmtId="49" fontId="0" fillId="0" borderId="0" xfId="0" applyNumberFormat="1" applyAlignment="1">
      <alignment horizontal="left"/>
    </xf>
    <xf numFmtId="171" fontId="49" fillId="40" borderId="31" xfId="0" applyNumberFormat="1" applyFont="1" applyFill="1" applyBorder="1" applyAlignment="1">
      <alignment horizontal="right" vertical="center"/>
    </xf>
    <xf numFmtId="171" fontId="53" fillId="0" borderId="0" xfId="0" applyNumberFormat="1" applyFont="1" applyAlignment="1">
      <alignment vertical="center"/>
    </xf>
    <xf numFmtId="171" fontId="12" fillId="32" borderId="40" xfId="0" applyNumberFormat="1" applyFont="1" applyFill="1" applyBorder="1" applyAlignment="1">
      <alignment horizontal="right" vertical="center"/>
    </xf>
    <xf numFmtId="0" fontId="52" fillId="0" borderId="125" xfId="0" applyFont="1" applyBorder="1" applyAlignment="1">
      <alignment vertical="center"/>
    </xf>
    <xf numFmtId="0" fontId="74" fillId="0" borderId="0" xfId="0" applyFont="1" applyAlignment="1">
      <alignment vertical="center"/>
    </xf>
    <xf numFmtId="1" fontId="74" fillId="0" borderId="0" xfId="0" applyNumberFormat="1" applyFont="1" applyAlignment="1">
      <alignment horizontal="right" vertical="center"/>
    </xf>
    <xf numFmtId="0" fontId="12" fillId="32" borderId="49" xfId="0" applyFont="1" applyFill="1" applyBorder="1" applyAlignment="1">
      <alignment vertical="center"/>
    </xf>
    <xf numFmtId="0" fontId="27" fillId="0" borderId="0" xfId="0" applyFont="1" applyAlignment="1">
      <alignment horizontal="left"/>
    </xf>
    <xf numFmtId="168" fontId="11" fillId="32" borderId="34" xfId="0" applyNumberFormat="1" applyFont="1" applyFill="1" applyBorder="1" applyAlignment="1">
      <alignment horizontal="center" vertical="center"/>
    </xf>
    <xf numFmtId="168" fontId="11" fillId="33" borderId="39" xfId="0" applyNumberFormat="1" applyFont="1" applyFill="1" applyBorder="1" applyAlignment="1">
      <alignment horizontal="center" vertical="center"/>
    </xf>
    <xf numFmtId="168" fontId="11" fillId="32" borderId="39" xfId="0" applyNumberFormat="1" applyFont="1" applyFill="1" applyBorder="1" applyAlignment="1">
      <alignment horizontal="center" vertical="center"/>
    </xf>
    <xf numFmtId="0" fontId="74" fillId="0" borderId="12" xfId="0" applyFont="1" applyBorder="1" applyAlignment="1">
      <alignment vertical="center"/>
    </xf>
    <xf numFmtId="2" fontId="69" fillId="0" borderId="0" xfId="0" applyNumberFormat="1" applyFont="1" applyAlignment="1">
      <alignment vertical="center"/>
    </xf>
    <xf numFmtId="2" fontId="69" fillId="0" borderId="12" xfId="0" applyNumberFormat="1" applyFont="1" applyBorder="1" applyAlignment="1">
      <alignment vertical="center"/>
    </xf>
    <xf numFmtId="2" fontId="44" fillId="0" borderId="12" xfId="0" applyNumberFormat="1" applyFont="1" applyBorder="1" applyAlignment="1">
      <alignment horizontal="right" vertical="center"/>
    </xf>
    <xf numFmtId="0" fontId="75" fillId="0" borderId="13" xfId="0" applyFont="1" applyBorder="1" applyAlignment="1">
      <alignment vertical="center"/>
    </xf>
    <xf numFmtId="2" fontId="75" fillId="0" borderId="0" xfId="0" applyNumberFormat="1" applyFont="1" applyAlignment="1">
      <alignment vertical="center"/>
    </xf>
    <xf numFmtId="0" fontId="75" fillId="0" borderId="0" xfId="0" applyFont="1" applyAlignment="1">
      <alignment vertical="center"/>
    </xf>
    <xf numFmtId="2" fontId="75" fillId="0" borderId="12" xfId="0" applyNumberFormat="1" applyFont="1" applyBorder="1" applyAlignment="1">
      <alignment vertical="center"/>
    </xf>
    <xf numFmtId="9" fontId="53" fillId="0" borderId="10" xfId="44" applyFont="1" applyBorder="1"/>
    <xf numFmtId="0" fontId="53" fillId="0" borderId="127" xfId="0" applyFont="1" applyBorder="1"/>
    <xf numFmtId="1" fontId="75" fillId="0" borderId="0" xfId="0" applyNumberFormat="1" applyFont="1" applyAlignment="1">
      <alignment horizontal="right" vertical="center"/>
    </xf>
    <xf numFmtId="2" fontId="53" fillId="23" borderId="12" xfId="0" applyNumberFormat="1" applyFont="1" applyFill="1" applyBorder="1" applyAlignment="1">
      <alignment horizontal="right"/>
    </xf>
    <xf numFmtId="182" fontId="53" fillId="0" borderId="0" xfId="0" applyNumberFormat="1" applyFont="1"/>
    <xf numFmtId="0" fontId="22" fillId="0" borderId="0" xfId="0" applyFont="1"/>
    <xf numFmtId="0" fontId="0" fillId="0" borderId="18" xfId="0" applyBorder="1"/>
    <xf numFmtId="0" fontId="0" fillId="0" borderId="13" xfId="0" applyBorder="1" applyAlignment="1">
      <alignment horizontal="center"/>
    </xf>
    <xf numFmtId="0" fontId="0" fillId="0" borderId="24" xfId="0" applyBorder="1"/>
    <xf numFmtId="0" fontId="0" fillId="0" borderId="19" xfId="0" applyBorder="1"/>
    <xf numFmtId="0" fontId="76" fillId="0" borderId="0" xfId="0" applyFont="1" applyAlignment="1">
      <alignment horizontal="center" vertical="center"/>
    </xf>
    <xf numFmtId="0" fontId="0" fillId="0" borderId="115" xfId="0" applyBorder="1"/>
    <xf numFmtId="1" fontId="54" fillId="0" borderId="0" xfId="0" applyNumberFormat="1" applyFont="1" applyAlignment="1">
      <alignment horizontal="center" vertical="center"/>
    </xf>
    <xf numFmtId="0" fontId="27" fillId="0" borderId="0" xfId="0" applyFont="1" applyAlignment="1">
      <alignment horizontal="center"/>
    </xf>
    <xf numFmtId="0" fontId="0" fillId="0" borderId="0" xfId="0" applyAlignment="1">
      <alignment horizontal="left"/>
    </xf>
    <xf numFmtId="0" fontId="10" fillId="32" borderId="33" xfId="0" applyFont="1" applyFill="1" applyBorder="1" applyAlignment="1">
      <alignment horizontal="right" vertical="center"/>
    </xf>
    <xf numFmtId="1" fontId="66" fillId="0" borderId="0" xfId="0" applyNumberFormat="1" applyFont="1" applyAlignment="1">
      <alignment horizontal="right" vertical="center"/>
    </xf>
    <xf numFmtId="0" fontId="77" fillId="0" borderId="125" xfId="0" applyFont="1" applyBorder="1" applyAlignment="1">
      <alignment vertical="center"/>
    </xf>
    <xf numFmtId="0" fontId="9" fillId="38" borderId="39" xfId="0" applyFont="1" applyFill="1" applyBorder="1" applyAlignment="1">
      <alignment vertical="center"/>
    </xf>
    <xf numFmtId="0" fontId="9" fillId="34" borderId="39" xfId="0" applyFont="1" applyFill="1" applyBorder="1" applyAlignment="1">
      <alignment vertical="center"/>
    </xf>
    <xf numFmtId="0" fontId="9" fillId="34" borderId="32" xfId="0" applyFont="1" applyFill="1" applyBorder="1" applyAlignment="1">
      <alignment vertical="center"/>
    </xf>
    <xf numFmtId="0" fontId="78" fillId="0" borderId="0" xfId="0" applyFont="1" applyAlignment="1">
      <alignment vertical="center"/>
    </xf>
    <xf numFmtId="167" fontId="78" fillId="0" borderId="0" xfId="0" applyNumberFormat="1" applyFont="1" applyAlignment="1">
      <alignment horizontal="right" vertical="center"/>
    </xf>
    <xf numFmtId="0" fontId="62" fillId="37" borderId="56" xfId="0" applyFont="1" applyFill="1" applyBorder="1" applyAlignment="1">
      <alignment vertical="center"/>
    </xf>
    <xf numFmtId="1" fontId="9" fillId="34" borderId="31" xfId="0" applyNumberFormat="1" applyFont="1" applyFill="1" applyBorder="1" applyAlignment="1">
      <alignment vertical="center"/>
    </xf>
    <xf numFmtId="0" fontId="9" fillId="34" borderId="55" xfId="0" applyFont="1" applyFill="1" applyBorder="1" applyAlignment="1">
      <alignment vertical="center"/>
    </xf>
    <xf numFmtId="0" fontId="9" fillId="38" borderId="31" xfId="0" applyFont="1" applyFill="1" applyBorder="1" applyAlignment="1">
      <alignment horizontal="right" vertical="center"/>
    </xf>
    <xf numFmtId="9" fontId="9" fillId="38" borderId="31" xfId="0" applyNumberFormat="1" applyFont="1" applyFill="1" applyBorder="1" applyAlignment="1">
      <alignment vertical="center"/>
    </xf>
    <xf numFmtId="167" fontId="78" fillId="0" borderId="0" xfId="0" quotePrefix="1" applyNumberFormat="1" applyFont="1" applyAlignment="1">
      <alignment horizontal="right" vertical="center"/>
    </xf>
    <xf numFmtId="2" fontId="52" fillId="0" borderId="0" xfId="0" applyNumberFormat="1" applyFont="1" applyAlignment="1">
      <alignment horizontal="right" vertical="center"/>
    </xf>
    <xf numFmtId="0" fontId="53" fillId="0" borderId="22" xfId="0" applyFont="1" applyBorder="1"/>
    <xf numFmtId="1" fontId="44" fillId="22" borderId="0" xfId="0" applyNumberFormat="1" applyFont="1" applyFill="1" applyAlignment="1">
      <alignment vertical="center"/>
    </xf>
    <xf numFmtId="0" fontId="79" fillId="0" borderId="0" xfId="0" applyFont="1" applyAlignment="1">
      <alignment vertical="center"/>
    </xf>
    <xf numFmtId="1" fontId="79" fillId="0" borderId="0" xfId="0" quotePrefix="1" applyNumberFormat="1" applyFont="1" applyAlignment="1">
      <alignment horizontal="right" vertical="center"/>
    </xf>
    <xf numFmtId="1" fontId="79" fillId="0" borderId="0" xfId="0" applyNumberFormat="1" applyFont="1" applyAlignment="1">
      <alignment horizontal="right" vertical="center"/>
    </xf>
    <xf numFmtId="0" fontId="53" fillId="0" borderId="12" xfId="0" applyFont="1" applyBorder="1" applyAlignment="1">
      <alignment horizontal="left" vertical="center" wrapText="1"/>
    </xf>
    <xf numFmtId="0" fontId="0" fillId="0" borderId="12" xfId="0" applyBorder="1" applyAlignment="1">
      <alignment vertical="center" wrapText="1"/>
    </xf>
    <xf numFmtId="0" fontId="0" fillId="0" borderId="0" xfId="0" applyAlignment="1">
      <alignment vertical="center" wrapText="1"/>
    </xf>
    <xf numFmtId="0" fontId="44" fillId="0" borderId="87" xfId="0" applyFont="1" applyBorder="1" applyAlignment="1">
      <alignment vertical="center"/>
    </xf>
    <xf numFmtId="0" fontId="53" fillId="0" borderId="13" xfId="0" applyFont="1" applyBorder="1" applyAlignment="1">
      <alignment horizontal="left" vertical="center"/>
    </xf>
    <xf numFmtId="0" fontId="52" fillId="38" borderId="50" xfId="0" applyFont="1" applyFill="1" applyBorder="1" applyAlignment="1">
      <alignment vertical="center"/>
    </xf>
    <xf numFmtId="0" fontId="52" fillId="34" borderId="50" xfId="0" applyFont="1" applyFill="1" applyBorder="1" applyAlignment="1">
      <alignment vertical="center"/>
    </xf>
    <xf numFmtId="2" fontId="52" fillId="38" borderId="37" xfId="0" applyNumberFormat="1" applyFont="1" applyFill="1" applyBorder="1" applyAlignment="1">
      <alignment vertical="center"/>
    </xf>
    <xf numFmtId="2" fontId="52" fillId="34" borderId="37" xfId="0" applyNumberFormat="1" applyFont="1" applyFill="1" applyBorder="1" applyAlignment="1">
      <alignment vertical="center"/>
    </xf>
    <xf numFmtId="2" fontId="53" fillId="0" borderId="0" xfId="0" applyNumberFormat="1" applyFont="1" applyAlignment="1">
      <alignment horizontal="right" vertical="center"/>
    </xf>
    <xf numFmtId="0" fontId="62" fillId="0" borderId="0" xfId="0" applyFont="1" applyAlignment="1">
      <alignment horizontal="center" vertical="center"/>
    </xf>
    <xf numFmtId="2" fontId="53" fillId="0" borderId="0" xfId="0" applyNumberFormat="1" applyFont="1" applyAlignment="1">
      <alignment horizontal="center" vertical="center"/>
    </xf>
    <xf numFmtId="0" fontId="62" fillId="0" borderId="13" xfId="0" applyFont="1" applyBorder="1" applyAlignment="1">
      <alignment horizontal="left" vertical="center"/>
    </xf>
    <xf numFmtId="0" fontId="62" fillId="0" borderId="13" xfId="0" applyFont="1" applyBorder="1" applyAlignment="1">
      <alignment horizontal="center" vertical="center"/>
    </xf>
    <xf numFmtId="2" fontId="53" fillId="0" borderId="12" xfId="0" applyNumberFormat="1" applyFont="1" applyBorder="1" applyAlignment="1">
      <alignment horizontal="right" vertical="center"/>
    </xf>
    <xf numFmtId="0" fontId="62" fillId="37" borderId="99" xfId="0" applyFont="1" applyFill="1" applyBorder="1" applyAlignment="1">
      <alignment horizontal="center" vertical="center"/>
    </xf>
    <xf numFmtId="0" fontId="80" fillId="37" borderId="63" xfId="0" applyFont="1" applyFill="1" applyBorder="1" applyAlignment="1">
      <alignment horizontal="left" vertical="center"/>
    </xf>
    <xf numFmtId="0" fontId="80" fillId="37" borderId="56" xfId="0" applyFont="1" applyFill="1" applyBorder="1" applyAlignment="1">
      <alignment horizontal="left" vertical="center"/>
    </xf>
    <xf numFmtId="0" fontId="80" fillId="37" borderId="88" xfId="0" applyFont="1" applyFill="1" applyBorder="1" applyAlignment="1">
      <alignment horizontal="left" vertical="center"/>
    </xf>
    <xf numFmtId="0" fontId="80" fillId="0" borderId="0" xfId="0" applyFont="1" applyAlignment="1">
      <alignment horizontal="center" vertical="center"/>
    </xf>
    <xf numFmtId="0" fontId="6" fillId="0" borderId="50" xfId="0" applyFont="1" applyBorder="1" applyAlignment="1">
      <alignment horizontal="left" vertical="center"/>
    </xf>
    <xf numFmtId="0" fontId="6" fillId="0" borderId="13" xfId="0" applyFont="1" applyBorder="1" applyAlignment="1">
      <alignment horizontal="left" vertical="center"/>
    </xf>
    <xf numFmtId="2" fontId="6" fillId="0" borderId="37" xfId="0" applyNumberFormat="1" applyFont="1" applyBorder="1" applyAlignment="1">
      <alignment horizontal="right" vertical="center"/>
    </xf>
    <xf numFmtId="2" fontId="6" fillId="0" borderId="0" xfId="0" applyNumberFormat="1" applyFont="1" applyAlignment="1">
      <alignment horizontal="right" vertical="center"/>
    </xf>
    <xf numFmtId="0" fontId="6" fillId="0" borderId="39" xfId="0" applyFont="1" applyBorder="1" applyAlignment="1">
      <alignment horizontal="left" vertical="center"/>
    </xf>
    <xf numFmtId="0" fontId="6" fillId="0" borderId="0" xfId="0" applyFont="1" applyAlignment="1">
      <alignment horizontal="left" vertical="center"/>
    </xf>
    <xf numFmtId="0" fontId="80" fillId="37" borderId="64" xfId="0" applyFont="1" applyFill="1" applyBorder="1" applyAlignment="1">
      <alignment horizontal="left" vertical="center"/>
    </xf>
    <xf numFmtId="0" fontId="52" fillId="32" borderId="39" xfId="0" applyFont="1" applyFill="1" applyBorder="1"/>
    <xf numFmtId="2" fontId="52" fillId="33" borderId="27" xfId="0" applyNumberFormat="1" applyFont="1" applyFill="1" applyBorder="1"/>
    <xf numFmtId="183" fontId="52" fillId="32" borderId="37" xfId="0" applyNumberFormat="1" applyFont="1" applyFill="1" applyBorder="1"/>
    <xf numFmtId="0" fontId="52" fillId="33" borderId="32" xfId="0" applyFont="1" applyFill="1" applyBorder="1"/>
    <xf numFmtId="167" fontId="52" fillId="32" borderId="37" xfId="0" applyNumberFormat="1" applyFont="1" applyFill="1" applyBorder="1" applyAlignment="1">
      <alignment horizontal="right"/>
    </xf>
    <xf numFmtId="0" fontId="81" fillId="0" borderId="66" xfId="0" applyFont="1" applyBorder="1" applyAlignment="1">
      <alignment vertical="center"/>
    </xf>
    <xf numFmtId="0" fontId="52" fillId="0" borderId="41" xfId="0" applyFont="1" applyBorder="1" applyAlignment="1">
      <alignment vertical="center"/>
    </xf>
    <xf numFmtId="0" fontId="81" fillId="0" borderId="34" xfId="0" applyFont="1" applyBorder="1" applyAlignment="1">
      <alignment vertical="center"/>
    </xf>
    <xf numFmtId="0" fontId="53" fillId="0" borderId="20" xfId="0" applyFont="1" applyBorder="1" applyAlignment="1">
      <alignment horizontal="center"/>
    </xf>
    <xf numFmtId="0" fontId="53" fillId="0" borderId="10" xfId="0" applyFont="1" applyBorder="1" applyAlignment="1">
      <alignment horizontal="center"/>
    </xf>
    <xf numFmtId="0" fontId="53" fillId="0" borderId="127" xfId="0" applyFont="1" applyBorder="1" applyAlignment="1">
      <alignment horizontal="center"/>
    </xf>
    <xf numFmtId="2" fontId="44" fillId="0" borderId="12" xfId="0" applyNumberFormat="1" applyFont="1" applyBorder="1" applyAlignment="1">
      <alignment vertical="center"/>
    </xf>
    <xf numFmtId="9" fontId="78" fillId="0" borderId="0" xfId="44" applyFont="1" applyAlignment="1">
      <alignment horizontal="right" vertical="center"/>
    </xf>
    <xf numFmtId="9" fontId="78" fillId="0" borderId="0" xfId="44" quotePrefix="1" applyFont="1" applyAlignment="1">
      <alignment horizontal="right" vertical="center"/>
    </xf>
    <xf numFmtId="167" fontId="44" fillId="0" borderId="0" xfId="0" applyNumberFormat="1" applyFont="1" applyAlignment="1">
      <alignment horizontal="center" vertical="center"/>
    </xf>
    <xf numFmtId="167" fontId="44" fillId="0" borderId="0" xfId="0" quotePrefix="1" applyNumberFormat="1" applyFont="1" applyAlignment="1">
      <alignment horizontal="center" vertical="center"/>
    </xf>
    <xf numFmtId="1" fontId="44" fillId="0" borderId="0" xfId="44" applyNumberFormat="1" applyFont="1" applyAlignment="1">
      <alignment horizontal="right" vertical="center"/>
    </xf>
    <xf numFmtId="9" fontId="75" fillId="0" borderId="0" xfId="44" applyFont="1" applyAlignment="1">
      <alignment horizontal="right" vertical="center"/>
    </xf>
    <xf numFmtId="2" fontId="78" fillId="0" borderId="0" xfId="44" applyNumberFormat="1" applyFont="1" applyAlignment="1">
      <alignment horizontal="right" vertical="center"/>
    </xf>
    <xf numFmtId="171" fontId="44" fillId="0" borderId="12" xfId="0" applyNumberFormat="1" applyFont="1" applyBorder="1" applyAlignment="1">
      <alignment horizontal="right" vertical="center"/>
    </xf>
    <xf numFmtId="0" fontId="61" fillId="0" borderId="0" xfId="0" applyFont="1" applyAlignment="1">
      <alignment horizontal="left" vertical="center" wrapText="1"/>
    </xf>
    <xf numFmtId="0" fontId="44" fillId="0" borderId="0" xfId="0" applyFont="1" applyAlignment="1">
      <alignment horizontal="left"/>
    </xf>
    <xf numFmtId="0" fontId="44" fillId="0" borderId="12" xfId="0" applyFont="1" applyBorder="1" applyAlignment="1">
      <alignment horizontal="right"/>
    </xf>
    <xf numFmtId="0" fontId="0" fillId="0" borderId="0" xfId="0" applyAlignment="1">
      <alignment wrapText="1"/>
    </xf>
    <xf numFmtId="0" fontId="60" fillId="27" borderId="67" xfId="0" applyFont="1" applyFill="1" applyBorder="1" applyAlignment="1">
      <alignment horizontal="left" vertical="center"/>
    </xf>
    <xf numFmtId="0" fontId="60" fillId="27" borderId="36" xfId="0" applyFont="1" applyFill="1" applyBorder="1" applyAlignment="1">
      <alignment horizontal="left" vertical="center"/>
    </xf>
    <xf numFmtId="0" fontId="60" fillId="27" borderId="68" xfId="0" applyFont="1" applyFill="1" applyBorder="1" applyAlignment="1">
      <alignment horizontal="left" vertical="center"/>
    </xf>
    <xf numFmtId="0" fontId="60" fillId="27" borderId="0" xfId="0" applyFont="1" applyFill="1" applyAlignment="1">
      <alignment vertical="center"/>
    </xf>
    <xf numFmtId="0" fontId="61" fillId="27" borderId="0" xfId="0" applyFont="1" applyFill="1" applyAlignment="1">
      <alignment vertical="center"/>
    </xf>
    <xf numFmtId="0" fontId="60" fillId="27" borderId="13" xfId="0" applyFont="1" applyFill="1" applyBorder="1" applyAlignment="1">
      <alignment vertical="center"/>
    </xf>
    <xf numFmtId="0" fontId="61" fillId="27" borderId="12" xfId="0" applyFont="1" applyFill="1" applyBorder="1" applyAlignment="1">
      <alignment vertical="center"/>
    </xf>
    <xf numFmtId="0" fontId="53" fillId="0" borderId="18" xfId="0" applyFont="1" applyBorder="1" applyAlignment="1">
      <alignment horizontal="left"/>
    </xf>
    <xf numFmtId="0" fontId="53" fillId="0" borderId="19" xfId="0" applyFont="1" applyBorder="1" applyAlignment="1">
      <alignment horizontal="left"/>
    </xf>
    <xf numFmtId="0" fontId="53" fillId="0" borderId="24" xfId="0" applyFont="1" applyBorder="1"/>
    <xf numFmtId="0" fontId="53" fillId="0" borderId="12" xfId="0" applyFont="1" applyBorder="1" applyAlignment="1">
      <alignment horizontal="left"/>
    </xf>
    <xf numFmtId="0" fontId="53" fillId="0" borderId="115" xfId="0" applyFont="1" applyBorder="1" applyAlignment="1">
      <alignment horizontal="left"/>
    </xf>
    <xf numFmtId="0" fontId="53" fillId="0" borderId="0" xfId="0" applyFont="1" applyAlignment="1">
      <alignment horizontal="left"/>
    </xf>
    <xf numFmtId="0" fontId="53" fillId="0" borderId="116" xfId="0" applyFont="1" applyBorder="1" applyAlignment="1">
      <alignment horizontal="left"/>
    </xf>
    <xf numFmtId="175" fontId="53" fillId="0" borderId="14" xfId="44" applyNumberFormat="1" applyFont="1" applyBorder="1"/>
    <xf numFmtId="175" fontId="53" fillId="0" borderId="135" xfId="44" applyNumberFormat="1" applyFont="1" applyBorder="1"/>
    <xf numFmtId="182" fontId="53" fillId="0" borderId="12" xfId="0" applyNumberFormat="1" applyFont="1" applyBorder="1"/>
    <xf numFmtId="2" fontId="44" fillId="22" borderId="0" xfId="0" applyNumberFormat="1" applyFont="1" applyFill="1" applyAlignment="1">
      <alignment vertical="center"/>
    </xf>
    <xf numFmtId="184" fontId="53" fillId="0" borderId="12" xfId="0" applyNumberFormat="1" applyFont="1" applyBorder="1"/>
    <xf numFmtId="0" fontId="53" fillId="0" borderId="0" xfId="0" applyFont="1" applyAlignment="1">
      <alignment horizontal="center"/>
    </xf>
    <xf numFmtId="0" fontId="0" fillId="0" borderId="16" xfId="0" applyBorder="1" applyAlignment="1">
      <alignment horizontal="center"/>
    </xf>
    <xf numFmtId="0" fontId="0" fillId="0" borderId="10" xfId="0" applyBorder="1" applyAlignment="1">
      <alignment horizontal="center"/>
    </xf>
    <xf numFmtId="0" fontId="27" fillId="0" borderId="16" xfId="0" applyFont="1" applyBorder="1" applyAlignment="1">
      <alignment horizontal="center"/>
    </xf>
    <xf numFmtId="0" fontId="0" fillId="0" borderId="21" xfId="0" applyBorder="1" applyAlignment="1">
      <alignment horizontal="center"/>
    </xf>
    <xf numFmtId="0" fontId="0" fillId="0" borderId="24" xfId="0" applyBorder="1" applyAlignment="1">
      <alignment horizontal="center"/>
    </xf>
    <xf numFmtId="0" fontId="0" fillId="0" borderId="19" xfId="0" applyBorder="1" applyAlignment="1">
      <alignment horizontal="center"/>
    </xf>
    <xf numFmtId="0" fontId="0" fillId="0" borderId="127" xfId="0" applyBorder="1" applyAlignment="1">
      <alignment horizontal="center"/>
    </xf>
    <xf numFmtId="0" fontId="54" fillId="0" borderId="24" xfId="0" applyFont="1" applyBorder="1"/>
    <xf numFmtId="9" fontId="53" fillId="0" borderId="12" xfId="0" applyNumberFormat="1" applyFont="1" applyBorder="1"/>
    <xf numFmtId="0" fontId="44" fillId="22" borderId="0" xfId="0" quotePrefix="1" applyFont="1" applyFill="1" applyAlignment="1">
      <alignment vertical="center"/>
    </xf>
    <xf numFmtId="0" fontId="53" fillId="23" borderId="115" xfId="0" applyFont="1" applyFill="1" applyBorder="1"/>
    <xf numFmtId="0" fontId="0" fillId="0" borderId="18" xfId="0" applyBorder="1" applyAlignment="1">
      <alignment horizontal="center"/>
    </xf>
    <xf numFmtId="0" fontId="53" fillId="0" borderId="19" xfId="0" applyFont="1" applyBorder="1" applyAlignment="1">
      <alignment horizontal="center"/>
    </xf>
    <xf numFmtId="0" fontId="53" fillId="0" borderId="12" xfId="0" applyFont="1" applyBorder="1" applyAlignment="1">
      <alignment horizontal="center"/>
    </xf>
    <xf numFmtId="0" fontId="53" fillId="23" borderId="13" xfId="0" applyFont="1" applyFill="1" applyBorder="1" applyAlignment="1">
      <alignment horizontal="center"/>
    </xf>
    <xf numFmtId="0" fontId="53" fillId="23" borderId="12" xfId="0" applyFont="1" applyFill="1" applyBorder="1" applyAlignment="1">
      <alignment horizontal="center"/>
    </xf>
    <xf numFmtId="0" fontId="53" fillId="0" borderId="13" xfId="0" applyFont="1" applyBorder="1" applyAlignment="1">
      <alignment horizontal="center"/>
    </xf>
    <xf numFmtId="0" fontId="53" fillId="23" borderId="114" xfId="0" applyFont="1" applyFill="1" applyBorder="1" applyAlignment="1">
      <alignment horizontal="center"/>
    </xf>
    <xf numFmtId="0" fontId="53" fillId="23" borderId="115" xfId="0" applyFont="1" applyFill="1" applyBorder="1" applyAlignment="1">
      <alignment horizontal="center"/>
    </xf>
    <xf numFmtId="0" fontId="27" fillId="0" borderId="22" xfId="0" applyFont="1" applyBorder="1" applyAlignment="1">
      <alignment horizontal="center"/>
    </xf>
    <xf numFmtId="0" fontId="27" fillId="0" borderId="20" xfId="0" applyFont="1" applyBorder="1" applyAlignment="1">
      <alignment horizontal="center"/>
    </xf>
    <xf numFmtId="0" fontId="51" fillId="0" borderId="0" xfId="0" applyFont="1" applyAlignment="1">
      <alignment vertical="center"/>
    </xf>
    <xf numFmtId="0" fontId="5" fillId="0" borderId="0" xfId="0" applyFont="1" applyAlignment="1">
      <alignment vertical="center"/>
    </xf>
    <xf numFmtId="0" fontId="53" fillId="0" borderId="14" xfId="0" quotePrefix="1" applyFont="1" applyBorder="1" applyAlignment="1">
      <alignment horizontal="right"/>
    </xf>
    <xf numFmtId="171" fontId="119" fillId="0" borderId="0" xfId="0" quotePrefix="1" applyNumberFormat="1" applyFont="1" applyAlignment="1">
      <alignment horizontal="right" vertical="center"/>
    </xf>
    <xf numFmtId="0" fontId="53" fillId="22" borderId="20" xfId="0" applyFont="1" applyFill="1" applyBorder="1"/>
    <xf numFmtId="0" fontId="53" fillId="23" borderId="20" xfId="0" applyFont="1" applyFill="1" applyBorder="1"/>
    <xf numFmtId="0" fontId="53" fillId="22" borderId="14" xfId="0" applyFont="1" applyFill="1" applyBorder="1"/>
    <xf numFmtId="0" fontId="53" fillId="22" borderId="127" xfId="0" applyFont="1" applyFill="1" applyBorder="1"/>
    <xf numFmtId="0" fontId="53" fillId="23" borderId="14" xfId="0" applyFont="1" applyFill="1" applyBorder="1"/>
    <xf numFmtId="0" fontId="53" fillId="23" borderId="127" xfId="0" applyFont="1" applyFill="1" applyBorder="1"/>
    <xf numFmtId="49" fontId="53" fillId="23" borderId="20" xfId="0" applyNumberFormat="1" applyFont="1" applyFill="1" applyBorder="1" applyAlignment="1">
      <alignment horizontal="right"/>
    </xf>
    <xf numFmtId="0" fontId="53" fillId="23" borderId="10" xfId="0" applyFont="1" applyFill="1" applyBorder="1"/>
    <xf numFmtId="0" fontId="53" fillId="23" borderId="14" xfId="44" applyNumberFormat="1" applyFont="1" applyFill="1" applyBorder="1" applyAlignment="1">
      <alignment horizontal="right"/>
    </xf>
    <xf numFmtId="0" fontId="53" fillId="23" borderId="10" xfId="44" applyNumberFormat="1" applyFont="1" applyFill="1" applyBorder="1" applyAlignment="1">
      <alignment horizontal="right"/>
    </xf>
    <xf numFmtId="0" fontId="53" fillId="23" borderId="127" xfId="44" applyNumberFormat="1" applyFont="1" applyFill="1" applyBorder="1" applyAlignment="1">
      <alignment horizontal="right"/>
    </xf>
    <xf numFmtId="0" fontId="53" fillId="22" borderId="10" xfId="0" applyFont="1" applyFill="1" applyBorder="1"/>
    <xf numFmtId="1" fontId="53" fillId="0" borderId="12" xfId="44" applyNumberFormat="1" applyFont="1" applyBorder="1"/>
    <xf numFmtId="0" fontId="53" fillId="0" borderId="127" xfId="0" quotePrefix="1" applyFont="1" applyBorder="1" applyAlignment="1">
      <alignment horizontal="right"/>
    </xf>
    <xf numFmtId="0" fontId="53" fillId="0" borderId="127" xfId="0" applyFont="1" applyBorder="1" applyAlignment="1">
      <alignment horizontal="right"/>
    </xf>
    <xf numFmtId="0" fontId="53" fillId="22" borderId="14" xfId="0" applyFont="1" applyFill="1" applyBorder="1" applyAlignment="1">
      <alignment horizontal="right"/>
    </xf>
    <xf numFmtId="185" fontId="0" fillId="29" borderId="146" xfId="0" applyNumberFormat="1" applyFill="1" applyBorder="1" applyAlignment="1">
      <alignment horizontal="left"/>
    </xf>
    <xf numFmtId="0" fontId="0" fillId="58" borderId="147" xfId="0" applyFill="1" applyBorder="1" applyAlignment="1">
      <alignment horizontal="center" vertical="center" textRotation="180"/>
    </xf>
    <xf numFmtId="0" fontId="0" fillId="61" borderId="147" xfId="0" applyFill="1" applyBorder="1" applyAlignment="1">
      <alignment horizontal="center" vertical="center"/>
    </xf>
    <xf numFmtId="0" fontId="0" fillId="0" borderId="116" xfId="0" applyBorder="1"/>
    <xf numFmtId="1" fontId="4" fillId="0" borderId="46" xfId="0" applyNumberFormat="1" applyFont="1" applyBorder="1" applyAlignment="1">
      <alignment horizontal="right" vertical="center" wrapText="1"/>
    </xf>
    <xf numFmtId="0" fontId="54" fillId="0" borderId="16" xfId="0" applyFont="1" applyBorder="1" applyAlignment="1">
      <alignment horizontal="left"/>
    </xf>
    <xf numFmtId="0" fontId="53" fillId="0" borderId="0" xfId="0" applyFont="1" applyAlignment="1">
      <alignment horizontal="left" vertical="top"/>
    </xf>
    <xf numFmtId="0" fontId="53" fillId="0" borderId="22" xfId="0" applyFont="1" applyBorder="1" applyAlignment="1">
      <alignment horizontal="left"/>
    </xf>
    <xf numFmtId="0" fontId="54" fillId="0" borderId="0" xfId="0" applyFont="1" applyAlignment="1">
      <alignment horizontal="left"/>
    </xf>
    <xf numFmtId="0" fontId="54" fillId="0" borderId="18" xfId="0" applyFont="1" applyBorder="1" applyAlignment="1">
      <alignment horizontal="left"/>
    </xf>
    <xf numFmtId="0" fontId="53" fillId="0" borderId="18" xfId="0" quotePrefix="1" applyFont="1" applyBorder="1" applyAlignment="1">
      <alignment horizontal="left"/>
    </xf>
    <xf numFmtId="185" fontId="0" fillId="29" borderId="147" xfId="0" applyNumberFormat="1" applyFill="1" applyBorder="1" applyAlignment="1">
      <alignment horizontal="left"/>
    </xf>
    <xf numFmtId="185" fontId="44" fillId="29" borderId="147" xfId="0" applyNumberFormat="1" applyFont="1" applyFill="1" applyBorder="1" applyAlignment="1">
      <alignment horizontal="left"/>
    </xf>
    <xf numFmtId="185" fontId="60" fillId="29" borderId="147" xfId="0" applyNumberFormat="1" applyFont="1" applyFill="1" applyBorder="1" applyAlignment="1">
      <alignment horizontal="left"/>
    </xf>
    <xf numFmtId="185" fontId="66" fillId="29" borderId="147" xfId="0" applyNumberFormat="1" applyFont="1" applyFill="1" applyBorder="1" applyAlignment="1">
      <alignment horizontal="left"/>
    </xf>
    <xf numFmtId="185" fontId="62" fillId="29" borderId="147" xfId="0" applyNumberFormat="1" applyFont="1" applyFill="1" applyBorder="1" applyAlignment="1">
      <alignment horizontal="left"/>
    </xf>
    <xf numFmtId="2" fontId="44" fillId="0" borderId="0" xfId="0" applyNumberFormat="1" applyFont="1" applyAlignment="1">
      <alignment horizontal="center" vertical="center"/>
    </xf>
    <xf numFmtId="185" fontId="62" fillId="29" borderId="146" xfId="0" applyNumberFormat="1" applyFont="1" applyFill="1" applyBorder="1" applyAlignment="1">
      <alignment horizontal="left"/>
    </xf>
    <xf numFmtId="185" fontId="60" fillId="29" borderId="146" xfId="0" applyNumberFormat="1" applyFont="1" applyFill="1" applyBorder="1" applyAlignment="1">
      <alignment horizontal="left"/>
    </xf>
    <xf numFmtId="185" fontId="44" fillId="29" borderId="146" xfId="0" applyNumberFormat="1" applyFont="1" applyFill="1" applyBorder="1" applyAlignment="1">
      <alignment horizontal="left"/>
    </xf>
    <xf numFmtId="185" fontId="67" fillId="29" borderId="146" xfId="0" quotePrefix="1" applyNumberFormat="1" applyFont="1" applyFill="1" applyBorder="1" applyAlignment="1">
      <alignment horizontal="left"/>
    </xf>
    <xf numFmtId="185" fontId="67" fillId="29" borderId="146" xfId="0" applyNumberFormat="1" applyFont="1" applyFill="1" applyBorder="1" applyAlignment="1">
      <alignment horizontal="left"/>
    </xf>
    <xf numFmtId="185" fontId="44" fillId="29" borderId="146" xfId="0" quotePrefix="1" applyNumberFormat="1" applyFont="1" applyFill="1" applyBorder="1" applyAlignment="1">
      <alignment horizontal="left"/>
    </xf>
    <xf numFmtId="185" fontId="62" fillId="61" borderId="147" xfId="0" applyNumberFormat="1" applyFont="1" applyFill="1" applyBorder="1" applyAlignment="1">
      <alignment horizontal="center" vertical="center"/>
    </xf>
    <xf numFmtId="185" fontId="0" fillId="61" borderId="147" xfId="0" applyNumberFormat="1" applyFill="1" applyBorder="1" applyAlignment="1">
      <alignment horizontal="center" vertical="center"/>
    </xf>
    <xf numFmtId="185" fontId="61" fillId="61" borderId="147" xfId="0" applyNumberFormat="1" applyFont="1" applyFill="1" applyBorder="1" applyAlignment="1">
      <alignment horizontal="center" vertical="center"/>
    </xf>
    <xf numFmtId="185" fontId="60" fillId="61" borderId="147" xfId="0" applyNumberFormat="1" applyFont="1" applyFill="1" applyBorder="1" applyAlignment="1">
      <alignment horizontal="center" vertical="center"/>
    </xf>
    <xf numFmtId="185" fontId="44" fillId="61" borderId="147" xfId="0" applyNumberFormat="1" applyFont="1" applyFill="1" applyBorder="1" applyAlignment="1">
      <alignment horizontal="center" vertical="center"/>
    </xf>
    <xf numFmtId="185" fontId="44" fillId="61" borderId="147" xfId="0" quotePrefix="1" applyNumberFormat="1" applyFont="1" applyFill="1" applyBorder="1" applyAlignment="1">
      <alignment horizontal="center" vertical="center"/>
    </xf>
    <xf numFmtId="185" fontId="69" fillId="61" borderId="147" xfId="0" applyNumberFormat="1" applyFont="1" applyFill="1" applyBorder="1" applyAlignment="1">
      <alignment horizontal="center" vertical="center"/>
    </xf>
    <xf numFmtId="185" fontId="69" fillId="61" borderId="147" xfId="0" quotePrefix="1" applyNumberFormat="1" applyFont="1" applyFill="1" applyBorder="1" applyAlignment="1">
      <alignment horizontal="center" vertical="center"/>
    </xf>
    <xf numFmtId="185" fontId="66" fillId="61" borderId="147" xfId="0" quotePrefix="1" applyNumberFormat="1" applyFont="1" applyFill="1" applyBorder="1" applyAlignment="1">
      <alignment horizontal="center" vertical="center"/>
    </xf>
    <xf numFmtId="0" fontId="44" fillId="0" borderId="149" xfId="0" applyFont="1" applyBorder="1" applyAlignment="1">
      <alignment vertical="center"/>
    </xf>
    <xf numFmtId="185" fontId="62" fillId="29" borderId="151" xfId="0" applyNumberFormat="1" applyFont="1" applyFill="1" applyBorder="1" applyAlignment="1">
      <alignment horizontal="left"/>
    </xf>
    <xf numFmtId="185" fontId="0" fillId="29" borderId="151" xfId="0" applyNumberFormat="1" applyFill="1" applyBorder="1" applyAlignment="1">
      <alignment horizontal="left"/>
    </xf>
    <xf numFmtId="185" fontId="60" fillId="29" borderId="151" xfId="0" applyNumberFormat="1" applyFont="1" applyFill="1" applyBorder="1" applyAlignment="1">
      <alignment horizontal="left"/>
    </xf>
    <xf numFmtId="185" fontId="44" fillId="29" borderId="151" xfId="0" applyNumberFormat="1" applyFont="1" applyFill="1" applyBorder="1" applyAlignment="1">
      <alignment horizontal="left"/>
    </xf>
    <xf numFmtId="185" fontId="69" fillId="29" borderId="151" xfId="0" applyNumberFormat="1" applyFont="1" applyFill="1" applyBorder="1" applyAlignment="1">
      <alignment horizontal="left"/>
    </xf>
    <xf numFmtId="185" fontId="52" fillId="29" borderId="151" xfId="0" applyNumberFormat="1" applyFont="1" applyFill="1" applyBorder="1" applyAlignment="1">
      <alignment horizontal="left"/>
    </xf>
    <xf numFmtId="0" fontId="0" fillId="0" borderId="114" xfId="0" applyBorder="1"/>
    <xf numFmtId="0" fontId="44" fillId="58" borderId="148" xfId="0" applyFont="1" applyFill="1" applyBorder="1" applyAlignment="1">
      <alignment horizontal="center" vertical="center"/>
    </xf>
    <xf numFmtId="0" fontId="44" fillId="58" borderId="150" xfId="0" applyFont="1" applyFill="1" applyBorder="1" applyAlignment="1">
      <alignment horizontal="center" vertical="center"/>
    </xf>
    <xf numFmtId="0" fontId="49" fillId="23" borderId="0" xfId="0" applyFont="1" applyFill="1" applyAlignment="1">
      <alignment horizontal="left" vertical="center" wrapText="1"/>
    </xf>
    <xf numFmtId="0" fontId="53" fillId="0" borderId="115" xfId="0" applyFont="1" applyBorder="1" applyAlignment="1">
      <alignment horizontal="right"/>
    </xf>
    <xf numFmtId="0" fontId="53" fillId="0" borderId="21" xfId="0" applyFont="1" applyBorder="1" applyAlignment="1">
      <alignment horizontal="right"/>
    </xf>
    <xf numFmtId="0" fontId="53" fillId="0" borderId="20" xfId="0" applyFont="1" applyBorder="1" applyAlignment="1">
      <alignment horizontal="right"/>
    </xf>
    <xf numFmtId="9" fontId="53" fillId="0" borderId="20" xfId="44" applyFont="1" applyBorder="1" applyAlignment="1">
      <alignment horizontal="right"/>
    </xf>
    <xf numFmtId="1" fontId="53" fillId="0" borderId="10" xfId="44" applyNumberFormat="1" applyFont="1" applyBorder="1"/>
    <xf numFmtId="0" fontId="104" fillId="0" borderId="0" xfId="0" applyFont="1" applyAlignment="1">
      <alignment vertical="center" wrapText="1"/>
    </xf>
    <xf numFmtId="0" fontId="90" fillId="0" borderId="0" xfId="0" applyFont="1" applyAlignment="1">
      <alignment vertical="center"/>
    </xf>
    <xf numFmtId="0" fontId="87" fillId="0" borderId="13" xfId="0" applyFont="1" applyBorder="1" applyAlignment="1">
      <alignment horizontal="center" vertical="center"/>
    </xf>
    <xf numFmtId="0" fontId="87" fillId="0" borderId="0" xfId="0" applyFont="1" applyAlignment="1">
      <alignment horizontal="center" vertical="center"/>
    </xf>
    <xf numFmtId="0" fontId="51" fillId="0" borderId="0" xfId="0" applyFont="1" applyAlignment="1">
      <alignment horizontal="right" vertical="center"/>
    </xf>
    <xf numFmtId="0" fontId="98" fillId="0" borderId="91" xfId="0" applyFont="1" applyBorder="1" applyAlignment="1">
      <alignment horizontal="right" vertical="center"/>
    </xf>
    <xf numFmtId="0" fontId="99" fillId="0" borderId="0" xfId="0" applyFont="1" applyAlignment="1">
      <alignment horizontal="right" vertical="center"/>
    </xf>
    <xf numFmtId="0" fontId="97" fillId="0" borderId="13" xfId="0" applyFont="1" applyBorder="1" applyAlignment="1">
      <alignment vertical="center"/>
    </xf>
    <xf numFmtId="10" fontId="90" fillId="23" borderId="0" xfId="44" applyNumberFormat="1" applyFont="1" applyFill="1" applyAlignment="1">
      <alignment vertical="center"/>
    </xf>
    <xf numFmtId="0" fontId="72" fillId="0" borderId="0" xfId="0" applyFont="1"/>
    <xf numFmtId="0" fontId="107" fillId="0" borderId="0" xfId="0" applyFont="1" applyAlignment="1">
      <alignment horizontal="right" vertical="center"/>
    </xf>
    <xf numFmtId="0" fontId="53" fillId="0" borderId="0" xfId="0" applyFont="1" applyAlignment="1">
      <alignment vertical="top" wrapText="1"/>
    </xf>
    <xf numFmtId="0" fontId="120" fillId="22" borderId="19" xfId="0" applyFont="1" applyFill="1" applyBorder="1" applyAlignment="1">
      <alignment horizontal="right" vertical="center"/>
    </xf>
    <xf numFmtId="0" fontId="87" fillId="23" borderId="24" xfId="0" applyFont="1" applyFill="1" applyBorder="1" applyAlignment="1">
      <alignment vertical="center"/>
    </xf>
    <xf numFmtId="0" fontId="88" fillId="0" borderId="23" xfId="0" applyFont="1" applyBorder="1" applyAlignment="1">
      <alignment vertical="center"/>
    </xf>
    <xf numFmtId="0" fontId="89" fillId="22" borderId="23" xfId="0" applyFont="1" applyFill="1" applyBorder="1" applyAlignment="1">
      <alignment horizontal="right"/>
    </xf>
    <xf numFmtId="0" fontId="91" fillId="23" borderId="13" xfId="0" applyFont="1" applyFill="1" applyBorder="1" applyAlignment="1">
      <alignment vertical="center"/>
    </xf>
    <xf numFmtId="0" fontId="90" fillId="0" borderId="18" xfId="0" applyFont="1" applyBorder="1"/>
    <xf numFmtId="0" fontId="90" fillId="0" borderId="18" xfId="0" applyFont="1" applyBorder="1" applyAlignment="1">
      <alignment vertical="center"/>
    </xf>
    <xf numFmtId="0" fontId="90" fillId="0" borderId="0" xfId="0" applyFont="1"/>
    <xf numFmtId="0" fontId="92" fillId="22" borderId="13" xfId="0" applyFont="1" applyFill="1" applyBorder="1" applyAlignment="1">
      <alignment vertical="center"/>
    </xf>
    <xf numFmtId="0" fontId="90" fillId="22" borderId="0" xfId="0" applyFont="1" applyFill="1" applyAlignment="1">
      <alignment vertical="center"/>
    </xf>
    <xf numFmtId="0" fontId="92" fillId="22" borderId="0" xfId="0" applyFont="1" applyFill="1" applyAlignment="1">
      <alignment vertical="center"/>
    </xf>
    <xf numFmtId="0" fontId="90" fillId="22" borderId="12" xfId="0" applyFont="1" applyFill="1" applyBorder="1" applyAlignment="1">
      <alignment vertical="center"/>
    </xf>
    <xf numFmtId="0" fontId="92" fillId="22" borderId="0" xfId="0" applyFont="1" applyFill="1" applyAlignment="1">
      <alignment horizontal="left" vertical="center"/>
    </xf>
    <xf numFmtId="0" fontId="94" fillId="0" borderId="0" xfId="45" applyFont="1" applyAlignment="1" applyProtection="1">
      <alignment vertical="center"/>
    </xf>
    <xf numFmtId="0" fontId="91" fillId="22" borderId="13" xfId="0" applyFont="1" applyFill="1" applyBorder="1" applyAlignment="1">
      <alignment vertical="top" wrapText="1"/>
    </xf>
    <xf numFmtId="0" fontId="91" fillId="22" borderId="0" xfId="0" applyFont="1" applyFill="1" applyAlignment="1">
      <alignment vertical="top" wrapText="1"/>
    </xf>
    <xf numFmtId="0" fontId="91" fillId="22" borderId="12" xfId="0" applyFont="1" applyFill="1" applyBorder="1" applyAlignment="1">
      <alignment vertical="top" wrapText="1"/>
    </xf>
    <xf numFmtId="0" fontId="90" fillId="23" borderId="13" xfId="0" applyFont="1" applyFill="1" applyBorder="1" applyAlignment="1">
      <alignment horizontal="left" vertical="center"/>
    </xf>
    <xf numFmtId="0" fontId="90" fillId="23" borderId="0" xfId="0" applyFont="1" applyFill="1" applyAlignment="1">
      <alignment horizontal="left" vertical="center"/>
    </xf>
    <xf numFmtId="0" fontId="90" fillId="23" borderId="12" xfId="0" applyFont="1" applyFill="1" applyBorder="1" applyAlignment="1">
      <alignment horizontal="left" vertical="center"/>
    </xf>
    <xf numFmtId="0" fontId="87" fillId="24" borderId="13" xfId="0" applyFont="1" applyFill="1" applyBorder="1" applyAlignment="1">
      <alignment vertical="center"/>
    </xf>
    <xf numFmtId="0" fontId="95" fillId="24" borderId="0" xfId="0" applyFont="1" applyFill="1" applyAlignment="1">
      <alignment vertical="center"/>
    </xf>
    <xf numFmtId="0" fontId="90" fillId="0" borderId="13" xfId="0" applyFont="1" applyBorder="1" applyAlignment="1">
      <alignment horizontal="left" vertical="top" wrapText="1"/>
    </xf>
    <xf numFmtId="0" fontId="90" fillId="0" borderId="0" xfId="0" applyFont="1" applyAlignment="1">
      <alignment horizontal="left" vertical="top" wrapText="1"/>
    </xf>
    <xf numFmtId="0" fontId="90" fillId="0" borderId="12" xfId="0" applyFont="1" applyBorder="1" applyAlignment="1">
      <alignment horizontal="left" vertical="top" wrapText="1"/>
    </xf>
    <xf numFmtId="0" fontId="96" fillId="22" borderId="13" xfId="0" applyFont="1" applyFill="1" applyBorder="1" applyAlignment="1">
      <alignment vertical="center"/>
    </xf>
    <xf numFmtId="0" fontId="91" fillId="22" borderId="0" xfId="0" applyFont="1" applyFill="1" applyAlignment="1">
      <alignment horizontal="center" vertical="center"/>
    </xf>
    <xf numFmtId="0" fontId="91" fillId="0" borderId="13" xfId="0" applyFont="1" applyBorder="1" applyAlignment="1">
      <alignment horizontal="center" vertical="center" wrapText="1"/>
    </xf>
    <xf numFmtId="0" fontId="90" fillId="0" borderId="0" xfId="0" applyFont="1" applyAlignment="1">
      <alignment horizontal="center" wrapText="1"/>
    </xf>
    <xf numFmtId="0" fontId="90" fillId="0" borderId="0" xfId="0" applyFont="1" applyAlignment="1">
      <alignment horizontal="center" vertical="center"/>
    </xf>
    <xf numFmtId="0" fontId="90" fillId="0" borderId="12" xfId="0" applyFont="1" applyBorder="1" applyAlignment="1">
      <alignment horizontal="center" vertical="center"/>
    </xf>
    <xf numFmtId="0" fontId="98" fillId="0" borderId="0" xfId="0" applyFont="1" applyAlignment="1">
      <alignment horizontal="right" vertical="center"/>
    </xf>
    <xf numFmtId="0" fontId="97" fillId="0" borderId="0" xfId="0" applyFont="1" applyAlignment="1">
      <alignment vertical="center"/>
    </xf>
    <xf numFmtId="0" fontId="99" fillId="0" borderId="12" xfId="0" applyFont="1" applyBorder="1" applyAlignment="1">
      <alignment horizontal="right" vertical="center"/>
    </xf>
    <xf numFmtId="0" fontId="40" fillId="0" borderId="0" xfId="0" applyFont="1" applyAlignment="1">
      <alignment horizontal="right" vertical="center"/>
    </xf>
    <xf numFmtId="0" fontId="122" fillId="0" borderId="0" xfId="0" applyFont="1" applyAlignment="1">
      <alignment vertical="center"/>
    </xf>
    <xf numFmtId="0" fontId="97" fillId="0" borderId="137" xfId="0" applyFont="1" applyBorder="1" applyAlignment="1">
      <alignment vertical="center"/>
    </xf>
    <xf numFmtId="0" fontId="40" fillId="0" borderId="112" xfId="0" applyFont="1" applyBorder="1" applyAlignment="1">
      <alignment horizontal="right" vertical="center"/>
    </xf>
    <xf numFmtId="0" fontId="98" fillId="0" borderId="12" xfId="0" applyFont="1" applyBorder="1" applyAlignment="1">
      <alignment horizontal="right" vertical="center"/>
    </xf>
    <xf numFmtId="0" fontId="91" fillId="0" borderId="0" xfId="0" applyFont="1" applyAlignment="1">
      <alignment horizontal="center" vertical="center"/>
    </xf>
    <xf numFmtId="0" fontId="91" fillId="0" borderId="12" xfId="0" applyFont="1" applyBorder="1" applyAlignment="1">
      <alignment horizontal="center" vertical="center"/>
    </xf>
    <xf numFmtId="0" fontId="100" fillId="0" borderId="12" xfId="0" applyFont="1" applyBorder="1" applyAlignment="1">
      <alignment horizontal="right" vertical="center"/>
    </xf>
    <xf numFmtId="0" fontId="90" fillId="23" borderId="0" xfId="0" applyFont="1" applyFill="1" applyAlignment="1">
      <alignment vertical="center"/>
    </xf>
    <xf numFmtId="0" fontId="100" fillId="0" borderId="0" xfId="0" applyFont="1" applyAlignment="1">
      <alignment horizontal="right" vertical="center"/>
    </xf>
    <xf numFmtId="0" fontId="90" fillId="0" borderId="13" xfId="0" applyFont="1" applyBorder="1" applyAlignment="1">
      <alignment vertical="center"/>
    </xf>
    <xf numFmtId="0" fontId="91" fillId="0" borderId="13" xfId="0" applyFont="1" applyBorder="1" applyAlignment="1">
      <alignment horizontal="center" vertical="center"/>
    </xf>
    <xf numFmtId="1" fontId="97" fillId="0" borderId="0" xfId="0" applyNumberFormat="1" applyFont="1" applyAlignment="1">
      <alignment horizontal="right" vertical="center"/>
    </xf>
    <xf numFmtId="9" fontId="101" fillId="0" borderId="0" xfId="0" applyNumberFormat="1" applyFont="1" applyAlignment="1">
      <alignment vertical="center"/>
    </xf>
    <xf numFmtId="0" fontId="87" fillId="0" borderId="12" xfId="0" applyFont="1" applyBorder="1" applyAlignment="1">
      <alignment horizontal="center" vertical="center"/>
    </xf>
    <xf numFmtId="9" fontId="99" fillId="0" borderId="12" xfId="0" applyNumberFormat="1" applyFont="1" applyBorder="1" applyAlignment="1">
      <alignment horizontal="right" vertical="center"/>
    </xf>
    <xf numFmtId="0" fontId="101" fillId="0" borderId="100" xfId="0" quotePrefix="1" applyFont="1" applyBorder="1" applyAlignment="1">
      <alignment horizontal="right" vertical="center"/>
    </xf>
    <xf numFmtId="9" fontId="100" fillId="0" borderId="0" xfId="0" applyNumberFormat="1" applyFont="1" applyAlignment="1">
      <alignment horizontal="right" vertical="center"/>
    </xf>
    <xf numFmtId="0" fontId="98" fillId="0" borderId="111" xfId="0" applyFont="1" applyBorder="1" applyAlignment="1">
      <alignment horizontal="right" vertical="center"/>
    </xf>
    <xf numFmtId="0" fontId="100" fillId="0" borderId="12" xfId="0" applyFont="1" applyBorder="1" applyAlignment="1">
      <alignment vertical="center"/>
    </xf>
    <xf numFmtId="9" fontId="102" fillId="0" borderId="0" xfId="44" applyFont="1"/>
    <xf numFmtId="0" fontId="102" fillId="0" borderId="12" xfId="44" applyNumberFormat="1" applyFont="1" applyBorder="1"/>
    <xf numFmtId="2" fontId="101" fillId="0" borderId="0" xfId="0" quotePrefix="1" applyNumberFormat="1" applyFont="1" applyAlignment="1">
      <alignment horizontal="right" vertical="center"/>
    </xf>
    <xf numFmtId="0" fontId="97" fillId="0" borderId="145" xfId="0" applyFont="1" applyBorder="1" applyAlignment="1">
      <alignment vertical="center"/>
    </xf>
    <xf numFmtId="0" fontId="90" fillId="0" borderId="12" xfId="0" applyFont="1" applyBorder="1" applyAlignment="1">
      <alignment vertical="center"/>
    </xf>
    <xf numFmtId="0" fontId="90" fillId="0" borderId="0" xfId="0" applyFont="1" applyAlignment="1">
      <alignment horizontal="center" vertical="top" wrapText="1"/>
    </xf>
    <xf numFmtId="0" fontId="99" fillId="0" borderId="0" xfId="0" applyFont="1" applyAlignment="1">
      <alignment horizontal="right" vertical="center" wrapText="1"/>
    </xf>
    <xf numFmtId="0" fontId="91" fillId="23" borderId="10" xfId="0" applyFont="1" applyFill="1" applyBorder="1" applyAlignment="1">
      <alignment vertical="center"/>
    </xf>
    <xf numFmtId="0" fontId="100" fillId="0" borderId="0" xfId="0" applyFont="1" applyAlignment="1">
      <alignment vertical="center"/>
    </xf>
    <xf numFmtId="9" fontId="100" fillId="0" borderId="116" xfId="0" applyNumberFormat="1" applyFont="1" applyBorder="1" applyAlignment="1">
      <alignment vertical="center"/>
    </xf>
    <xf numFmtId="9" fontId="100" fillId="0" borderId="12" xfId="0" applyNumberFormat="1" applyFont="1" applyBorder="1" applyAlignment="1">
      <alignment vertical="center"/>
    </xf>
    <xf numFmtId="0" fontId="97" fillId="0" borderId="24" xfId="0" applyFont="1" applyBorder="1" applyAlignment="1">
      <alignment vertical="center"/>
    </xf>
    <xf numFmtId="0" fontId="97" fillId="0" borderId="18" xfId="0" applyFont="1" applyBorder="1" applyAlignment="1">
      <alignment vertical="center"/>
    </xf>
    <xf numFmtId="0" fontId="98" fillId="0" borderId="19" xfId="0" applyFont="1" applyBorder="1" applyAlignment="1">
      <alignment horizontal="right" vertical="center"/>
    </xf>
    <xf numFmtId="0" fontId="97" fillId="0" borderId="114" xfId="0" applyFont="1" applyBorder="1" applyAlignment="1">
      <alignment vertical="center"/>
    </xf>
    <xf numFmtId="0" fontId="100" fillId="0" borderId="18" xfId="0" applyFont="1" applyBorder="1" applyAlignment="1">
      <alignment vertical="center"/>
    </xf>
    <xf numFmtId="0" fontId="101" fillId="0" borderId="12" xfId="0" applyFont="1" applyBorder="1" applyAlignment="1">
      <alignment horizontal="right" vertical="center"/>
    </xf>
    <xf numFmtId="0" fontId="101" fillId="0" borderId="116" xfId="0" applyFont="1" applyBorder="1" applyAlignment="1">
      <alignment horizontal="right" vertical="center"/>
    </xf>
    <xf numFmtId="0" fontId="97" fillId="0" borderId="116" xfId="0" applyFont="1" applyBorder="1" applyAlignment="1">
      <alignment vertical="center"/>
    </xf>
    <xf numFmtId="0" fontId="101" fillId="0" borderId="115" xfId="0" applyFont="1" applyBorder="1" applyAlignment="1">
      <alignment horizontal="right" vertical="center"/>
    </xf>
    <xf numFmtId="0" fontId="101" fillId="0" borderId="0" xfId="0" applyFont="1" applyAlignment="1">
      <alignment vertical="center"/>
    </xf>
    <xf numFmtId="0" fontId="101" fillId="0" borderId="12" xfId="0" applyFont="1" applyBorder="1" applyAlignment="1">
      <alignment vertical="center"/>
    </xf>
    <xf numFmtId="0" fontId="97" fillId="0" borderId="97" xfId="0" applyFont="1" applyBorder="1" applyAlignment="1">
      <alignment vertical="center"/>
    </xf>
    <xf numFmtId="0" fontId="98" fillId="0" borderId="62" xfId="0" applyFont="1" applyBorder="1" applyAlignment="1">
      <alignment horizontal="right" vertical="center"/>
    </xf>
    <xf numFmtId="0" fontId="97" fillId="0" borderId="94" xfId="0" applyFont="1" applyBorder="1" applyAlignment="1">
      <alignment vertical="center"/>
    </xf>
    <xf numFmtId="0" fontId="98" fillId="0" borderId="101" xfId="0" applyFont="1" applyBorder="1" applyAlignment="1">
      <alignment horizontal="right" vertical="center"/>
    </xf>
    <xf numFmtId="0" fontId="97" fillId="0" borderId="121" xfId="0" applyFont="1" applyBorder="1" applyAlignment="1">
      <alignment vertical="center"/>
    </xf>
    <xf numFmtId="0" fontId="98" fillId="0" borderId="103" xfId="0" applyFont="1" applyBorder="1" applyAlignment="1">
      <alignment horizontal="right" vertical="center"/>
    </xf>
    <xf numFmtId="0" fontId="97" fillId="0" borderId="89" xfId="0" applyFont="1" applyBorder="1" applyAlignment="1">
      <alignment vertical="center"/>
    </xf>
    <xf numFmtId="0" fontId="98" fillId="0" borderId="100" xfId="0" applyFont="1" applyBorder="1" applyAlignment="1">
      <alignment horizontal="right" vertical="center"/>
    </xf>
    <xf numFmtId="9" fontId="100" fillId="0" borderId="18" xfId="44" applyFont="1" applyBorder="1" applyAlignment="1">
      <alignment vertical="center"/>
    </xf>
    <xf numFmtId="2" fontId="100" fillId="0" borderId="96" xfId="0" applyNumberFormat="1" applyFont="1" applyBorder="1" applyAlignment="1">
      <alignment horizontal="right" vertical="center"/>
    </xf>
    <xf numFmtId="2" fontId="100" fillId="0" borderId="101" xfId="0" applyNumberFormat="1" applyFont="1" applyBorder="1" applyAlignment="1">
      <alignment horizontal="right" vertical="center"/>
    </xf>
    <xf numFmtId="0" fontId="97" fillId="0" borderId="103" xfId="0" applyFont="1" applyBorder="1" applyAlignment="1">
      <alignment vertical="center"/>
    </xf>
    <xf numFmtId="2" fontId="100" fillId="0" borderId="102" xfId="0" applyNumberFormat="1" applyFont="1" applyBorder="1" applyAlignment="1">
      <alignment horizontal="right" vertical="center"/>
    </xf>
    <xf numFmtId="0" fontId="52" fillId="0" borderId="138" xfId="0" applyFont="1" applyBorder="1" applyAlignment="1">
      <alignment vertical="center"/>
    </xf>
    <xf numFmtId="0" fontId="52" fillId="0" borderId="133" xfId="0" applyFont="1" applyBorder="1" applyAlignment="1">
      <alignment vertical="center"/>
    </xf>
    <xf numFmtId="0" fontId="97" fillId="0" borderId="106" xfId="0" applyFont="1" applyBorder="1" applyAlignment="1">
      <alignment vertical="center"/>
    </xf>
    <xf numFmtId="2" fontId="40" fillId="0" borderId="107" xfId="0" applyNumberFormat="1" applyFont="1" applyBorder="1" applyAlignment="1">
      <alignment horizontal="right" vertical="center"/>
    </xf>
    <xf numFmtId="0" fontId="97" fillId="0" borderId="105" xfId="0" applyFont="1" applyBorder="1" applyAlignment="1">
      <alignment vertical="center"/>
    </xf>
    <xf numFmtId="2" fontId="98" fillId="0" borderId="108" xfId="0" applyNumberFormat="1" applyFont="1" applyBorder="1" applyAlignment="1">
      <alignment horizontal="right" vertical="center"/>
    </xf>
    <xf numFmtId="2" fontId="98" fillId="0" borderId="0" xfId="0" applyNumberFormat="1" applyFont="1" applyAlignment="1">
      <alignment horizontal="right" vertical="center"/>
    </xf>
    <xf numFmtId="0" fontId="97" fillId="0" borderId="139" xfId="0" applyFont="1" applyBorder="1" applyAlignment="1">
      <alignment vertical="center"/>
    </xf>
    <xf numFmtId="2" fontId="98" fillId="0" borderId="12" xfId="0" applyNumberFormat="1" applyFont="1" applyBorder="1" applyAlignment="1">
      <alignment horizontal="right" vertical="center"/>
    </xf>
    <xf numFmtId="2" fontId="101" fillId="0" borderId="0" xfId="0" applyNumberFormat="1" applyFont="1" applyAlignment="1">
      <alignment horizontal="right" vertical="center"/>
    </xf>
    <xf numFmtId="2" fontId="101" fillId="0" borderId="12" xfId="0" applyNumberFormat="1" applyFont="1" applyBorder="1" applyAlignment="1">
      <alignment horizontal="right" vertical="center"/>
    </xf>
    <xf numFmtId="9" fontId="99" fillId="0" borderId="0" xfId="0" applyNumberFormat="1" applyFont="1" applyAlignment="1">
      <alignment horizontal="right" vertical="center"/>
    </xf>
    <xf numFmtId="2" fontId="101" fillId="23" borderId="0" xfId="0" applyNumberFormat="1" applyFont="1" applyFill="1" applyAlignment="1">
      <alignment horizontal="right" vertical="center"/>
    </xf>
    <xf numFmtId="0" fontId="101" fillId="23" borderId="0" xfId="0" applyFont="1" applyFill="1" applyAlignment="1">
      <alignment vertical="center"/>
    </xf>
    <xf numFmtId="2" fontId="101" fillId="23" borderId="12" xfId="0" applyNumberFormat="1" applyFont="1" applyFill="1" applyBorder="1" applyAlignment="1">
      <alignment horizontal="right" vertical="center"/>
    </xf>
    <xf numFmtId="9" fontId="100" fillId="0" borderId="0" xfId="0" applyNumberFormat="1" applyFont="1" applyAlignment="1">
      <alignment vertical="center"/>
    </xf>
    <xf numFmtId="0" fontId="98" fillId="0" borderId="18" xfId="0" applyFont="1" applyBorder="1" applyAlignment="1">
      <alignment horizontal="right" vertical="center"/>
    </xf>
    <xf numFmtId="0" fontId="97" fillId="0" borderId="98" xfId="0" applyFont="1" applyBorder="1" applyAlignment="1">
      <alignment vertical="center"/>
    </xf>
    <xf numFmtId="0" fontId="98" fillId="0" borderId="95" xfId="0" applyFont="1" applyBorder="1" applyAlignment="1">
      <alignment horizontal="right" vertical="center"/>
    </xf>
    <xf numFmtId="9" fontId="100" fillId="0" borderId="19" xfId="44" applyFont="1" applyBorder="1" applyAlignment="1">
      <alignment vertical="center"/>
    </xf>
    <xf numFmtId="2" fontId="100" fillId="0" borderId="94" xfId="0" applyNumberFormat="1" applyFont="1" applyBorder="1" applyAlignment="1">
      <alignment horizontal="right" vertical="center"/>
    </xf>
    <xf numFmtId="0" fontId="97" fillId="0" borderId="128" xfId="0" applyFont="1" applyBorder="1" applyAlignment="1">
      <alignment vertical="center"/>
    </xf>
    <xf numFmtId="0" fontId="97" fillId="0" borderId="104" xfId="0" applyFont="1" applyBorder="1" applyAlignment="1">
      <alignment vertical="center"/>
    </xf>
    <xf numFmtId="2" fontId="98" fillId="0" borderId="105" xfId="0" applyNumberFormat="1" applyFont="1" applyBorder="1" applyAlignment="1">
      <alignment horizontal="right" vertical="center"/>
    </xf>
    <xf numFmtId="0" fontId="97" fillId="0" borderId="109" xfId="0" applyFont="1" applyBorder="1" applyAlignment="1">
      <alignment vertical="center"/>
    </xf>
    <xf numFmtId="2" fontId="98" fillId="0" borderId="18" xfId="0" applyNumberFormat="1" applyFont="1" applyBorder="1" applyAlignment="1">
      <alignment horizontal="right" vertical="center"/>
    </xf>
    <xf numFmtId="0" fontId="101" fillId="23" borderId="13" xfId="0" applyFont="1" applyFill="1" applyBorder="1" applyAlignment="1">
      <alignment vertical="center"/>
    </xf>
    <xf numFmtId="0" fontId="99" fillId="23" borderId="0" xfId="0" applyFont="1" applyFill="1" applyAlignment="1">
      <alignment vertical="center"/>
    </xf>
    <xf numFmtId="0" fontId="99" fillId="23" borderId="12" xfId="0" applyFont="1" applyFill="1" applyBorder="1" applyAlignment="1">
      <alignment vertical="center"/>
    </xf>
    <xf numFmtId="0" fontId="90" fillId="23" borderId="12" xfId="0" applyFont="1" applyFill="1" applyBorder="1" applyAlignment="1">
      <alignment vertical="center"/>
    </xf>
    <xf numFmtId="0" fontId="101" fillId="0" borderId="0" xfId="0" applyFont="1" applyAlignment="1">
      <alignment horizontal="right" vertical="center"/>
    </xf>
    <xf numFmtId="0" fontId="105" fillId="0" borderId="13" xfId="0" applyFont="1" applyBorder="1" applyAlignment="1">
      <alignment horizontal="left" vertical="center" wrapText="1"/>
    </xf>
    <xf numFmtId="0" fontId="105" fillId="0" borderId="0" xfId="0" applyFont="1" applyAlignment="1">
      <alignment horizontal="left" vertical="center" wrapText="1"/>
    </xf>
    <xf numFmtId="0" fontId="105" fillId="0" borderId="12" xfId="0" applyFont="1" applyBorder="1" applyAlignment="1">
      <alignment horizontal="left" vertical="center" wrapText="1"/>
    </xf>
    <xf numFmtId="0" fontId="105" fillId="0" borderId="13" xfId="0" applyFont="1" applyBorder="1" applyAlignment="1">
      <alignment horizontal="center" vertical="center" wrapText="1"/>
    </xf>
    <xf numFmtId="0" fontId="105" fillId="0" borderId="0" xfId="0" applyFont="1" applyAlignment="1">
      <alignment horizontal="center" vertical="center" wrapText="1"/>
    </xf>
    <xf numFmtId="0" fontId="106" fillId="0" borderId="0" xfId="0" applyFont="1" applyAlignment="1">
      <alignment horizontal="right" vertical="center" wrapText="1"/>
    </xf>
    <xf numFmtId="0" fontId="104" fillId="0" borderId="0" xfId="0" applyFont="1" applyAlignment="1">
      <alignment horizontal="left" vertical="center" wrapText="1"/>
    </xf>
    <xf numFmtId="0" fontId="105" fillId="23" borderId="0" xfId="0" applyFont="1" applyFill="1" applyAlignment="1">
      <alignment vertical="center"/>
    </xf>
    <xf numFmtId="0" fontId="105" fillId="23" borderId="12" xfId="0" applyFont="1" applyFill="1" applyBorder="1" applyAlignment="1">
      <alignment vertical="center"/>
    </xf>
    <xf numFmtId="0" fontId="103" fillId="25" borderId="119" xfId="0" applyFont="1" applyFill="1" applyBorder="1" applyAlignment="1">
      <alignment horizontal="center" vertical="center"/>
    </xf>
    <xf numFmtId="0" fontId="103" fillId="25" borderId="113" xfId="0" applyFont="1" applyFill="1" applyBorder="1" applyAlignment="1">
      <alignment horizontal="center" vertical="center"/>
    </xf>
    <xf numFmtId="0" fontId="103" fillId="0" borderId="0" xfId="0" applyFont="1" applyAlignment="1">
      <alignment horizontal="center" vertical="center"/>
    </xf>
    <xf numFmtId="0" fontId="105" fillId="0" borderId="12" xfId="0" applyFont="1" applyBorder="1" applyAlignment="1">
      <alignment vertical="center"/>
    </xf>
    <xf numFmtId="0" fontId="90" fillId="0" borderId="134" xfId="0" applyFont="1" applyBorder="1" applyAlignment="1">
      <alignment vertical="center"/>
    </xf>
    <xf numFmtId="0" fontId="108" fillId="0" borderId="13" xfId="0" applyFont="1" applyBorder="1" applyAlignment="1">
      <alignment horizontal="left" vertical="center"/>
    </xf>
    <xf numFmtId="0" fontId="108" fillId="0" borderId="13" xfId="0" applyFont="1" applyBorder="1" applyAlignment="1">
      <alignment vertical="center"/>
    </xf>
    <xf numFmtId="0" fontId="105" fillId="0" borderId="0" xfId="0" applyFont="1" applyAlignment="1">
      <alignment vertical="center"/>
    </xf>
    <xf numFmtId="0" fontId="105" fillId="0" borderId="13" xfId="0" applyFont="1" applyBorder="1" applyAlignment="1">
      <alignment vertical="center"/>
    </xf>
    <xf numFmtId="0" fontId="101" fillId="0" borderId="0" xfId="0" quotePrefix="1" applyFont="1" applyAlignment="1">
      <alignment horizontal="right" vertical="center"/>
    </xf>
    <xf numFmtId="2" fontId="101" fillId="0" borderId="12" xfId="0" quotePrefix="1" applyNumberFormat="1" applyFont="1" applyBorder="1" applyAlignment="1">
      <alignment horizontal="right" vertical="center"/>
    </xf>
    <xf numFmtId="0" fontId="60" fillId="25" borderId="134" xfId="0" applyFont="1" applyFill="1" applyBorder="1" applyAlignment="1">
      <alignment horizontal="center" vertical="center"/>
    </xf>
    <xf numFmtId="0" fontId="60" fillId="25" borderId="141" xfId="0" applyFont="1" applyFill="1" applyBorder="1" applyAlignment="1">
      <alignment horizontal="center" vertical="center" wrapText="1"/>
    </xf>
    <xf numFmtId="2" fontId="97" fillId="0" borderId="12" xfId="0" applyNumberFormat="1" applyFont="1" applyBorder="1" applyAlignment="1">
      <alignment horizontal="right" vertical="center"/>
    </xf>
    <xf numFmtId="2" fontId="97" fillId="0" borderId="12" xfId="0" quotePrefix="1" applyNumberFormat="1" applyFont="1" applyBorder="1" applyAlignment="1">
      <alignment horizontal="right" vertical="center"/>
    </xf>
    <xf numFmtId="0" fontId="100" fillId="36" borderId="141" xfId="0" applyFont="1" applyFill="1" applyBorder="1" applyAlignment="1">
      <alignment vertical="center"/>
    </xf>
    <xf numFmtId="0" fontId="100" fillId="36" borderId="129" xfId="0" applyFont="1" applyFill="1" applyBorder="1" applyAlignment="1">
      <alignment vertical="center"/>
    </xf>
    <xf numFmtId="0" fontId="100" fillId="0" borderId="142" xfId="0" applyFont="1" applyBorder="1" applyAlignment="1">
      <alignment horizontal="right" vertical="center"/>
    </xf>
    <xf numFmtId="0" fontId="100" fillId="0" borderId="133" xfId="0" applyFont="1" applyBorder="1" applyAlignment="1">
      <alignment vertical="center"/>
    </xf>
    <xf numFmtId="0" fontId="100" fillId="36" borderId="89" xfId="0" applyFont="1" applyFill="1" applyBorder="1" applyAlignment="1">
      <alignment horizontal="right" vertical="center"/>
    </xf>
    <xf numFmtId="0" fontId="100" fillId="36" borderId="140" xfId="0" applyFont="1" applyFill="1" applyBorder="1" applyAlignment="1">
      <alignment vertical="center"/>
    </xf>
    <xf numFmtId="0" fontId="100" fillId="0" borderId="0" xfId="0" quotePrefix="1" applyFont="1" applyAlignment="1">
      <alignment horizontal="right" vertical="center"/>
    </xf>
    <xf numFmtId="0" fontId="44" fillId="0" borderId="13" xfId="0" applyFont="1" applyBorder="1" applyAlignment="1">
      <alignment horizontal="center" vertical="center"/>
    </xf>
    <xf numFmtId="0" fontId="90" fillId="0" borderId="0" xfId="0" quotePrefix="1" applyFont="1" applyAlignment="1">
      <alignment horizontal="right" vertical="center"/>
    </xf>
    <xf numFmtId="9" fontId="100" fillId="0" borderId="0" xfId="44" quotePrefix="1" applyFont="1" applyAlignment="1">
      <alignment horizontal="right" vertical="center"/>
    </xf>
    <xf numFmtId="9" fontId="51" fillId="0" borderId="0" xfId="44" quotePrefix="1" applyFont="1" applyAlignment="1">
      <alignment horizontal="right" vertical="center"/>
    </xf>
    <xf numFmtId="0" fontId="95" fillId="0" borderId="12" xfId="0" applyFont="1" applyBorder="1" applyAlignment="1">
      <alignment vertical="center"/>
    </xf>
    <xf numFmtId="0" fontId="90" fillId="23" borderId="13" xfId="0" applyFont="1" applyFill="1" applyBorder="1" applyAlignment="1">
      <alignment horizontal="left" vertical="top" wrapText="1"/>
    </xf>
    <xf numFmtId="0" fontId="90" fillId="23" borderId="0" xfId="0" applyFont="1" applyFill="1" applyAlignment="1">
      <alignment horizontal="left" vertical="top" wrapText="1"/>
    </xf>
    <xf numFmtId="0" fontId="90" fillId="23" borderId="12" xfId="0" applyFont="1" applyFill="1" applyBorder="1" applyAlignment="1">
      <alignment horizontal="left" vertical="top" wrapText="1"/>
    </xf>
    <xf numFmtId="0" fontId="87" fillId="0" borderId="0" xfId="0" applyFont="1" applyAlignment="1">
      <alignment horizontal="center" vertical="center" wrapText="1"/>
    </xf>
    <xf numFmtId="10" fontId="100" fillId="0" borderId="0" xfId="44" applyNumberFormat="1" applyFont="1" applyAlignment="1">
      <alignment vertical="center"/>
    </xf>
    <xf numFmtId="1" fontId="100" fillId="0" borderId="0" xfId="44" applyNumberFormat="1" applyFont="1" applyAlignment="1">
      <alignment vertical="center"/>
    </xf>
    <xf numFmtId="0" fontId="109" fillId="23" borderId="0" xfId="0" applyFont="1" applyFill="1" applyAlignment="1">
      <alignment vertical="center"/>
    </xf>
    <xf numFmtId="10" fontId="90" fillId="0" borderId="0" xfId="0" applyNumberFormat="1" applyFont="1" applyAlignment="1">
      <alignment vertical="center"/>
    </xf>
    <xf numFmtId="0" fontId="110" fillId="0" borderId="0" xfId="45" applyFont="1" applyAlignment="1" applyProtection="1">
      <alignment vertical="center"/>
    </xf>
    <xf numFmtId="0" fontId="112" fillId="0" borderId="13" xfId="0" applyFont="1" applyBorder="1" applyAlignment="1">
      <alignment horizontal="right" vertical="center"/>
    </xf>
    <xf numFmtId="10" fontId="113" fillId="0" borderId="0" xfId="0" applyNumberFormat="1" applyFont="1" applyAlignment="1">
      <alignment vertical="center"/>
    </xf>
    <xf numFmtId="0" fontId="111" fillId="0" borderId="0" xfId="0" applyFont="1"/>
    <xf numFmtId="0" fontId="50" fillId="0" borderId="13" xfId="0" applyFont="1" applyBorder="1" applyAlignment="1">
      <alignment horizontal="center" vertical="center" wrapText="1"/>
    </xf>
    <xf numFmtId="0" fontId="97" fillId="0" borderId="120" xfId="0" applyFont="1" applyBorder="1" applyAlignment="1">
      <alignment vertical="center"/>
    </xf>
    <xf numFmtId="0" fontId="105" fillId="0" borderId="136" xfId="0" applyFont="1" applyBorder="1" applyAlignment="1">
      <alignment horizontal="left" vertical="center" wrapText="1"/>
    </xf>
    <xf numFmtId="0" fontId="87" fillId="0" borderId="0" xfId="0" applyFont="1" applyAlignment="1">
      <alignment vertical="center"/>
    </xf>
    <xf numFmtId="0" fontId="87" fillId="24" borderId="24" xfId="0" applyFont="1" applyFill="1" applyBorder="1" applyAlignment="1">
      <alignment vertical="center"/>
    </xf>
    <xf numFmtId="0" fontId="87" fillId="24" borderId="18" xfId="0" applyFont="1" applyFill="1" applyBorder="1" applyAlignment="1">
      <alignment vertical="center"/>
    </xf>
    <xf numFmtId="0" fontId="91" fillId="0" borderId="0" xfId="0" applyFont="1" applyAlignment="1">
      <alignment horizontal="left" vertical="center"/>
    </xf>
    <xf numFmtId="0" fontId="91" fillId="0" borderId="13" xfId="0" applyFont="1" applyBorder="1" applyAlignment="1">
      <alignment horizontal="right" vertical="center"/>
    </xf>
    <xf numFmtId="10" fontId="91" fillId="0" borderId="0" xfId="0" applyNumberFormat="1" applyFont="1" applyAlignment="1">
      <alignment vertical="center"/>
    </xf>
    <xf numFmtId="0" fontId="91" fillId="0" borderId="12" xfId="0" applyFont="1" applyBorder="1" applyAlignment="1">
      <alignment horizontal="left" vertical="center"/>
    </xf>
    <xf numFmtId="1" fontId="90" fillId="0" borderId="0" xfId="44" applyNumberFormat="1" applyFont="1" applyAlignment="1">
      <alignment vertical="center"/>
    </xf>
    <xf numFmtId="0" fontId="44" fillId="0" borderId="13" xfId="0" applyFont="1" applyBorder="1" applyAlignment="1">
      <alignment horizontal="left" vertical="center"/>
    </xf>
    <xf numFmtId="0" fontId="87" fillId="25" borderId="113" xfId="0" applyFont="1" applyFill="1" applyBorder="1" applyAlignment="1">
      <alignment horizontal="center" vertical="center"/>
    </xf>
    <xf numFmtId="0" fontId="87" fillId="25" borderId="117" xfId="0" applyFont="1" applyFill="1" applyBorder="1" applyAlignment="1">
      <alignment horizontal="center" vertical="center"/>
    </xf>
    <xf numFmtId="2" fontId="100" fillId="0" borderId="12" xfId="0" applyNumberFormat="1" applyFont="1" applyBorder="1" applyAlignment="1">
      <alignment horizontal="right" vertical="center"/>
    </xf>
    <xf numFmtId="2" fontId="100" fillId="0" borderId="0" xfId="0" applyNumberFormat="1" applyFont="1" applyAlignment="1">
      <alignment horizontal="right" vertical="center"/>
    </xf>
    <xf numFmtId="0" fontId="100" fillId="36" borderId="118" xfId="0" applyFont="1" applyFill="1" applyBorder="1" applyAlignment="1">
      <alignment horizontal="left" vertical="center"/>
    </xf>
    <xf numFmtId="0" fontId="100" fillId="36" borderId="118" xfId="0" applyFont="1" applyFill="1" applyBorder="1" applyAlignment="1">
      <alignment horizontal="right" vertical="center"/>
    </xf>
    <xf numFmtId="0" fontId="114" fillId="0" borderId="89" xfId="0" applyFont="1" applyBorder="1" applyAlignment="1">
      <alignment vertical="center"/>
    </xf>
    <xf numFmtId="0" fontId="114" fillId="0" borderId="123" xfId="0" applyFont="1" applyBorder="1" applyAlignment="1">
      <alignment horizontal="right" vertical="center"/>
    </xf>
    <xf numFmtId="0" fontId="90" fillId="0" borderId="86" xfId="0" applyFont="1" applyBorder="1" applyAlignment="1">
      <alignment vertical="center"/>
    </xf>
    <xf numFmtId="0" fontId="90" fillId="0" borderId="0" xfId="0" applyFont="1" applyAlignment="1">
      <alignment horizontal="left" vertical="center"/>
    </xf>
    <xf numFmtId="0" fontId="100" fillId="0" borderId="116" xfId="0" applyFont="1" applyBorder="1" applyAlignment="1">
      <alignment horizontal="right" vertical="center"/>
    </xf>
    <xf numFmtId="0" fontId="100" fillId="0" borderId="115" xfId="0" applyFont="1" applyBorder="1" applyAlignment="1">
      <alignment horizontal="right" vertical="center"/>
    </xf>
    <xf numFmtId="0" fontId="87" fillId="0" borderId="131" xfId="0" applyFont="1" applyBorder="1" applyAlignment="1">
      <alignment horizontal="center" vertical="center"/>
    </xf>
    <xf numFmtId="0" fontId="87" fillId="0" borderId="132" xfId="0" applyFont="1" applyBorder="1" applyAlignment="1">
      <alignment horizontal="center" vertical="center"/>
    </xf>
    <xf numFmtId="0" fontId="90" fillId="0" borderId="128" xfId="0" applyFont="1" applyBorder="1" applyAlignment="1">
      <alignment vertical="center"/>
    </xf>
    <xf numFmtId="181" fontId="99" fillId="0" borderId="129" xfId="0" applyNumberFormat="1" applyFont="1" applyBorder="1" applyAlignment="1">
      <alignment horizontal="right" vertical="center"/>
    </xf>
    <xf numFmtId="181" fontId="99" fillId="0" borderId="0" xfId="0" applyNumberFormat="1" applyFont="1" applyAlignment="1">
      <alignment horizontal="right" vertical="center"/>
    </xf>
    <xf numFmtId="0" fontId="90" fillId="0" borderId="95" xfId="0" applyFont="1" applyBorder="1" applyAlignment="1">
      <alignment vertical="center"/>
    </xf>
    <xf numFmtId="1" fontId="100" fillId="0" borderId="130" xfId="0" applyNumberFormat="1" applyFont="1" applyBorder="1" applyAlignment="1">
      <alignment horizontal="right" vertical="center"/>
    </xf>
    <xf numFmtId="1" fontId="100" fillId="0" borderId="0" xfId="0" applyNumberFormat="1" applyFont="1" applyAlignment="1">
      <alignment horizontal="right" vertical="center"/>
    </xf>
    <xf numFmtId="1" fontId="100" fillId="0" borderId="133" xfId="0" applyNumberFormat="1" applyFont="1" applyBorder="1" applyAlignment="1">
      <alignment horizontal="right" vertical="center"/>
    </xf>
    <xf numFmtId="1" fontId="90" fillId="0" borderId="0" xfId="0" applyNumberFormat="1" applyFont="1" applyAlignment="1">
      <alignment horizontal="right" vertical="center"/>
    </xf>
    <xf numFmtId="0" fontId="87" fillId="25" borderId="25" xfId="0" applyFont="1" applyFill="1" applyBorder="1" applyAlignment="1">
      <alignment horizontal="center" vertical="center"/>
    </xf>
    <xf numFmtId="0" fontId="87" fillId="25" borderId="0" xfId="0" applyFont="1" applyFill="1" applyAlignment="1">
      <alignment horizontal="center" vertical="center"/>
    </xf>
    <xf numFmtId="0" fontId="90" fillId="36" borderId="62" xfId="0" applyFont="1" applyFill="1" applyBorder="1" applyAlignment="1">
      <alignment vertical="center"/>
    </xf>
    <xf numFmtId="1" fontId="100" fillId="36" borderId="118" xfId="0" applyNumberFormat="1" applyFont="1" applyFill="1" applyBorder="1" applyAlignment="1">
      <alignment horizontal="right" vertical="center"/>
    </xf>
    <xf numFmtId="1" fontId="100" fillId="36" borderId="143" xfId="0" applyNumberFormat="1" applyFont="1" applyFill="1" applyBorder="1" applyAlignment="1">
      <alignment horizontal="right" vertical="center"/>
    </xf>
    <xf numFmtId="0" fontId="90" fillId="0" borderId="62" xfId="0" applyFont="1" applyBorder="1" applyAlignment="1">
      <alignment vertical="center"/>
    </xf>
    <xf numFmtId="1" fontId="100" fillId="0" borderId="118" xfId="0" applyNumberFormat="1" applyFont="1" applyBorder="1" applyAlignment="1">
      <alignment horizontal="right" vertical="center"/>
    </xf>
    <xf numFmtId="0" fontId="90" fillId="36" borderId="120" xfId="0" applyFont="1" applyFill="1" applyBorder="1" applyAlignment="1">
      <alignment vertical="center"/>
    </xf>
    <xf numFmtId="0" fontId="90" fillId="0" borderId="120" xfId="0" applyFont="1" applyBorder="1" applyAlignment="1">
      <alignment vertical="center"/>
    </xf>
    <xf numFmtId="0" fontId="90" fillId="36" borderId="124" xfId="0" applyFont="1" applyFill="1" applyBorder="1" applyAlignment="1">
      <alignment vertical="center"/>
    </xf>
    <xf numFmtId="0" fontId="90" fillId="36" borderId="102" xfId="0" applyFont="1" applyFill="1" applyBorder="1" applyAlignment="1">
      <alignment horizontal="center" vertical="center"/>
    </xf>
    <xf numFmtId="0" fontId="90" fillId="36" borderId="144" xfId="0" applyFont="1" applyFill="1" applyBorder="1" applyAlignment="1">
      <alignment horizontal="center" vertical="center"/>
    </xf>
    <xf numFmtId="0" fontId="91" fillId="0" borderId="0" xfId="0" applyFont="1" applyAlignment="1">
      <alignment horizontal="right" vertical="center"/>
    </xf>
    <xf numFmtId="1" fontId="91" fillId="0" borderId="22" xfId="0" applyNumberFormat="1" applyFont="1" applyBorder="1" applyAlignment="1">
      <alignment horizontal="center" vertical="center"/>
    </xf>
    <xf numFmtId="1" fontId="91" fillId="0" borderId="16" xfId="0" applyNumberFormat="1" applyFont="1" applyBorder="1" applyAlignment="1">
      <alignment horizontal="center" vertical="center"/>
    </xf>
    <xf numFmtId="1" fontId="91" fillId="0" borderId="116" xfId="0" applyNumberFormat="1" applyFont="1" applyBorder="1" applyAlignment="1">
      <alignment horizontal="center" vertical="center"/>
    </xf>
    <xf numFmtId="0" fontId="90" fillId="0" borderId="21" xfId="0" applyFont="1" applyBorder="1" applyAlignment="1">
      <alignment horizontal="center" vertical="center"/>
    </xf>
    <xf numFmtId="0" fontId="87" fillId="25" borderId="12" xfId="0" applyFont="1" applyFill="1" applyBorder="1" applyAlignment="1">
      <alignment horizontal="center" vertical="center"/>
    </xf>
    <xf numFmtId="0" fontId="90" fillId="36" borderId="126" xfId="0" applyFont="1" applyFill="1" applyBorder="1" applyAlignment="1">
      <alignment vertical="center"/>
    </xf>
    <xf numFmtId="0" fontId="90" fillId="36" borderId="123" xfId="0" applyFont="1" applyFill="1" applyBorder="1" applyAlignment="1">
      <alignment horizontal="center" vertical="center"/>
    </xf>
    <xf numFmtId="1" fontId="91" fillId="0" borderId="82" xfId="0" applyNumberFormat="1" applyFont="1" applyBorder="1" applyAlignment="1">
      <alignment horizontal="center" vertical="center"/>
    </xf>
    <xf numFmtId="1" fontId="91" fillId="0" borderId="48" xfId="0" applyNumberFormat="1" applyFont="1" applyBorder="1" applyAlignment="1">
      <alignment horizontal="center" vertical="center"/>
    </xf>
    <xf numFmtId="1" fontId="91" fillId="0" borderId="81" xfId="0" applyNumberFormat="1" applyFont="1" applyBorder="1" applyAlignment="1">
      <alignment horizontal="center" vertical="center"/>
    </xf>
    <xf numFmtId="0" fontId="90" fillId="0" borderId="83" xfId="0" applyFont="1" applyBorder="1" applyAlignment="1">
      <alignment horizontal="center" vertical="center"/>
    </xf>
    <xf numFmtId="0" fontId="90" fillId="0" borderId="13" xfId="0" applyFont="1" applyBorder="1" applyAlignment="1">
      <alignment horizontal="left" vertical="center"/>
    </xf>
    <xf numFmtId="0" fontId="90" fillId="0" borderId="0" xfId="0" applyFont="1" applyAlignment="1">
      <alignment horizontal="right" vertical="center"/>
    </xf>
    <xf numFmtId="0" fontId="87" fillId="25" borderId="13" xfId="0" applyFont="1" applyFill="1" applyBorder="1" applyAlignment="1">
      <alignment horizontal="center" vertical="center"/>
    </xf>
    <xf numFmtId="0" fontId="90" fillId="36" borderId="13" xfId="0" applyFont="1" applyFill="1" applyBorder="1" applyAlignment="1">
      <alignment horizontal="left" vertical="top" wrapText="1"/>
    </xf>
    <xf numFmtId="0" fontId="90" fillId="36" borderId="0" xfId="0" applyFont="1" applyFill="1" applyAlignment="1">
      <alignment horizontal="left" vertical="top" wrapText="1"/>
    </xf>
    <xf numFmtId="0" fontId="90" fillId="36" borderId="12" xfId="0" applyFont="1" applyFill="1" applyBorder="1" applyAlignment="1">
      <alignment horizontal="left" vertical="top" wrapText="1"/>
    </xf>
    <xf numFmtId="0" fontId="52" fillId="0" borderId="116" xfId="0" applyFont="1" applyBorder="1" applyAlignment="1">
      <alignment vertical="center"/>
    </xf>
    <xf numFmtId="167" fontId="53" fillId="0" borderId="20" xfId="0" applyNumberFormat="1" applyFont="1" applyBorder="1"/>
    <xf numFmtId="0" fontId="60" fillId="35" borderId="63" xfId="0" quotePrefix="1" applyFont="1" applyFill="1" applyBorder="1" applyAlignment="1">
      <alignment horizontal="center" vertical="center"/>
    </xf>
    <xf numFmtId="0" fontId="60" fillId="35" borderId="64" xfId="0" quotePrefix="1" applyFont="1" applyFill="1" applyBorder="1" applyAlignment="1">
      <alignment horizontal="center" vertical="center"/>
    </xf>
    <xf numFmtId="171" fontId="20" fillId="33" borderId="31" xfId="0" applyNumberFormat="1" applyFont="1" applyFill="1" applyBorder="1" applyAlignment="1">
      <alignment vertical="center"/>
    </xf>
    <xf numFmtId="0" fontId="44" fillId="22" borderId="0" xfId="0" applyFont="1" applyFill="1" applyAlignment="1">
      <alignment horizontal="left" vertical="center"/>
    </xf>
    <xf numFmtId="0" fontId="0" fillId="0" borderId="0" xfId="0" applyBorder="1"/>
    <xf numFmtId="0" fontId="44" fillId="0" borderId="0" xfId="0" applyFont="1" applyBorder="1"/>
    <xf numFmtId="0" fontId="0" fillId="0" borderId="0" xfId="0" applyBorder="1" applyAlignment="1">
      <alignment horizontal="center" vertical="center"/>
    </xf>
    <xf numFmtId="0" fontId="0" fillId="0" borderId="0" xfId="0" applyBorder="1" applyAlignment="1">
      <alignment horizontal="center"/>
    </xf>
    <xf numFmtId="0" fontId="27" fillId="0" borderId="0" xfId="0" applyFont="1" applyBorder="1"/>
    <xf numFmtId="0" fontId="53" fillId="22" borderId="0" xfId="0" applyFont="1" applyFill="1" applyAlignment="1">
      <alignment vertical="center"/>
    </xf>
    <xf numFmtId="0" fontId="53" fillId="0" borderId="0" xfId="0" applyFont="1" applyAlignment="1">
      <alignment vertical="center"/>
    </xf>
    <xf numFmtId="0" fontId="52" fillId="0" borderId="0" xfId="0" applyFont="1" applyFill="1" applyAlignment="1" applyProtection="1">
      <alignment vertical="center"/>
    </xf>
    <xf numFmtId="0" fontId="100" fillId="0" borderId="12" xfId="0" applyFont="1" applyBorder="1" applyAlignment="1" applyProtection="1">
      <alignment horizontal="right" vertical="center"/>
    </xf>
    <xf numFmtId="0" fontId="99" fillId="0" borderId="12" xfId="0" applyFont="1" applyBorder="1" applyAlignment="1" applyProtection="1">
      <alignment horizontal="right" vertical="center"/>
    </xf>
    <xf numFmtId="0" fontId="100" fillId="0" borderId="0" xfId="0" applyFont="1" applyAlignment="1" applyProtection="1">
      <alignment horizontal="right" vertical="center"/>
    </xf>
    <xf numFmtId="0" fontId="90" fillId="0" borderId="0" xfId="0" applyFont="1" applyAlignment="1" applyProtection="1">
      <alignment vertical="center"/>
    </xf>
    <xf numFmtId="171" fontId="20" fillId="33" borderId="29" xfId="0" applyNumberFormat="1" applyFont="1" applyFill="1" applyBorder="1" applyAlignment="1">
      <alignment vertical="center"/>
    </xf>
    <xf numFmtId="171" fontId="20" fillId="32" borderId="29" xfId="0" applyNumberFormat="1" applyFont="1" applyFill="1" applyBorder="1" applyAlignment="1">
      <alignment vertical="center"/>
    </xf>
    <xf numFmtId="171" fontId="49" fillId="41" borderId="37" xfId="0" applyNumberFormat="1" applyFont="1" applyFill="1" applyBorder="1" applyAlignment="1">
      <alignment horizontal="right" vertical="center"/>
    </xf>
    <xf numFmtId="171" fontId="49" fillId="40" borderId="29" xfId="0" applyNumberFormat="1" applyFont="1" applyFill="1" applyBorder="1" applyAlignment="1">
      <alignment horizontal="right" vertical="center"/>
    </xf>
    <xf numFmtId="0" fontId="53" fillId="0" borderId="0" xfId="0" applyFont="1" applyFill="1" applyAlignment="1" applyProtection="1">
      <alignment horizontal="left" vertical="center" wrapText="1"/>
    </xf>
    <xf numFmtId="0" fontId="53" fillId="0" borderId="0" xfId="0" applyFont="1" applyFill="1" applyAlignment="1" applyProtection="1">
      <alignment horizontal="center" vertical="center" wrapText="1"/>
    </xf>
    <xf numFmtId="0" fontId="112" fillId="0" borderId="13" xfId="0" applyFont="1" applyFill="1" applyBorder="1" applyAlignment="1" applyProtection="1">
      <alignment horizontal="right" vertical="center"/>
    </xf>
    <xf numFmtId="10" fontId="39" fillId="0" borderId="0" xfId="0" applyNumberFormat="1" applyFont="1" applyFill="1" applyAlignment="1" applyProtection="1">
      <alignment horizontal="right" vertical="center"/>
    </xf>
    <xf numFmtId="0" fontId="44" fillId="0" borderId="0" xfId="0" applyFont="1" applyAlignment="1">
      <alignment horizontal="right" vertical="center" wrapText="1"/>
    </xf>
    <xf numFmtId="0" fontId="44" fillId="0" borderId="120" xfId="0" applyFont="1" applyBorder="1" applyAlignment="1">
      <alignment vertical="center"/>
    </xf>
    <xf numFmtId="0" fontId="61" fillId="0" borderId="0" xfId="0" applyFont="1" applyBorder="1" applyAlignment="1">
      <alignment horizontal="left" vertical="center" wrapText="1"/>
    </xf>
    <xf numFmtId="0" fontId="123" fillId="0" borderId="13" xfId="0" applyFont="1" applyFill="1" applyBorder="1" applyAlignment="1" applyProtection="1">
      <alignment vertical="center"/>
    </xf>
    <xf numFmtId="0" fontId="124" fillId="0" borderId="0" xfId="0" applyFont="1" applyFill="1" applyAlignment="1" applyProtection="1">
      <alignment horizontal="right" vertical="center"/>
    </xf>
    <xf numFmtId="0" fontId="53" fillId="0" borderId="0" xfId="0" applyFont="1" applyAlignment="1">
      <alignment vertical="center"/>
    </xf>
    <xf numFmtId="0" fontId="53" fillId="0" borderId="0" xfId="0" applyFont="1" applyFill="1" applyAlignment="1">
      <alignment vertical="center"/>
    </xf>
    <xf numFmtId="1" fontId="53" fillId="0" borderId="0" xfId="0" applyNumberFormat="1" applyFont="1" applyFill="1" applyAlignment="1">
      <alignment horizontal="right" vertical="center"/>
    </xf>
    <xf numFmtId="0" fontId="52" fillId="0" borderId="13" xfId="0" applyFont="1" applyFill="1" applyBorder="1" applyAlignment="1" applyProtection="1">
      <alignment vertical="center"/>
    </xf>
    <xf numFmtId="0" fontId="90" fillId="23" borderId="0" xfId="0" applyFont="1" applyFill="1" applyAlignment="1" applyProtection="1">
      <alignment vertical="center"/>
    </xf>
    <xf numFmtId="0" fontId="44" fillId="0" borderId="0" xfId="0" applyFont="1" applyFill="1" applyAlignment="1">
      <alignment vertical="center"/>
    </xf>
    <xf numFmtId="0" fontId="44" fillId="0" borderId="12" xfId="0" applyNumberFormat="1" applyFont="1" applyFill="1" applyBorder="1" applyAlignment="1">
      <alignment horizontal="right" vertical="center"/>
    </xf>
    <xf numFmtId="0" fontId="44" fillId="0" borderId="39" xfId="0" applyFont="1" applyFill="1" applyBorder="1" applyAlignment="1">
      <alignment vertical="center"/>
    </xf>
    <xf numFmtId="0" fontId="53" fillId="0" borderId="0" xfId="0" applyFont="1" applyAlignment="1">
      <alignment horizontal="center" vertical="center" wrapText="1"/>
    </xf>
    <xf numFmtId="0" fontId="62" fillId="37" borderId="56" xfId="0" applyFont="1" applyFill="1" applyBorder="1" applyAlignment="1">
      <alignment horizontal="center" vertical="center" wrapText="1"/>
    </xf>
    <xf numFmtId="0" fontId="52" fillId="34" borderId="39" xfId="0" applyFont="1" applyFill="1" applyBorder="1" applyAlignment="1">
      <alignment vertical="center"/>
    </xf>
    <xf numFmtId="0" fontId="52" fillId="34" borderId="78" xfId="0" applyNumberFormat="1" applyFont="1" applyFill="1" applyBorder="1" applyAlignment="1">
      <alignment horizontal="right" vertical="center"/>
    </xf>
    <xf numFmtId="171" fontId="20" fillId="33" borderId="38" xfId="0" applyNumberFormat="1" applyFont="1" applyFill="1" applyBorder="1" applyAlignment="1">
      <alignment horizontal="right" vertical="center"/>
    </xf>
    <xf numFmtId="171" fontId="20" fillId="32" borderId="38" xfId="0" applyNumberFormat="1" applyFont="1" applyFill="1" applyBorder="1" applyAlignment="1">
      <alignment horizontal="right" vertical="center"/>
    </xf>
    <xf numFmtId="168" fontId="11" fillId="33" borderId="32" xfId="0" applyNumberFormat="1" applyFont="1" applyFill="1" applyBorder="1" applyAlignment="1">
      <alignment horizontal="center" vertical="center"/>
    </xf>
    <xf numFmtId="171" fontId="20" fillId="33" borderId="55" xfId="0" applyNumberFormat="1" applyFont="1" applyFill="1" applyBorder="1" applyAlignment="1">
      <alignment vertical="center"/>
    </xf>
    <xf numFmtId="171" fontId="20" fillId="33" borderId="0" xfId="0" applyNumberFormat="1" applyFont="1" applyFill="1" applyBorder="1" applyAlignment="1">
      <alignment vertical="center"/>
    </xf>
    <xf numFmtId="171" fontId="20" fillId="33" borderId="26" xfId="0" applyNumberFormat="1" applyFont="1" applyFill="1" applyBorder="1" applyAlignment="1">
      <alignment horizontal="right" vertical="center"/>
    </xf>
    <xf numFmtId="171" fontId="20" fillId="32" borderId="29" xfId="0" applyNumberFormat="1" applyFont="1" applyFill="1" applyBorder="1" applyAlignment="1">
      <alignment horizontal="right" vertical="center"/>
    </xf>
    <xf numFmtId="0" fontId="62" fillId="35" borderId="153" xfId="0" applyFont="1" applyFill="1" applyBorder="1" applyAlignment="1">
      <alignment horizontal="center" vertical="center" wrapText="1"/>
    </xf>
    <xf numFmtId="0" fontId="62" fillId="35" borderId="154" xfId="0" applyFont="1" applyFill="1" applyBorder="1" applyAlignment="1">
      <alignment horizontal="center" vertical="center" wrapText="1"/>
    </xf>
    <xf numFmtId="0" fontId="62" fillId="35" borderId="152" xfId="0" applyFont="1" applyFill="1" applyBorder="1" applyAlignment="1">
      <alignment horizontal="center" vertical="center" wrapText="1"/>
    </xf>
    <xf numFmtId="0" fontId="53" fillId="0" borderId="0" xfId="0" applyFont="1" applyAlignment="1">
      <alignment horizontal="left" vertical="top" wrapText="1"/>
    </xf>
    <xf numFmtId="0" fontId="53" fillId="0" borderId="0" xfId="0" applyFont="1" applyAlignment="1">
      <alignment horizontal="left" vertical="center" wrapText="1"/>
    </xf>
    <xf numFmtId="0" fontId="53" fillId="0" borderId="0" xfId="49" applyFont="1"/>
    <xf numFmtId="0" fontId="2" fillId="0" borderId="13" xfId="0" applyFont="1" applyBorder="1" applyAlignment="1" applyProtection="1">
      <alignment vertical="center"/>
    </xf>
    <xf numFmtId="0" fontId="58" fillId="0" borderId="0" xfId="0" applyFont="1" applyFill="1" applyAlignment="1" applyProtection="1">
      <alignment horizontal="right" vertical="center"/>
    </xf>
    <xf numFmtId="0" fontId="53" fillId="0" borderId="13" xfId="0" applyFont="1" applyFill="1" applyBorder="1" applyAlignment="1" applyProtection="1">
      <alignment vertical="center"/>
    </xf>
    <xf numFmtId="0" fontId="53" fillId="0" borderId="0" xfId="0" applyFont="1" applyAlignment="1">
      <alignment vertical="center"/>
    </xf>
    <xf numFmtId="167" fontId="44" fillId="0" borderId="12" xfId="0" applyNumberFormat="1" applyFont="1" applyFill="1" applyBorder="1" applyAlignment="1">
      <alignment vertical="center"/>
    </xf>
    <xf numFmtId="0" fontId="53" fillId="0" borderId="14" xfId="0" quotePrefix="1" applyFont="1" applyBorder="1"/>
    <xf numFmtId="0" fontId="53" fillId="0" borderId="10" xfId="0" quotePrefix="1" applyFont="1" applyBorder="1"/>
    <xf numFmtId="0" fontId="1" fillId="38" borderId="39" xfId="0" applyFont="1" applyFill="1" applyBorder="1" applyAlignment="1">
      <alignment vertical="center"/>
    </xf>
    <xf numFmtId="0" fontId="53" fillId="0" borderId="0" xfId="0" applyFont="1" applyAlignment="1">
      <alignment vertical="center"/>
    </xf>
    <xf numFmtId="167" fontId="49" fillId="27" borderId="0" xfId="0" applyNumberFormat="1" applyFont="1" applyFill="1" applyAlignment="1">
      <alignment horizontal="right" vertical="center"/>
    </xf>
    <xf numFmtId="0" fontId="0" fillId="0" borderId="18" xfId="0" applyBorder="1" applyAlignment="1">
      <alignment horizontal="center" vertical="center"/>
    </xf>
    <xf numFmtId="0" fontId="51" fillId="0" borderId="0" xfId="0" applyFont="1" applyFill="1" applyAlignment="1" applyProtection="1">
      <alignment horizontal="right" vertical="center"/>
    </xf>
    <xf numFmtId="0" fontId="27" fillId="0" borderId="0" xfId="0" applyFont="1" applyBorder="1" applyAlignment="1">
      <alignment horizontal="center" vertical="center" textRotation="90"/>
    </xf>
    <xf numFmtId="0" fontId="44" fillId="0" borderId="0" xfId="0" applyFont="1" applyBorder="1" applyAlignment="1">
      <alignment vertical="center"/>
    </xf>
    <xf numFmtId="0" fontId="53" fillId="0" borderId="12" xfId="0" applyFont="1" applyBorder="1" applyAlignment="1">
      <alignment horizontal="center" vertical="center" wrapText="1"/>
    </xf>
    <xf numFmtId="10" fontId="53" fillId="0" borderId="12" xfId="44" applyNumberFormat="1" applyFont="1" applyBorder="1" applyAlignment="1">
      <alignment horizontal="right" vertical="center" wrapText="1"/>
    </xf>
    <xf numFmtId="10" fontId="53" fillId="0" borderId="12" xfId="44" applyNumberFormat="1" applyFont="1" applyBorder="1" applyAlignment="1">
      <alignment horizontal="right" vertical="center"/>
    </xf>
    <xf numFmtId="167" fontId="53" fillId="0" borderId="0" xfId="0" applyNumberFormat="1" applyFont="1" applyFill="1" applyBorder="1" applyAlignment="1">
      <alignment horizontal="right" vertical="center"/>
    </xf>
    <xf numFmtId="0" fontId="54" fillId="0" borderId="0" xfId="0" applyFont="1" applyBorder="1" applyAlignment="1">
      <alignment horizontal="center" vertical="center"/>
    </xf>
    <xf numFmtId="167" fontId="53" fillId="0" borderId="0" xfId="0" applyNumberFormat="1" applyFont="1" applyBorder="1" applyAlignment="1">
      <alignment horizontal="right" vertical="center"/>
    </xf>
    <xf numFmtId="167" fontId="53" fillId="0" borderId="71" xfId="0" applyNumberFormat="1" applyFont="1" applyBorder="1" applyAlignment="1">
      <alignment horizontal="right" vertical="center"/>
    </xf>
    <xf numFmtId="167" fontId="44" fillId="0" borderId="0" xfId="0" applyNumberFormat="1" applyFont="1" applyBorder="1" applyAlignment="1">
      <alignment horizontal="right" vertical="center"/>
    </xf>
    <xf numFmtId="167" fontId="44" fillId="0" borderId="0" xfId="0" applyNumberFormat="1" applyFont="1" applyBorder="1" applyAlignment="1">
      <alignment horizontal="center" vertical="center"/>
    </xf>
    <xf numFmtId="10" fontId="53" fillId="0" borderId="12" xfId="44" applyNumberFormat="1" applyFont="1" applyBorder="1"/>
    <xf numFmtId="0" fontId="44" fillId="0" borderId="0" xfId="0" applyNumberFormat="1" applyFont="1" applyBorder="1" applyAlignment="1">
      <alignment horizontal="right" vertical="center"/>
    </xf>
    <xf numFmtId="0" fontId="44" fillId="0" borderId="0" xfId="0" applyNumberFormat="1" applyFont="1" applyAlignment="1">
      <alignment horizontal="right" vertical="center"/>
    </xf>
    <xf numFmtId="0" fontId="90" fillId="0" borderId="116" xfId="0" applyFont="1" applyBorder="1" applyAlignment="1">
      <alignment vertical="center"/>
    </xf>
    <xf numFmtId="0" fontId="90" fillId="23" borderId="13" xfId="0" applyFont="1" applyFill="1" applyBorder="1" applyAlignment="1">
      <alignment vertical="center"/>
    </xf>
    <xf numFmtId="0" fontId="90" fillId="23" borderId="0" xfId="0" applyFont="1" applyFill="1" applyBorder="1" applyAlignment="1">
      <alignment vertical="center"/>
    </xf>
    <xf numFmtId="1" fontId="90" fillId="23" borderId="0" xfId="0" applyNumberFormat="1" applyFont="1" applyFill="1" applyBorder="1" applyAlignment="1">
      <alignment vertical="center"/>
    </xf>
    <xf numFmtId="1" fontId="90" fillId="23" borderId="12" xfId="0" applyNumberFormat="1" applyFont="1" applyFill="1" applyBorder="1" applyAlignment="1">
      <alignment vertical="center"/>
    </xf>
    <xf numFmtId="0" fontId="90" fillId="0" borderId="114" xfId="0" applyFont="1" applyBorder="1" applyAlignment="1">
      <alignment vertical="center"/>
    </xf>
    <xf numFmtId="0" fontId="90" fillId="0" borderId="115" xfId="0" applyFont="1" applyBorder="1" applyAlignment="1">
      <alignment vertical="center"/>
    </xf>
    <xf numFmtId="0" fontId="50" fillId="0" borderId="13" xfId="0" applyFont="1" applyBorder="1" applyAlignment="1">
      <alignment horizontal="left" vertical="center"/>
    </xf>
    <xf numFmtId="0" fontId="100" fillId="36" borderId="142" xfId="0" applyFont="1" applyFill="1" applyBorder="1" applyAlignment="1">
      <alignment horizontal="right" vertical="center"/>
    </xf>
    <xf numFmtId="0" fontId="100" fillId="0" borderId="0" xfId="0" quotePrefix="1" applyFont="1" applyBorder="1" applyAlignment="1">
      <alignment horizontal="right" vertical="center"/>
    </xf>
    <xf numFmtId="0" fontId="90" fillId="0" borderId="0" xfId="0" applyFont="1" applyBorder="1" applyAlignment="1">
      <alignment vertical="center"/>
    </xf>
    <xf numFmtId="0" fontId="100" fillId="0" borderId="0" xfId="0" applyFont="1" applyBorder="1" applyAlignment="1">
      <alignment horizontal="right" vertical="center"/>
    </xf>
    <xf numFmtId="0" fontId="62" fillId="37" borderId="64" xfId="0" applyFont="1" applyFill="1" applyBorder="1" applyAlignment="1">
      <alignment horizontal="center" vertical="center" wrapText="1"/>
    </xf>
    <xf numFmtId="1" fontId="3" fillId="38" borderId="37" xfId="44" applyNumberFormat="1" applyFont="1" applyFill="1" applyBorder="1" applyAlignment="1">
      <alignment horizontal="right" vertical="center" wrapText="1"/>
    </xf>
    <xf numFmtId="9" fontId="53" fillId="0" borderId="10" xfId="44" applyFont="1" applyBorder="1" applyAlignment="1">
      <alignment horizontal="right"/>
    </xf>
    <xf numFmtId="0" fontId="52" fillId="38" borderId="39" xfId="0" applyFont="1" applyFill="1" applyBorder="1" applyAlignment="1">
      <alignment vertical="center"/>
    </xf>
    <xf numFmtId="2" fontId="52" fillId="34" borderId="37" xfId="0" applyNumberFormat="1" applyFont="1" applyFill="1" applyBorder="1" applyAlignment="1">
      <alignment vertical="center"/>
    </xf>
    <xf numFmtId="0" fontId="52" fillId="34" borderId="39" xfId="0" applyFont="1" applyFill="1" applyBorder="1" applyAlignment="1">
      <alignment vertical="center"/>
    </xf>
    <xf numFmtId="0" fontId="60" fillId="37" borderId="56" xfId="0" applyFont="1" applyFill="1" applyBorder="1" applyAlignment="1">
      <alignment horizontal="center" vertical="center"/>
    </xf>
    <xf numFmtId="0" fontId="60" fillId="37" borderId="64" xfId="0" applyFont="1" applyFill="1" applyBorder="1" applyAlignment="1">
      <alignment horizontal="center" vertical="center"/>
    </xf>
    <xf numFmtId="2" fontId="52" fillId="38" borderId="38" xfId="0" applyNumberFormat="1" applyFont="1" applyFill="1" applyBorder="1" applyAlignment="1">
      <alignment vertical="center"/>
    </xf>
    <xf numFmtId="184" fontId="52" fillId="38" borderId="38" xfId="0" applyNumberFormat="1" applyFont="1" applyFill="1" applyBorder="1" applyAlignment="1">
      <alignment vertical="center"/>
    </xf>
    <xf numFmtId="184" fontId="52" fillId="34" borderId="37" xfId="0" applyNumberFormat="1" applyFont="1" applyFill="1" applyBorder="1" applyAlignment="1">
      <alignment vertical="center"/>
    </xf>
    <xf numFmtId="0" fontId="52" fillId="34" borderId="32" xfId="0" applyFont="1" applyFill="1" applyBorder="1" applyAlignment="1">
      <alignment vertical="center"/>
    </xf>
    <xf numFmtId="184" fontId="52" fillId="34" borderId="27" xfId="0" applyNumberFormat="1" applyFont="1" applyFill="1" applyBorder="1" applyAlignment="1">
      <alignment vertical="center"/>
    </xf>
    <xf numFmtId="172" fontId="52" fillId="38" borderId="74" xfId="0" applyNumberFormat="1" applyFont="1" applyFill="1" applyBorder="1" applyAlignment="1">
      <alignment vertical="center"/>
    </xf>
    <xf numFmtId="172" fontId="52" fillId="34" borderId="38" xfId="0" applyNumberFormat="1" applyFont="1" applyFill="1" applyBorder="1" applyAlignment="1">
      <alignment vertical="center"/>
    </xf>
    <xf numFmtId="172" fontId="52" fillId="38" borderId="38" xfId="0" applyNumberFormat="1" applyFont="1" applyFill="1" applyBorder="1" applyAlignment="1">
      <alignment vertical="center"/>
    </xf>
    <xf numFmtId="0" fontId="53" fillId="0" borderId="12" xfId="0" applyFont="1" applyBorder="1" applyAlignment="1">
      <alignment vertical="center"/>
    </xf>
    <xf numFmtId="0" fontId="53" fillId="0" borderId="0" xfId="0" applyFont="1" applyBorder="1" applyAlignment="1">
      <alignment vertical="center"/>
    </xf>
    <xf numFmtId="0" fontId="53" fillId="23" borderId="0" xfId="0" applyFont="1" applyFill="1" applyBorder="1" applyAlignment="1">
      <alignment horizontal="left" vertical="center" wrapText="1"/>
    </xf>
    <xf numFmtId="0" fontId="53" fillId="23" borderId="116" xfId="0" applyFont="1" applyFill="1" applyBorder="1" applyAlignment="1">
      <alignment horizontal="left" vertical="center" wrapText="1"/>
    </xf>
    <xf numFmtId="0" fontId="53" fillId="0" borderId="115" xfId="0" applyFont="1" applyBorder="1" applyAlignment="1">
      <alignment vertical="center"/>
    </xf>
    <xf numFmtId="0" fontId="53" fillId="0" borderId="114" xfId="0" applyFont="1" applyBorder="1" applyAlignment="1">
      <alignment vertical="center"/>
    </xf>
    <xf numFmtId="0" fontId="63" fillId="0" borderId="22" xfId="0" applyFont="1" applyBorder="1" applyAlignment="1">
      <alignment horizontal="left"/>
    </xf>
    <xf numFmtId="0" fontId="63" fillId="0" borderId="16" xfId="0" applyFont="1" applyBorder="1" applyAlignment="1">
      <alignment horizontal="left"/>
    </xf>
    <xf numFmtId="0" fontId="63" fillId="0" borderId="21" xfId="0" applyFont="1" applyBorder="1" applyAlignment="1">
      <alignment horizontal="left"/>
    </xf>
    <xf numFmtId="0" fontId="88" fillId="0" borderId="23" xfId="0" applyFont="1" applyBorder="1" applyAlignment="1">
      <alignment horizontal="left" vertical="center"/>
    </xf>
    <xf numFmtId="0" fontId="88" fillId="0" borderId="116" xfId="0" applyFont="1" applyBorder="1" applyAlignment="1">
      <alignment horizontal="left" vertical="center"/>
    </xf>
    <xf numFmtId="0" fontId="44" fillId="22" borderId="13" xfId="0" applyFont="1" applyFill="1" applyBorder="1" applyAlignment="1">
      <alignment horizontal="left" vertical="top" wrapText="1"/>
    </xf>
    <xf numFmtId="0" fontId="44" fillId="22" borderId="0" xfId="0" applyFont="1" applyFill="1" applyAlignment="1">
      <alignment horizontal="left" vertical="top" wrapText="1"/>
    </xf>
    <xf numFmtId="0" fontId="44" fillId="22" borderId="12" xfId="0" applyFont="1" applyFill="1" applyBorder="1" applyAlignment="1">
      <alignment horizontal="left" vertical="top" wrapText="1"/>
    </xf>
    <xf numFmtId="0" fontId="92" fillId="22" borderId="13" xfId="0" applyFont="1" applyFill="1" applyBorder="1" applyAlignment="1">
      <alignment horizontal="left" vertical="center"/>
    </xf>
    <xf numFmtId="0" fontId="93" fillId="0" borderId="0" xfId="0" applyFont="1"/>
    <xf numFmtId="0" fontId="93" fillId="0" borderId="12" xfId="0" applyFont="1" applyBorder="1"/>
    <xf numFmtId="0" fontId="44" fillId="22" borderId="13" xfId="0" applyFont="1" applyFill="1" applyBorder="1" applyAlignment="1">
      <alignment horizontal="left" vertical="center"/>
    </xf>
    <xf numFmtId="0" fontId="44" fillId="22" borderId="0" xfId="0" applyFont="1" applyFill="1" applyAlignment="1">
      <alignment horizontal="left" vertical="center"/>
    </xf>
    <xf numFmtId="0" fontId="44" fillId="22" borderId="12" xfId="0" applyFont="1" applyFill="1" applyBorder="1" applyAlignment="1">
      <alignment horizontal="left" vertical="center"/>
    </xf>
    <xf numFmtId="0" fontId="27" fillId="22" borderId="13" xfId="0" applyFont="1" applyFill="1" applyBorder="1" applyAlignment="1">
      <alignment horizontal="left" vertical="center" wrapText="1"/>
    </xf>
    <xf numFmtId="0" fontId="50" fillId="22" borderId="13" xfId="0" applyFont="1" applyFill="1" applyBorder="1" applyAlignment="1">
      <alignment vertical="center" wrapText="1"/>
    </xf>
    <xf numFmtId="0" fontId="90" fillId="22" borderId="0" xfId="0" applyFont="1" applyFill="1" applyAlignment="1">
      <alignment vertical="center" wrapText="1"/>
    </xf>
    <xf numFmtId="0" fontId="90" fillId="0" borderId="0" xfId="0" applyFont="1"/>
    <xf numFmtId="0" fontId="90" fillId="0" borderId="12" xfId="0" applyFont="1" applyBorder="1"/>
    <xf numFmtId="0" fontId="92" fillId="22" borderId="24" xfId="0" applyFont="1" applyFill="1" applyBorder="1" applyAlignment="1">
      <alignment vertical="center"/>
    </xf>
    <xf numFmtId="0" fontId="90" fillId="0" borderId="18" xfId="0" applyFont="1" applyBorder="1"/>
    <xf numFmtId="0" fontId="91" fillId="22" borderId="13" xfId="0" applyFont="1" applyFill="1" applyBorder="1" applyAlignment="1">
      <alignment horizontal="left" vertical="top" wrapText="1"/>
    </xf>
    <xf numFmtId="0" fontId="91" fillId="22" borderId="0" xfId="0" applyFont="1" applyFill="1" applyAlignment="1">
      <alignment horizontal="left" vertical="top" wrapText="1"/>
    </xf>
    <xf numFmtId="0" fontId="91" fillId="22" borderId="12" xfId="0" applyFont="1" applyFill="1" applyBorder="1" applyAlignment="1">
      <alignment horizontal="left" vertical="top" wrapText="1"/>
    </xf>
    <xf numFmtId="0" fontId="36" fillId="22" borderId="13" xfId="0" applyFont="1" applyFill="1" applyBorder="1" applyAlignment="1">
      <alignment horizontal="left" vertical="center"/>
    </xf>
    <xf numFmtId="0" fontId="92" fillId="22" borderId="0" xfId="0" applyFont="1" applyFill="1" applyAlignment="1">
      <alignment horizontal="left" vertical="center"/>
    </xf>
    <xf numFmtId="0" fontId="87" fillId="25" borderId="122" xfId="0" applyFont="1" applyFill="1" applyBorder="1" applyAlignment="1">
      <alignment horizontal="center" vertical="center" wrapText="1"/>
    </xf>
    <xf numFmtId="0" fontId="87" fillId="25" borderId="25" xfId="0" applyFont="1" applyFill="1" applyBorder="1" applyAlignment="1">
      <alignment horizontal="center" vertical="center" wrapText="1"/>
    </xf>
    <xf numFmtId="0" fontId="44" fillId="23" borderId="13" xfId="0" applyFont="1" applyFill="1" applyBorder="1" applyAlignment="1">
      <alignment vertical="top" wrapText="1"/>
    </xf>
    <xf numFmtId="0" fontId="90" fillId="23" borderId="0" xfId="0" applyFont="1" applyFill="1" applyAlignment="1">
      <alignment vertical="top" wrapText="1"/>
    </xf>
    <xf numFmtId="0" fontId="61" fillId="0" borderId="0" xfId="0" applyFont="1" applyAlignment="1">
      <alignment horizontal="left" vertical="top" wrapText="1"/>
    </xf>
    <xf numFmtId="0" fontId="87" fillId="24" borderId="13" xfId="0" applyFont="1" applyFill="1" applyBorder="1" applyAlignment="1">
      <alignment vertical="center"/>
    </xf>
    <xf numFmtId="0" fontId="95" fillId="24" borderId="0" xfId="0" applyFont="1" applyFill="1" applyAlignment="1">
      <alignment vertical="center"/>
    </xf>
    <xf numFmtId="0" fontId="95" fillId="24" borderId="12" xfId="0" applyFont="1" applyFill="1" applyBorder="1" applyAlignment="1">
      <alignment vertical="center"/>
    </xf>
    <xf numFmtId="0" fontId="90" fillId="0" borderId="13" xfId="0" applyFont="1" applyBorder="1" applyAlignment="1">
      <alignment horizontal="left" vertical="top" wrapText="1"/>
    </xf>
    <xf numFmtId="0" fontId="90" fillId="0" borderId="0" xfId="0" applyFont="1" applyAlignment="1">
      <alignment horizontal="left" vertical="top" wrapText="1"/>
    </xf>
    <xf numFmtId="0" fontId="90" fillId="0" borderId="12" xfId="0" applyFont="1" applyBorder="1" applyAlignment="1">
      <alignment horizontal="left" vertical="top" wrapText="1"/>
    </xf>
    <xf numFmtId="0" fontId="105" fillId="0" borderId="13" xfId="0" applyFont="1" applyBorder="1" applyAlignment="1">
      <alignment horizontal="left" vertical="center" wrapText="1"/>
    </xf>
    <xf numFmtId="0" fontId="105" fillId="0" borderId="0" xfId="0" applyFont="1" applyAlignment="1">
      <alignment horizontal="left" vertical="center" wrapText="1"/>
    </xf>
    <xf numFmtId="0" fontId="105" fillId="0" borderId="12" xfId="0" applyFont="1" applyBorder="1" applyAlignment="1">
      <alignment horizontal="left" vertical="center" wrapText="1"/>
    </xf>
    <xf numFmtId="0" fontId="90" fillId="23" borderId="13" xfId="0" applyFont="1" applyFill="1" applyBorder="1" applyAlignment="1">
      <alignment horizontal="left" vertical="center"/>
    </xf>
    <xf numFmtId="0" fontId="90" fillId="23" borderId="0" xfId="0" applyFont="1" applyFill="1" applyAlignment="1">
      <alignment horizontal="left" vertical="center"/>
    </xf>
    <xf numFmtId="0" fontId="90" fillId="23" borderId="12" xfId="0" applyFont="1" applyFill="1" applyBorder="1" applyAlignment="1">
      <alignment horizontal="left" vertical="center"/>
    </xf>
    <xf numFmtId="0" fontId="103" fillId="24" borderId="13" xfId="0" applyFont="1" applyFill="1" applyBorder="1" applyAlignment="1">
      <alignment vertical="center"/>
    </xf>
    <xf numFmtId="0" fontId="104" fillId="24" borderId="0" xfId="0" applyFont="1" applyFill="1" applyAlignment="1">
      <alignment vertical="center"/>
    </xf>
    <xf numFmtId="0" fontId="104" fillId="24" borderId="12" xfId="0" applyFont="1" applyFill="1" applyBorder="1" applyAlignment="1">
      <alignment vertical="center"/>
    </xf>
    <xf numFmtId="0" fontId="90" fillId="23" borderId="13" xfId="0" applyFont="1" applyFill="1" applyBorder="1" applyAlignment="1">
      <alignment horizontal="left" vertical="center" wrapText="1"/>
    </xf>
    <xf numFmtId="0" fontId="90" fillId="23" borderId="0" xfId="0" applyFont="1" applyFill="1" applyAlignment="1">
      <alignment horizontal="left" vertical="center" wrapText="1"/>
    </xf>
    <xf numFmtId="0" fontId="90" fillId="23" borderId="12" xfId="0" applyFont="1" applyFill="1" applyBorder="1" applyAlignment="1">
      <alignment horizontal="left" vertical="center" wrapText="1"/>
    </xf>
    <xf numFmtId="0" fontId="44" fillId="0" borderId="13" xfId="0" applyFont="1" applyBorder="1" applyAlignment="1">
      <alignment horizontal="left" vertical="top" wrapText="1"/>
    </xf>
    <xf numFmtId="0" fontId="53" fillId="0" borderId="0" xfId="0" applyFont="1" applyAlignment="1">
      <alignment horizontal="left" vertical="top" wrapText="1"/>
    </xf>
    <xf numFmtId="0" fontId="44" fillId="29" borderId="69" xfId="0" applyFont="1" applyFill="1" applyBorder="1" applyAlignment="1">
      <alignment horizontal="left" vertical="center" wrapText="1"/>
    </xf>
    <xf numFmtId="0" fontId="44" fillId="29" borderId="35" xfId="0" applyFont="1" applyFill="1" applyBorder="1" applyAlignment="1">
      <alignment horizontal="left" vertical="center" wrapText="1"/>
    </xf>
    <xf numFmtId="0" fontId="44" fillId="29" borderId="70" xfId="0" applyFont="1" applyFill="1" applyBorder="1" applyAlignment="1">
      <alignment horizontal="left" vertical="center" wrapText="1"/>
    </xf>
    <xf numFmtId="0" fontId="44" fillId="29" borderId="13" xfId="0" applyFont="1" applyFill="1" applyBorder="1" applyAlignment="1">
      <alignment horizontal="left" vertical="center" wrapText="1"/>
    </xf>
    <xf numFmtId="0" fontId="44" fillId="29" borderId="0" xfId="0" applyFont="1" applyFill="1" applyAlignment="1">
      <alignment horizontal="left" vertical="center" wrapText="1"/>
    </xf>
    <xf numFmtId="0" fontId="44" fillId="29" borderId="12" xfId="0" applyFont="1" applyFill="1" applyBorder="1" applyAlignment="1">
      <alignment horizontal="left" vertical="center" wrapText="1"/>
    </xf>
    <xf numFmtId="0" fontId="44" fillId="0" borderId="0" xfId="0" applyFont="1" applyAlignment="1">
      <alignment horizontal="left" vertical="center" wrapText="1"/>
    </xf>
    <xf numFmtId="0" fontId="44" fillId="22" borderId="24" xfId="0" applyFont="1" applyFill="1" applyBorder="1" applyAlignment="1">
      <alignment horizontal="left" vertical="center"/>
    </xf>
    <xf numFmtId="0" fontId="44" fillId="22" borderId="18" xfId="0" applyFont="1" applyFill="1" applyBorder="1" applyAlignment="1">
      <alignment horizontal="left" vertical="center"/>
    </xf>
    <xf numFmtId="0" fontId="44" fillId="22" borderId="19" xfId="0" applyFont="1" applyFill="1" applyBorder="1" applyAlignment="1">
      <alignment horizontal="left" vertical="center"/>
    </xf>
    <xf numFmtId="0" fontId="44" fillId="22" borderId="13" xfId="0" applyFont="1" applyFill="1" applyBorder="1" applyAlignment="1">
      <alignment horizontal="left" vertical="center" wrapText="1"/>
    </xf>
    <xf numFmtId="0" fontId="44" fillId="22" borderId="0" xfId="0" applyFont="1" applyFill="1" applyAlignment="1">
      <alignment horizontal="left" vertical="center" wrapText="1"/>
    </xf>
    <xf numFmtId="0" fontId="44" fillId="22" borderId="12" xfId="0" applyFont="1" applyFill="1" applyBorder="1" applyAlignment="1">
      <alignment horizontal="left" vertical="center" wrapText="1"/>
    </xf>
    <xf numFmtId="0" fontId="49" fillId="23" borderId="0" xfId="0" applyFont="1" applyFill="1" applyAlignment="1">
      <alignment horizontal="left" vertical="center" wrapText="1"/>
    </xf>
    <xf numFmtId="0" fontId="61" fillId="0" borderId="0" xfId="0" applyFont="1" applyAlignment="1">
      <alignment horizontal="center" vertical="center" wrapText="1"/>
    </xf>
    <xf numFmtId="0" fontId="61" fillId="0" borderId="0" xfId="0" applyFont="1" applyAlignment="1">
      <alignment horizontal="left" vertical="center" wrapText="1"/>
    </xf>
    <xf numFmtId="0" fontId="54" fillId="22" borderId="13" xfId="0" applyFont="1" applyFill="1" applyBorder="1" applyAlignment="1">
      <alignment horizontal="left" vertical="center"/>
    </xf>
    <xf numFmtId="0" fontId="54" fillId="22" borderId="0" xfId="0" applyFont="1" applyFill="1" applyAlignment="1">
      <alignment horizontal="left" vertical="center"/>
    </xf>
    <xf numFmtId="0" fontId="54" fillId="22" borderId="12" xfId="0" applyFont="1" applyFill="1" applyBorder="1" applyAlignment="1">
      <alignment horizontal="left" vertical="center"/>
    </xf>
    <xf numFmtId="0" fontId="62" fillId="26" borderId="0" xfId="0" applyFont="1" applyFill="1" applyAlignment="1">
      <alignment horizontal="left" vertical="center"/>
    </xf>
    <xf numFmtId="0" fontId="62" fillId="27" borderId="0" xfId="0" applyFont="1" applyFill="1" applyAlignment="1">
      <alignment horizontal="left" vertical="center"/>
    </xf>
    <xf numFmtId="0" fontId="54" fillId="22" borderId="24" xfId="0" applyFont="1" applyFill="1" applyBorder="1" applyAlignment="1">
      <alignment horizontal="left" vertical="center" wrapText="1"/>
    </xf>
    <xf numFmtId="0" fontId="54" fillId="22" borderId="18" xfId="0" applyFont="1" applyFill="1" applyBorder="1" applyAlignment="1">
      <alignment horizontal="left" vertical="center" wrapText="1"/>
    </xf>
    <xf numFmtId="0" fontId="54" fillId="22" borderId="19" xfId="0" applyFont="1" applyFill="1" applyBorder="1" applyAlignment="1">
      <alignment horizontal="left" vertical="center" wrapText="1"/>
    </xf>
    <xf numFmtId="0" fontId="27" fillId="0" borderId="18" xfId="0" applyFont="1" applyBorder="1" applyAlignment="1">
      <alignment horizontal="center" vertical="center" textRotation="90"/>
    </xf>
    <xf numFmtId="0" fontId="27" fillId="0" borderId="0" xfId="0" applyFont="1" applyBorder="1" applyAlignment="1">
      <alignment horizontal="center" vertical="center" textRotation="90"/>
    </xf>
    <xf numFmtId="0" fontId="27" fillId="0" borderId="116" xfId="0" applyFont="1" applyBorder="1" applyAlignment="1">
      <alignment horizontal="center" vertical="center" textRotation="90"/>
    </xf>
    <xf numFmtId="0" fontId="27" fillId="58" borderId="0" xfId="0" applyFont="1" applyFill="1" applyBorder="1" applyAlignment="1">
      <alignment horizontal="center" vertical="center" wrapText="1"/>
    </xf>
    <xf numFmtId="0" fontId="27" fillId="0" borderId="0" xfId="0" quotePrefix="1" applyFont="1" applyBorder="1"/>
    <xf numFmtId="0" fontId="62" fillId="35" borderId="58" xfId="0" applyFont="1" applyFill="1" applyBorder="1" applyAlignment="1">
      <alignment horizontal="center" vertical="center"/>
    </xf>
    <xf numFmtId="0" fontId="62" fillId="35" borderId="57" xfId="0" applyFont="1" applyFill="1" applyBorder="1" applyAlignment="1">
      <alignment horizontal="center" vertical="center"/>
    </xf>
    <xf numFmtId="0" fontId="62" fillId="27" borderId="0" xfId="0" applyFont="1" applyFill="1" applyAlignment="1">
      <alignment horizontal="center" vertical="center"/>
    </xf>
    <xf numFmtId="0" fontId="62" fillId="27" borderId="12" xfId="0" applyFont="1" applyFill="1" applyBorder="1" applyAlignment="1">
      <alignment horizontal="center" vertical="center"/>
    </xf>
    <xf numFmtId="0" fontId="62" fillId="27" borderId="28" xfId="0" applyFont="1" applyFill="1" applyBorder="1" applyAlignment="1">
      <alignment horizontal="center" vertical="center"/>
    </xf>
    <xf numFmtId="0" fontId="62" fillId="27" borderId="29" xfId="0" applyFont="1" applyFill="1" applyBorder="1" applyAlignment="1">
      <alignment horizontal="center" vertical="center"/>
    </xf>
    <xf numFmtId="0" fontId="53" fillId="22" borderId="13" xfId="0" applyFont="1" applyFill="1" applyBorder="1" applyAlignment="1">
      <alignment horizontal="left" vertical="center"/>
    </xf>
    <xf numFmtId="0" fontId="53" fillId="22" borderId="0" xfId="0" applyFont="1" applyFill="1" applyAlignment="1">
      <alignment horizontal="left" vertical="center"/>
    </xf>
    <xf numFmtId="0" fontId="53" fillId="22" borderId="12" xfId="0" applyFont="1" applyFill="1" applyBorder="1" applyAlignment="1">
      <alignment horizontal="left" vertical="center"/>
    </xf>
    <xf numFmtId="0" fontId="62" fillId="27" borderId="12" xfId="0" applyFont="1" applyFill="1" applyBorder="1" applyAlignment="1">
      <alignment horizontal="left" vertical="center"/>
    </xf>
    <xf numFmtId="0" fontId="62" fillId="26" borderId="12" xfId="0" applyFont="1" applyFill="1" applyBorder="1" applyAlignment="1">
      <alignment horizontal="left" vertical="center"/>
    </xf>
    <xf numFmtId="0" fontId="19" fillId="33" borderId="52" xfId="0" applyFont="1" applyFill="1" applyBorder="1" applyAlignment="1">
      <alignment horizontal="left" vertical="center" wrapText="1"/>
    </xf>
    <xf numFmtId="0" fontId="19" fillId="33" borderId="38" xfId="0" applyFont="1" applyFill="1" applyBorder="1" applyAlignment="1">
      <alignment horizontal="left" vertical="center" wrapText="1"/>
    </xf>
    <xf numFmtId="0" fontId="19" fillId="33" borderId="39" xfId="0" applyFont="1" applyFill="1" applyBorder="1" applyAlignment="1">
      <alignment horizontal="left" vertical="center" wrapText="1"/>
    </xf>
    <xf numFmtId="0" fontId="12" fillId="32" borderId="52" xfId="0" applyFont="1" applyFill="1" applyBorder="1" applyAlignment="1">
      <alignment horizontal="left" vertical="center" wrapText="1"/>
    </xf>
    <xf numFmtId="0" fontId="19" fillId="32" borderId="38" xfId="0" applyFont="1" applyFill="1" applyBorder="1" applyAlignment="1">
      <alignment horizontal="left" vertical="center" wrapText="1"/>
    </xf>
    <xf numFmtId="0" fontId="19" fillId="32" borderId="39" xfId="0" applyFont="1" applyFill="1" applyBorder="1" applyAlignment="1">
      <alignment horizontal="left" vertical="center" wrapText="1"/>
    </xf>
    <xf numFmtId="0" fontId="10" fillId="32" borderId="59" xfId="0" applyFont="1" applyFill="1" applyBorder="1" applyAlignment="1">
      <alignment horizontal="left" vertical="center"/>
    </xf>
    <xf numFmtId="0" fontId="10" fillId="32" borderId="73" xfId="0" applyFont="1" applyFill="1" applyBorder="1" applyAlignment="1">
      <alignment horizontal="left" vertical="center"/>
    </xf>
    <xf numFmtId="0" fontId="10" fillId="32" borderId="60" xfId="0" applyFont="1" applyFill="1" applyBorder="1" applyAlignment="1">
      <alignment horizontal="left" vertical="center"/>
    </xf>
    <xf numFmtId="0" fontId="8" fillId="32" borderId="52" xfId="0" applyFont="1" applyFill="1" applyBorder="1" applyAlignment="1">
      <alignment horizontal="left" vertical="center" wrapText="1"/>
    </xf>
    <xf numFmtId="0" fontId="62" fillId="26" borderId="13" xfId="0" applyFont="1" applyFill="1" applyBorder="1" applyAlignment="1">
      <alignment horizontal="left" vertical="center"/>
    </xf>
    <xf numFmtId="0" fontId="62" fillId="27" borderId="13" xfId="0" applyFont="1" applyFill="1" applyBorder="1" applyAlignment="1">
      <alignment horizontal="left" vertical="center"/>
    </xf>
    <xf numFmtId="0" fontId="49" fillId="27" borderId="29" xfId="0" applyFont="1" applyFill="1" applyBorder="1"/>
    <xf numFmtId="0" fontId="21" fillId="32" borderId="45" xfId="0" applyFont="1" applyFill="1" applyBorder="1" applyAlignment="1">
      <alignment horizontal="right" vertical="center" wrapText="1"/>
    </xf>
    <xf numFmtId="0" fontId="21" fillId="32" borderId="35" xfId="0" applyFont="1" applyFill="1" applyBorder="1" applyAlignment="1">
      <alignment horizontal="right" vertical="center" wrapText="1"/>
    </xf>
    <xf numFmtId="0" fontId="21" fillId="33" borderId="37" xfId="0" applyFont="1" applyFill="1" applyBorder="1" applyAlignment="1">
      <alignment horizontal="right" vertical="center" wrapText="1"/>
    </xf>
    <xf numFmtId="0" fontId="21" fillId="33" borderId="38" xfId="0" applyFont="1" applyFill="1" applyBorder="1" applyAlignment="1">
      <alignment horizontal="right" vertical="center" wrapText="1"/>
    </xf>
    <xf numFmtId="0" fontId="21" fillId="32" borderId="44" xfId="0" applyFont="1" applyFill="1" applyBorder="1" applyAlignment="1">
      <alignment horizontal="right" vertical="center" wrapText="1"/>
    </xf>
    <xf numFmtId="0" fontId="21" fillId="32" borderId="0" xfId="0" applyFont="1" applyFill="1" applyAlignment="1">
      <alignment horizontal="right" vertical="center" wrapText="1"/>
    </xf>
    <xf numFmtId="0" fontId="62" fillId="27" borderId="13" xfId="0" applyFont="1" applyFill="1" applyBorder="1" applyAlignment="1">
      <alignment horizontal="center" vertical="center"/>
    </xf>
    <xf numFmtId="0" fontId="53" fillId="31" borderId="37" xfId="0" applyFont="1" applyFill="1" applyBorder="1"/>
    <xf numFmtId="0" fontId="53" fillId="31" borderId="38" xfId="0" applyFont="1" applyFill="1" applyBorder="1"/>
    <xf numFmtId="0" fontId="53" fillId="31" borderId="39" xfId="0" applyFont="1" applyFill="1" applyBorder="1"/>
    <xf numFmtId="2" fontId="53" fillId="30" borderId="38" xfId="0" applyNumberFormat="1" applyFont="1" applyFill="1" applyBorder="1" applyAlignment="1">
      <alignment horizontal="right" vertical="center"/>
    </xf>
    <xf numFmtId="2" fontId="53" fillId="30" borderId="39" xfId="0" applyNumberFormat="1" applyFont="1" applyFill="1" applyBorder="1" applyAlignment="1">
      <alignment horizontal="right" vertical="center"/>
    </xf>
    <xf numFmtId="0" fontId="62" fillId="26" borderId="57" xfId="0" applyFont="1" applyFill="1" applyBorder="1" applyAlignment="1">
      <alignment horizontal="center" vertical="center"/>
    </xf>
    <xf numFmtId="2" fontId="53" fillId="31" borderId="0" xfId="0" applyNumberFormat="1" applyFont="1" applyFill="1" applyAlignment="1">
      <alignment horizontal="right" vertical="center"/>
    </xf>
    <xf numFmtId="2" fontId="53" fillId="31" borderId="41" xfId="0" applyNumberFormat="1" applyFont="1" applyFill="1" applyBorder="1" applyAlignment="1">
      <alignment horizontal="right" vertical="center"/>
    </xf>
    <xf numFmtId="0" fontId="53" fillId="30" borderId="38" xfId="0" applyFont="1" applyFill="1" applyBorder="1" applyAlignment="1">
      <alignment vertical="center"/>
    </xf>
    <xf numFmtId="0" fontId="53" fillId="31" borderId="37" xfId="0" applyFont="1" applyFill="1" applyBorder="1" applyAlignment="1">
      <alignment horizontal="right" vertical="center"/>
    </xf>
    <xf numFmtId="0" fontId="53" fillId="31" borderId="38" xfId="0" applyFont="1" applyFill="1" applyBorder="1" applyAlignment="1">
      <alignment horizontal="right" vertical="center"/>
    </xf>
    <xf numFmtId="0" fontId="53" fillId="31" borderId="39" xfId="0" applyFont="1" applyFill="1" applyBorder="1" applyAlignment="1">
      <alignment horizontal="right" vertical="center"/>
    </xf>
    <xf numFmtId="0" fontId="53" fillId="30" borderId="37" xfId="0" applyFont="1" applyFill="1" applyBorder="1"/>
    <xf numFmtId="0" fontId="53" fillId="30" borderId="38" xfId="0" applyFont="1" applyFill="1" applyBorder="1"/>
    <xf numFmtId="0" fontId="53" fillId="30" borderId="39" xfId="0" applyFont="1" applyFill="1" applyBorder="1"/>
    <xf numFmtId="0" fontId="62" fillId="26" borderId="64" xfId="0" applyFont="1" applyFill="1" applyBorder="1" applyAlignment="1">
      <alignment horizontal="center"/>
    </xf>
    <xf numFmtId="0" fontId="62" fillId="26" borderId="57" xfId="0" applyFont="1" applyFill="1" applyBorder="1" applyAlignment="1">
      <alignment horizontal="center"/>
    </xf>
    <xf numFmtId="0" fontId="53" fillId="31" borderId="44" xfId="0" applyFont="1" applyFill="1" applyBorder="1"/>
    <xf numFmtId="0" fontId="53" fillId="31" borderId="0" xfId="0" applyFont="1" applyFill="1"/>
    <xf numFmtId="0" fontId="53" fillId="31" borderId="41" xfId="0" applyFont="1" applyFill="1" applyBorder="1"/>
    <xf numFmtId="0" fontId="53" fillId="31" borderId="0" xfId="0" applyFont="1" applyFill="1" applyAlignment="1">
      <alignment vertical="center"/>
    </xf>
    <xf numFmtId="0" fontId="53" fillId="31" borderId="41" xfId="0" applyFont="1" applyFill="1" applyBorder="1" applyAlignment="1">
      <alignment vertical="center"/>
    </xf>
    <xf numFmtId="0" fontId="62" fillId="26" borderId="64" xfId="0" applyFont="1" applyFill="1" applyBorder="1" applyAlignment="1">
      <alignment horizontal="center" vertical="center"/>
    </xf>
    <xf numFmtId="0" fontId="53" fillId="30" borderId="53" xfId="0" applyFont="1" applyFill="1" applyBorder="1" applyAlignment="1">
      <alignment horizontal="left" vertical="center"/>
    </xf>
    <xf numFmtId="0" fontId="53" fillId="30" borderId="26" xfId="0" applyFont="1" applyFill="1" applyBorder="1" applyAlignment="1">
      <alignment horizontal="left" vertical="center"/>
    </xf>
    <xf numFmtId="0" fontId="53" fillId="30" borderId="32" xfId="0" applyFont="1" applyFill="1" applyBorder="1" applyAlignment="1">
      <alignment horizontal="left" vertical="center"/>
    </xf>
    <xf numFmtId="1" fontId="53" fillId="30" borderId="37" xfId="0" applyNumberFormat="1" applyFont="1" applyFill="1" applyBorder="1" applyAlignment="1">
      <alignment horizontal="right" vertical="center"/>
    </xf>
    <xf numFmtId="1" fontId="53" fillId="30" borderId="38" xfId="0" applyNumberFormat="1" applyFont="1" applyFill="1" applyBorder="1" applyAlignment="1">
      <alignment horizontal="right" vertical="center"/>
    </xf>
    <xf numFmtId="1" fontId="53" fillId="30" borderId="39" xfId="0" applyNumberFormat="1" applyFont="1" applyFill="1" applyBorder="1" applyAlignment="1">
      <alignment horizontal="right" vertical="center"/>
    </xf>
    <xf numFmtId="2" fontId="53" fillId="31" borderId="38" xfId="0" applyNumberFormat="1" applyFont="1" applyFill="1" applyBorder="1" applyAlignment="1">
      <alignment horizontal="right" vertical="center"/>
    </xf>
    <xf numFmtId="2" fontId="53" fillId="31" borderId="39" xfId="0" applyNumberFormat="1" applyFont="1" applyFill="1" applyBorder="1" applyAlignment="1">
      <alignment horizontal="right" vertical="center"/>
    </xf>
    <xf numFmtId="2" fontId="53" fillId="30" borderId="52" xfId="0" applyNumberFormat="1" applyFont="1" applyFill="1" applyBorder="1" applyAlignment="1">
      <alignment horizontal="right" vertical="center"/>
    </xf>
    <xf numFmtId="2" fontId="53" fillId="31" borderId="52" xfId="0" applyNumberFormat="1" applyFont="1" applyFill="1" applyBorder="1" applyAlignment="1">
      <alignment horizontal="right" vertical="center"/>
    </xf>
    <xf numFmtId="0" fontId="53" fillId="30" borderId="27" xfId="0" applyFont="1" applyFill="1" applyBorder="1" applyAlignment="1">
      <alignment horizontal="right"/>
    </xf>
    <xf numFmtId="0" fontId="53" fillId="30" borderId="26" xfId="0" applyFont="1" applyFill="1" applyBorder="1" applyAlignment="1">
      <alignment horizontal="right"/>
    </xf>
    <xf numFmtId="0" fontId="53" fillId="31" borderId="59" xfId="0" applyFont="1" applyFill="1" applyBorder="1" applyAlignment="1">
      <alignment horizontal="left" vertical="center"/>
    </xf>
    <xf numFmtId="0" fontId="53" fillId="31" borderId="73" xfId="0" applyFont="1" applyFill="1" applyBorder="1" applyAlignment="1">
      <alignment horizontal="left" vertical="center"/>
    </xf>
    <xf numFmtId="0" fontId="53" fillId="31" borderId="60" xfId="0" applyFont="1" applyFill="1" applyBorder="1" applyAlignment="1">
      <alignment horizontal="left" vertical="center"/>
    </xf>
    <xf numFmtId="1" fontId="53" fillId="31" borderId="74" xfId="0" applyNumberFormat="1" applyFont="1" applyFill="1" applyBorder="1" applyAlignment="1">
      <alignment horizontal="right" vertical="center"/>
    </xf>
    <xf numFmtId="0" fontId="0" fillId="31" borderId="73" xfId="0" applyFill="1" applyBorder="1"/>
    <xf numFmtId="0" fontId="62" fillId="27" borderId="58" xfId="0" applyFont="1" applyFill="1" applyBorder="1" applyAlignment="1">
      <alignment horizontal="center" vertical="center"/>
    </xf>
    <xf numFmtId="0" fontId="62" fillId="27" borderId="57" xfId="0" applyFont="1" applyFill="1" applyBorder="1" applyAlignment="1">
      <alignment horizontal="center" vertical="center"/>
    </xf>
    <xf numFmtId="0" fontId="53" fillId="28" borderId="52" xfId="0" applyFont="1" applyFill="1" applyBorder="1" applyAlignment="1">
      <alignment horizontal="left" vertical="center"/>
    </xf>
    <xf numFmtId="0" fontId="53" fillId="28" borderId="38" xfId="0" applyFont="1" applyFill="1" applyBorder="1" applyAlignment="1">
      <alignment horizontal="left" vertical="center"/>
    </xf>
    <xf numFmtId="0" fontId="53" fillId="28" borderId="39" xfId="0" applyFont="1" applyFill="1" applyBorder="1" applyAlignment="1">
      <alignment horizontal="left" vertical="center"/>
    </xf>
    <xf numFmtId="165" fontId="53" fillId="28" borderId="37" xfId="0" applyNumberFormat="1" applyFont="1" applyFill="1" applyBorder="1" applyAlignment="1">
      <alignment horizontal="right" vertical="center"/>
    </xf>
    <xf numFmtId="165" fontId="53" fillId="28" borderId="38" xfId="0" applyNumberFormat="1" applyFont="1" applyFill="1" applyBorder="1" applyAlignment="1">
      <alignment horizontal="right" vertical="center"/>
    </xf>
    <xf numFmtId="0" fontId="53" fillId="29" borderId="26" xfId="0" applyFont="1" applyFill="1" applyBorder="1" applyAlignment="1">
      <alignment horizontal="left" vertical="center"/>
    </xf>
    <xf numFmtId="0" fontId="53" fillId="29" borderId="32" xfId="0" applyFont="1" applyFill="1" applyBorder="1" applyAlignment="1">
      <alignment horizontal="left" vertical="center"/>
    </xf>
    <xf numFmtId="0" fontId="53" fillId="30" borderId="37" xfId="0" applyFont="1" applyFill="1" applyBorder="1" applyAlignment="1">
      <alignment horizontal="right" vertical="center"/>
    </xf>
    <xf numFmtId="0" fontId="53" fillId="30" borderId="38" xfId="0" applyFont="1" applyFill="1" applyBorder="1" applyAlignment="1">
      <alignment horizontal="right" vertical="center"/>
    </xf>
    <xf numFmtId="0" fontId="53" fillId="30" borderId="39" xfId="0" applyFont="1" applyFill="1" applyBorder="1" applyAlignment="1">
      <alignment horizontal="right" vertical="center"/>
    </xf>
    <xf numFmtId="0" fontId="62" fillId="26" borderId="33" xfId="0" applyFont="1" applyFill="1" applyBorder="1" applyAlignment="1">
      <alignment horizontal="center" vertical="center"/>
    </xf>
    <xf numFmtId="0" fontId="62" fillId="26" borderId="29" xfId="0" applyFont="1" applyFill="1" applyBorder="1" applyAlignment="1">
      <alignment horizontal="center" vertical="center"/>
    </xf>
    <xf numFmtId="0" fontId="62" fillId="26" borderId="30" xfId="0" applyFont="1" applyFill="1" applyBorder="1" applyAlignment="1">
      <alignment horizontal="center" vertical="center"/>
    </xf>
    <xf numFmtId="0" fontId="62" fillId="26" borderId="41" xfId="0" applyFont="1" applyFill="1" applyBorder="1" applyAlignment="1">
      <alignment horizontal="center" vertical="center"/>
    </xf>
    <xf numFmtId="0" fontId="62" fillId="26" borderId="42" xfId="0" applyFont="1" applyFill="1" applyBorder="1" applyAlignment="1">
      <alignment horizontal="center" vertical="center"/>
    </xf>
    <xf numFmtId="0" fontId="62" fillId="26" borderId="43" xfId="0" applyFont="1" applyFill="1" applyBorder="1" applyAlignment="1">
      <alignment horizontal="center" vertical="center" wrapText="1"/>
    </xf>
    <xf numFmtId="0" fontId="62" fillId="26" borderId="63" xfId="0" applyFont="1" applyFill="1" applyBorder="1" applyAlignment="1">
      <alignment horizontal="center" vertical="center" wrapText="1"/>
    </xf>
    <xf numFmtId="0" fontId="62" fillId="26" borderId="58" xfId="0" applyFont="1" applyFill="1" applyBorder="1" applyAlignment="1">
      <alignment horizontal="center" vertical="center"/>
    </xf>
    <xf numFmtId="0" fontId="53" fillId="31" borderId="0" xfId="0" applyFont="1" applyFill="1" applyAlignment="1">
      <alignment horizontal="left" vertical="center"/>
    </xf>
    <xf numFmtId="0" fontId="62" fillId="26" borderId="0" xfId="0" applyFont="1" applyFill="1" applyAlignment="1">
      <alignment horizontal="center" vertical="center"/>
    </xf>
    <xf numFmtId="2" fontId="53" fillId="31" borderId="44" xfId="0" applyNumberFormat="1" applyFont="1" applyFill="1" applyBorder="1" applyAlignment="1">
      <alignment horizontal="right" vertical="center"/>
    </xf>
    <xf numFmtId="2" fontId="0" fillId="31" borderId="0" xfId="0" applyNumberFormat="1" applyFill="1"/>
    <xf numFmtId="1" fontId="53" fillId="31" borderId="37" xfId="0" applyNumberFormat="1" applyFont="1" applyFill="1" applyBorder="1" applyAlignment="1">
      <alignment horizontal="right" vertical="center"/>
    </xf>
    <xf numFmtId="1" fontId="53" fillId="31" borderId="38" xfId="0" applyNumberFormat="1" applyFont="1" applyFill="1" applyBorder="1" applyAlignment="1">
      <alignment horizontal="right" vertical="center"/>
    </xf>
    <xf numFmtId="1" fontId="53" fillId="31" borderId="39" xfId="0" applyNumberFormat="1" applyFont="1" applyFill="1" applyBorder="1" applyAlignment="1">
      <alignment horizontal="right" vertical="center"/>
    </xf>
    <xf numFmtId="0" fontId="53" fillId="31" borderId="52" xfId="0" applyFont="1" applyFill="1" applyBorder="1" applyAlignment="1">
      <alignment horizontal="left" vertical="center"/>
    </xf>
    <xf numFmtId="0" fontId="53" fillId="31" borderId="38" xfId="0" applyFont="1" applyFill="1" applyBorder="1" applyAlignment="1">
      <alignment horizontal="left" vertical="center"/>
    </xf>
    <xf numFmtId="0" fontId="53" fillId="31" borderId="39" xfId="0" applyFont="1" applyFill="1" applyBorder="1" applyAlignment="1">
      <alignment horizontal="left" vertical="center"/>
    </xf>
    <xf numFmtId="0" fontId="53" fillId="30" borderId="52" xfId="0" applyFont="1" applyFill="1" applyBorder="1" applyAlignment="1">
      <alignment horizontal="left" vertical="center"/>
    </xf>
    <xf numFmtId="0" fontId="53" fillId="30" borderId="38" xfId="0" applyFont="1" applyFill="1" applyBorder="1" applyAlignment="1">
      <alignment horizontal="left" vertical="center"/>
    </xf>
    <xf numFmtId="0" fontId="53" fillId="30" borderId="39" xfId="0" applyFont="1" applyFill="1" applyBorder="1" applyAlignment="1">
      <alignment horizontal="left" vertical="center"/>
    </xf>
    <xf numFmtId="2" fontId="53" fillId="30" borderId="37" xfId="0" applyNumberFormat="1" applyFont="1" applyFill="1" applyBorder="1" applyAlignment="1">
      <alignment horizontal="right" vertical="center"/>
    </xf>
    <xf numFmtId="165" fontId="53" fillId="29" borderId="44" xfId="0" applyNumberFormat="1" applyFont="1" applyFill="1" applyBorder="1" applyAlignment="1">
      <alignment horizontal="right" vertical="center"/>
    </xf>
    <xf numFmtId="165" fontId="53" fillId="29" borderId="0" xfId="0" applyNumberFormat="1" applyFont="1" applyFill="1" applyAlignment="1">
      <alignment horizontal="right" vertical="center"/>
    </xf>
    <xf numFmtId="0" fontId="53" fillId="29" borderId="59" xfId="0" applyFont="1" applyFill="1" applyBorder="1" applyAlignment="1">
      <alignment horizontal="left" vertical="center"/>
    </xf>
    <xf numFmtId="0" fontId="53" fillId="29" borderId="73" xfId="0" applyFont="1" applyFill="1" applyBorder="1" applyAlignment="1">
      <alignment horizontal="left" vertical="center"/>
    </xf>
    <xf numFmtId="0" fontId="53" fillId="29" borderId="60" xfId="0" applyFont="1" applyFill="1" applyBorder="1" applyAlignment="1">
      <alignment horizontal="left" vertical="center"/>
    </xf>
    <xf numFmtId="165" fontId="53" fillId="29" borderId="33" xfId="0" applyNumberFormat="1" applyFont="1" applyFill="1" applyBorder="1" applyAlignment="1">
      <alignment horizontal="right" vertical="center"/>
    </xf>
    <xf numFmtId="165" fontId="53" fillId="29" borderId="29" xfId="0" applyNumberFormat="1" applyFont="1" applyFill="1" applyBorder="1" applyAlignment="1">
      <alignment horizontal="right" vertical="center"/>
    </xf>
    <xf numFmtId="0" fontId="53" fillId="29" borderId="29" xfId="0" applyFont="1" applyFill="1" applyBorder="1" applyAlignment="1">
      <alignment horizontal="left" vertical="center"/>
    </xf>
    <xf numFmtId="0" fontId="53" fillId="29" borderId="34" xfId="0" applyFont="1" applyFill="1" applyBorder="1" applyAlignment="1">
      <alignment horizontal="left" vertical="center"/>
    </xf>
    <xf numFmtId="0" fontId="62" fillId="27" borderId="0" xfId="0" applyFont="1" applyFill="1" applyAlignment="1">
      <alignment horizontal="left"/>
    </xf>
    <xf numFmtId="0" fontId="53" fillId="29" borderId="69" xfId="0" applyFont="1" applyFill="1" applyBorder="1" applyAlignment="1">
      <alignment horizontal="left" vertical="center" wrapText="1"/>
    </xf>
    <xf numFmtId="0" fontId="53" fillId="29" borderId="35" xfId="0" applyFont="1" applyFill="1" applyBorder="1" applyAlignment="1">
      <alignment horizontal="left" vertical="center" wrapText="1"/>
    </xf>
    <xf numFmtId="0" fontId="53" fillId="29" borderId="70" xfId="0" applyFont="1" applyFill="1" applyBorder="1" applyAlignment="1">
      <alignment horizontal="left" vertical="center" wrapText="1"/>
    </xf>
    <xf numFmtId="0" fontId="53" fillId="29" borderId="13" xfId="0" applyFont="1" applyFill="1" applyBorder="1" applyAlignment="1">
      <alignment horizontal="left" vertical="center" wrapText="1"/>
    </xf>
    <xf numFmtId="0" fontId="53" fillId="29" borderId="0" xfId="0" applyFont="1" applyFill="1" applyAlignment="1">
      <alignment horizontal="left" vertical="center" wrapText="1"/>
    </xf>
    <xf numFmtId="0" fontId="53" fillId="29" borderId="12" xfId="0" applyFont="1" applyFill="1" applyBorder="1" applyAlignment="1">
      <alignment horizontal="left" vertical="center" wrapText="1"/>
    </xf>
    <xf numFmtId="0" fontId="62" fillId="27" borderId="12" xfId="0" applyFont="1" applyFill="1" applyBorder="1" applyAlignment="1">
      <alignment horizontal="left"/>
    </xf>
    <xf numFmtId="0" fontId="53" fillId="28" borderId="26" xfId="0" applyFont="1" applyFill="1" applyBorder="1" applyAlignment="1">
      <alignment horizontal="left" vertical="center"/>
    </xf>
    <xf numFmtId="0" fontId="53" fillId="28" borderId="32" xfId="0" applyFont="1" applyFill="1" applyBorder="1" applyAlignment="1">
      <alignment horizontal="left" vertical="center"/>
    </xf>
    <xf numFmtId="0" fontId="53" fillId="29" borderId="0" xfId="0" applyFont="1" applyFill="1" applyAlignment="1">
      <alignment horizontal="right" vertical="center"/>
    </xf>
    <xf numFmtId="0" fontId="53" fillId="29" borderId="0" xfId="0" applyFont="1" applyFill="1" applyAlignment="1">
      <alignment horizontal="left" vertical="center"/>
    </xf>
    <xf numFmtId="0" fontId="53" fillId="29" borderId="41" xfId="0" applyFont="1" applyFill="1" applyBorder="1" applyAlignment="1">
      <alignment horizontal="left" vertical="center"/>
    </xf>
    <xf numFmtId="0" fontId="53" fillId="28" borderId="27" xfId="0" applyFont="1" applyFill="1" applyBorder="1" applyAlignment="1">
      <alignment horizontal="right" vertical="center"/>
    </xf>
    <xf numFmtId="0" fontId="53" fillId="28" borderId="26" xfId="0" applyFont="1" applyFill="1" applyBorder="1" applyAlignment="1">
      <alignment horizontal="right" vertical="center"/>
    </xf>
    <xf numFmtId="170" fontId="53" fillId="28" borderId="37" xfId="0" applyNumberFormat="1" applyFont="1" applyFill="1" applyBorder="1" applyAlignment="1">
      <alignment horizontal="right" vertical="center"/>
    </xf>
    <xf numFmtId="170" fontId="53" fillId="28" borderId="38" xfId="0" applyNumberFormat="1" applyFont="1" applyFill="1" applyBorder="1" applyAlignment="1">
      <alignment horizontal="right" vertical="center"/>
    </xf>
    <xf numFmtId="0" fontId="53" fillId="29" borderId="74" xfId="0" applyFont="1" applyFill="1" applyBorder="1" applyAlignment="1">
      <alignment horizontal="right" vertical="center"/>
    </xf>
    <xf numFmtId="0" fontId="53" fillId="29" borderId="73" xfId="0" applyFont="1" applyFill="1" applyBorder="1" applyAlignment="1">
      <alignment horizontal="right" vertical="center"/>
    </xf>
    <xf numFmtId="165" fontId="53" fillId="29" borderId="38" xfId="0" applyNumberFormat="1" applyFont="1" applyFill="1" applyBorder="1" applyAlignment="1">
      <alignment horizontal="right" vertical="center"/>
    </xf>
    <xf numFmtId="0" fontId="62" fillId="26" borderId="53" xfId="0" applyFont="1" applyFill="1" applyBorder="1" applyAlignment="1">
      <alignment horizontal="center"/>
    </xf>
    <xf numFmtId="0" fontId="62" fillId="26" borderId="26" xfId="0" applyFont="1" applyFill="1" applyBorder="1" applyAlignment="1">
      <alignment horizontal="center"/>
    </xf>
    <xf numFmtId="0" fontId="62" fillId="26" borderId="32" xfId="0" applyFont="1" applyFill="1" applyBorder="1" applyAlignment="1">
      <alignment horizontal="center"/>
    </xf>
    <xf numFmtId="177" fontId="53" fillId="29" borderId="33" xfId="0" applyNumberFormat="1" applyFont="1" applyFill="1" applyBorder="1" applyAlignment="1">
      <alignment horizontal="right" vertical="center"/>
    </xf>
    <xf numFmtId="177" fontId="53" fillId="29" borderId="29" xfId="0" applyNumberFormat="1" applyFont="1" applyFill="1" applyBorder="1" applyAlignment="1">
      <alignment horizontal="right" vertical="center"/>
    </xf>
    <xf numFmtId="0" fontId="53" fillId="31" borderId="0" xfId="0" applyFont="1" applyFill="1" applyAlignment="1">
      <alignment horizontal="right" vertical="center"/>
    </xf>
    <xf numFmtId="0" fontId="54" fillId="22" borderId="17" xfId="0" applyFont="1" applyFill="1" applyBorder="1" applyAlignment="1">
      <alignment horizontal="left" vertical="center"/>
    </xf>
    <xf numFmtId="0" fontId="54" fillId="22" borderId="116" xfId="0" applyFont="1" applyFill="1" applyBorder="1" applyAlignment="1">
      <alignment horizontal="left" vertical="center"/>
    </xf>
    <xf numFmtId="0" fontId="54" fillId="22" borderId="13" xfId="0" applyFont="1" applyFill="1" applyBorder="1" applyAlignment="1">
      <alignment horizontal="left" vertical="center" wrapText="1"/>
    </xf>
    <xf numFmtId="0" fontId="54" fillId="22" borderId="0" xfId="0" applyFont="1" applyFill="1" applyAlignment="1">
      <alignment horizontal="left" vertical="center" wrapText="1"/>
    </xf>
    <xf numFmtId="0" fontId="54" fillId="22" borderId="12" xfId="0" applyFont="1" applyFill="1" applyBorder="1" applyAlignment="1">
      <alignment horizontal="left" vertical="center" wrapText="1"/>
    </xf>
    <xf numFmtId="0" fontId="54" fillId="22" borderId="0" xfId="0" applyFont="1" applyFill="1" applyAlignment="1">
      <alignment vertical="center"/>
    </xf>
    <xf numFmtId="0" fontId="53" fillId="22" borderId="0" xfId="0" applyFont="1" applyFill="1" applyAlignment="1">
      <alignment vertical="center"/>
    </xf>
    <xf numFmtId="0" fontId="53" fillId="0" borderId="13" xfId="0" applyFont="1" applyBorder="1" applyAlignment="1">
      <alignment horizontal="left" vertical="top" wrapText="1"/>
    </xf>
    <xf numFmtId="0" fontId="53" fillId="0" borderId="12" xfId="0" applyFont="1" applyBorder="1" applyAlignment="1">
      <alignment horizontal="left" vertical="top" wrapText="1"/>
    </xf>
    <xf numFmtId="0" fontId="62" fillId="35" borderId="58" xfId="0" applyFont="1" applyFill="1" applyBorder="1" applyAlignment="1">
      <alignment horizontal="left" vertical="center"/>
    </xf>
    <xf numFmtId="0" fontId="62" fillId="35" borderId="57" xfId="0" applyFont="1" applyFill="1" applyBorder="1" applyAlignment="1">
      <alignment horizontal="left" vertical="center"/>
    </xf>
    <xf numFmtId="0" fontId="44" fillId="29" borderId="75" xfId="0" applyFont="1" applyFill="1" applyBorder="1" applyAlignment="1">
      <alignment horizontal="left" vertical="center"/>
    </xf>
    <xf numFmtId="0" fontId="44" fillId="29" borderId="71" xfId="0" applyFont="1" applyFill="1" applyBorder="1" applyAlignment="1">
      <alignment horizontal="left" vertical="center"/>
    </xf>
    <xf numFmtId="0" fontId="62" fillId="24" borderId="13" xfId="0" applyFont="1" applyFill="1" applyBorder="1" applyAlignment="1">
      <alignment horizontal="left"/>
    </xf>
    <xf numFmtId="0" fontId="62" fillId="24" borderId="0" xfId="0" applyFont="1" applyFill="1" applyAlignment="1">
      <alignment horizontal="left"/>
    </xf>
    <xf numFmtId="0" fontId="62" fillId="24" borderId="12" xfId="0" applyFont="1" applyFill="1" applyBorder="1" applyAlignment="1">
      <alignment horizontal="left"/>
    </xf>
    <xf numFmtId="0" fontId="27" fillId="0" borderId="0" xfId="0" applyFont="1" applyAlignment="1">
      <alignment horizontal="center"/>
    </xf>
    <xf numFmtId="0" fontId="54" fillId="0" borderId="22" xfId="0" applyFont="1" applyBorder="1" applyAlignment="1">
      <alignment horizontal="left"/>
    </xf>
    <xf numFmtId="0" fontId="54" fillId="0" borderId="16" xfId="0" applyFont="1" applyBorder="1" applyAlignment="1">
      <alignment horizontal="left"/>
    </xf>
    <xf numFmtId="0" fontId="54" fillId="0" borderId="21" xfId="0" applyFont="1" applyBorder="1" applyAlignment="1">
      <alignment horizontal="left"/>
    </xf>
    <xf numFmtId="0" fontId="54" fillId="23" borderId="0" xfId="0" applyFont="1" applyFill="1" applyAlignment="1">
      <alignment horizontal="left"/>
    </xf>
    <xf numFmtId="0" fontId="53" fillId="0" borderId="24" xfId="0" applyFont="1" applyBorder="1" applyAlignment="1">
      <alignment horizontal="left"/>
    </xf>
    <xf numFmtId="0" fontId="53" fillId="0" borderId="18" xfId="0" applyFont="1" applyBorder="1" applyAlignment="1">
      <alignment horizontal="left"/>
    </xf>
    <xf numFmtId="0" fontId="53" fillId="0" borderId="19" xfId="0" applyFont="1" applyBorder="1" applyAlignment="1">
      <alignment horizontal="left"/>
    </xf>
    <xf numFmtId="0" fontId="53" fillId="0" borderId="20" xfId="0" applyFont="1" applyBorder="1" applyAlignment="1">
      <alignment horizontal="center"/>
    </xf>
    <xf numFmtId="0" fontId="53" fillId="23" borderId="0" xfId="0" applyFont="1" applyFill="1" applyAlignment="1">
      <alignment horizontal="left"/>
    </xf>
    <xf numFmtId="0" fontId="53" fillId="23" borderId="12" xfId="0" applyFont="1" applyFill="1" applyBorder="1" applyAlignment="1">
      <alignment horizontal="left"/>
    </xf>
    <xf numFmtId="0" fontId="53" fillId="0" borderId="0" xfId="0" applyFont="1" applyAlignment="1">
      <alignment horizontal="left"/>
    </xf>
    <xf numFmtId="0" fontId="53" fillId="0" borderId="12" xfId="0" applyFont="1" applyBorder="1" applyAlignment="1">
      <alignment horizontal="left"/>
    </xf>
    <xf numFmtId="0" fontId="54" fillId="22" borderId="0" xfId="0" applyFont="1" applyFill="1" applyAlignment="1">
      <alignment horizontal="left"/>
    </xf>
    <xf numFmtId="0" fontId="53" fillId="23" borderId="0" xfId="0" applyFont="1" applyFill="1" applyAlignment="1">
      <alignment horizontal="left" vertical="center"/>
    </xf>
    <xf numFmtId="0" fontId="53" fillId="23" borderId="12" xfId="0" applyFont="1" applyFill="1" applyBorder="1" applyAlignment="1">
      <alignment horizontal="left" vertical="center"/>
    </xf>
    <xf numFmtId="0" fontId="44" fillId="0" borderId="13" xfId="0" applyFont="1" applyBorder="1" applyAlignment="1">
      <alignment horizontal="left" vertical="center" wrapText="1"/>
    </xf>
    <xf numFmtId="0" fontId="44" fillId="0" borderId="12" xfId="0" applyFont="1" applyBorder="1" applyAlignment="1">
      <alignment horizontal="left" vertical="center" wrapText="1"/>
    </xf>
    <xf numFmtId="0" fontId="53" fillId="0" borderId="0" xfId="0" applyFont="1" applyAlignment="1">
      <alignment horizontal="left" vertical="center"/>
    </xf>
    <xf numFmtId="0" fontId="53" fillId="0" borderId="12" xfId="0" applyFont="1" applyBorder="1" applyAlignment="1">
      <alignment horizontal="left" vertical="center"/>
    </xf>
    <xf numFmtId="0" fontId="53" fillId="0" borderId="13" xfId="0" applyFont="1" applyBorder="1" applyAlignment="1">
      <alignment horizontal="left" vertical="center" wrapText="1"/>
    </xf>
    <xf numFmtId="0" fontId="53" fillId="0" borderId="0" xfId="0" applyFont="1" applyAlignment="1">
      <alignment horizontal="left" vertical="center" wrapText="1"/>
    </xf>
    <xf numFmtId="0" fontId="53" fillId="0" borderId="12" xfId="0" applyFont="1" applyBorder="1" applyAlignment="1">
      <alignment horizontal="left" vertical="center" wrapText="1"/>
    </xf>
    <xf numFmtId="0" fontId="53" fillId="23" borderId="0" xfId="0" applyFont="1" applyFill="1" applyAlignment="1">
      <alignment horizontal="left" vertical="center" wrapText="1"/>
    </xf>
    <xf numFmtId="0" fontId="53" fillId="23" borderId="12" xfId="0" applyFont="1" applyFill="1" applyBorder="1" applyAlignment="1">
      <alignment horizontal="left" vertical="center" wrapText="1"/>
    </xf>
    <xf numFmtId="0" fontId="23" fillId="22" borderId="24" xfId="0" applyFont="1" applyFill="1" applyBorder="1" applyAlignment="1">
      <alignment horizontal="left" vertical="center"/>
    </xf>
    <xf numFmtId="0" fontId="23" fillId="22" borderId="18" xfId="0" applyFont="1" applyFill="1" applyBorder="1" applyAlignment="1">
      <alignment horizontal="left" vertical="center"/>
    </xf>
    <xf numFmtId="0" fontId="23" fillId="22" borderId="19" xfId="0" applyFont="1" applyFill="1" applyBorder="1" applyAlignment="1">
      <alignment horizontal="left" vertical="center"/>
    </xf>
    <xf numFmtId="0" fontId="60" fillId="24" borderId="13" xfId="0" applyFont="1" applyFill="1" applyBorder="1" applyAlignment="1">
      <alignment vertical="center"/>
    </xf>
    <xf numFmtId="0" fontId="61" fillId="24" borderId="0" xfId="0" applyFont="1" applyFill="1" applyAlignment="1">
      <alignment vertical="center"/>
    </xf>
    <xf numFmtId="0" fontId="60" fillId="24" borderId="0" xfId="0" applyFont="1" applyFill="1" applyAlignment="1">
      <alignment vertical="center"/>
    </xf>
    <xf numFmtId="49" fontId="53" fillId="23" borderId="13" xfId="0" applyNumberFormat="1" applyFont="1" applyFill="1" applyBorder="1" applyAlignment="1">
      <alignment horizontal="left" vertical="center" wrapText="1"/>
    </xf>
    <xf numFmtId="49" fontId="53" fillId="23" borderId="0" xfId="0" applyNumberFormat="1" applyFont="1" applyFill="1" applyAlignment="1">
      <alignment horizontal="left" vertical="center" wrapText="1"/>
    </xf>
    <xf numFmtId="49" fontId="53" fillId="23" borderId="12" xfId="0" applyNumberFormat="1" applyFont="1" applyFill="1" applyBorder="1" applyAlignment="1">
      <alignment horizontal="left" vertical="center" wrapText="1"/>
    </xf>
    <xf numFmtId="0" fontId="44" fillId="0" borderId="13" xfId="0" applyFont="1" applyBorder="1" applyAlignment="1">
      <alignment vertical="top" wrapText="1"/>
    </xf>
    <xf numFmtId="0" fontId="44" fillId="0" borderId="0" xfId="0" applyFont="1" applyAlignment="1">
      <alignment vertical="top" wrapText="1"/>
    </xf>
    <xf numFmtId="0" fontId="44" fillId="0" borderId="12" xfId="0" applyFont="1" applyBorder="1" applyAlignment="1">
      <alignment vertical="top" wrapText="1"/>
    </xf>
    <xf numFmtId="0" fontId="53" fillId="23" borderId="13" xfId="0" applyFont="1" applyFill="1" applyBorder="1" applyAlignment="1">
      <alignment horizontal="left" vertical="center" wrapText="1"/>
    </xf>
    <xf numFmtId="0" fontId="60" fillId="24" borderId="0" xfId="0" applyFont="1" applyFill="1" applyAlignment="1">
      <alignment horizontal="right" vertical="center"/>
    </xf>
    <xf numFmtId="0" fontId="53" fillId="23" borderId="13" xfId="0" applyFont="1" applyFill="1" applyBorder="1" applyAlignment="1">
      <alignment horizontal="left" vertical="center"/>
    </xf>
    <xf numFmtId="0" fontId="53" fillId="0" borderId="13" xfId="0" applyFont="1" applyBorder="1" applyAlignment="1">
      <alignment horizontal="left" vertical="center"/>
    </xf>
    <xf numFmtId="0" fontId="0" fillId="0" borderId="0" xfId="0" applyAlignment="1">
      <alignment horizontal="left" vertical="center" wrapText="1"/>
    </xf>
    <xf numFmtId="0" fontId="0" fillId="0" borderId="12" xfId="0" applyBorder="1" applyAlignment="1">
      <alignment horizontal="left" vertical="center" wrapText="1"/>
    </xf>
    <xf numFmtId="0" fontId="53" fillId="0" borderId="13" xfId="0" applyFont="1" applyBorder="1" applyAlignment="1">
      <alignment vertical="center"/>
    </xf>
    <xf numFmtId="0" fontId="53" fillId="0" borderId="0" xfId="0" applyFont="1" applyAlignment="1">
      <alignment vertical="center"/>
    </xf>
    <xf numFmtId="0" fontId="53" fillId="0" borderId="12" xfId="0" applyFont="1" applyBorder="1" applyAlignment="1">
      <alignment vertical="center"/>
    </xf>
    <xf numFmtId="0" fontId="53" fillId="0" borderId="0" xfId="0" applyFont="1" applyBorder="1" applyAlignment="1">
      <alignment horizontal="left" vertical="center" wrapText="1"/>
    </xf>
  </cellXfs>
  <cellStyles count="50">
    <cellStyle name="20% - Accent3" xfId="48" builtinId="38" hidden="1" customBuiltin="1"/>
    <cellStyle name="60% - Accent2" xfId="47" builtinId="36" hidden="1" customBuiltin="1"/>
    <cellStyle name="Accent1" xfId="1" builtinId="29" customBuiltin="1"/>
    <cellStyle name="Accent1 - 20%" xfId="2" xr:uid="{00000000-0005-0000-0000-000003000000}"/>
    <cellStyle name="Accent1 - 40%" xfId="3" xr:uid="{00000000-0005-0000-0000-000004000000}"/>
    <cellStyle name="Accent1 - 60%" xfId="4" xr:uid="{00000000-0005-0000-0000-000005000000}"/>
    <cellStyle name="Accent2" xfId="5" builtinId="33" customBuiltin="1"/>
    <cellStyle name="Accent2 - 20%" xfId="6" xr:uid="{00000000-0005-0000-0000-000007000000}"/>
    <cellStyle name="Accent2 - 40%" xfId="7" xr:uid="{00000000-0005-0000-0000-000008000000}"/>
    <cellStyle name="Accent2 - 60%" xfId="8" xr:uid="{00000000-0005-0000-0000-000009000000}"/>
    <cellStyle name="Accent3" xfId="9" builtinId="37" customBuiltin="1"/>
    <cellStyle name="Accent3 - 20%" xfId="10" xr:uid="{00000000-0005-0000-0000-00000B000000}"/>
    <cellStyle name="Accent3 - 40%" xfId="11" xr:uid="{00000000-0005-0000-0000-00000C000000}"/>
    <cellStyle name="Accent3 - 60%" xfId="12" xr:uid="{00000000-0005-0000-0000-00000D000000}"/>
    <cellStyle name="Accent4" xfId="13" builtinId="41" customBuiltin="1"/>
    <cellStyle name="Accent4 - 20%" xfId="14" xr:uid="{00000000-0005-0000-0000-00000F000000}"/>
    <cellStyle name="Accent4 - 40%" xfId="15" xr:uid="{00000000-0005-0000-0000-000010000000}"/>
    <cellStyle name="Accent4 - 60%" xfId="16" xr:uid="{00000000-0005-0000-0000-000011000000}"/>
    <cellStyle name="Accent5" xfId="17" builtinId="45" customBuiltin="1"/>
    <cellStyle name="Accent5 - 20%" xfId="18" xr:uid="{00000000-0005-0000-0000-000013000000}"/>
    <cellStyle name="Accent5 - 40%" xfId="19" xr:uid="{00000000-0005-0000-0000-000014000000}"/>
    <cellStyle name="Accent5 - 60%" xfId="20" xr:uid="{00000000-0005-0000-0000-000015000000}"/>
    <cellStyle name="Accent6" xfId="21" builtinId="49" customBuiltin="1"/>
    <cellStyle name="Accent6 - 20%" xfId="22" xr:uid="{00000000-0005-0000-0000-000017000000}"/>
    <cellStyle name="Accent6 - 40%" xfId="23" xr:uid="{00000000-0005-0000-0000-000018000000}"/>
    <cellStyle name="Accent6 - 60%" xfId="24" xr:uid="{00000000-0005-0000-0000-000019000000}"/>
    <cellStyle name="Bad" xfId="25" builtinId="27" customBuiltin="1"/>
    <cellStyle name="Calculation" xfId="26" builtinId="22" customBuiltin="1"/>
    <cellStyle name="Check Cell" xfId="27" builtinId="23" customBuiltin="1"/>
    <cellStyle name="Emphasis 1" xfId="28" xr:uid="{00000000-0005-0000-0000-00001D000000}"/>
    <cellStyle name="Emphasis 2" xfId="29" xr:uid="{00000000-0005-0000-0000-00001E000000}"/>
    <cellStyle name="Emphasis 3" xfId="30" xr:uid="{00000000-0005-0000-0000-00001F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9" xr:uid="{6E5F91D3-7C95-4B1A-836F-AB27E7C2BA4C}"/>
    <cellStyle name="Note" xfId="39" builtinId="10" customBuiltin="1"/>
    <cellStyle name="Output" xfId="40" builtinId="21" customBuiltin="1"/>
    <cellStyle name="Percent" xfId="44" builtinId="5"/>
    <cellStyle name="Percent 2" xfId="46" xr:uid="{00000000-0005-0000-0000-00002D000000}"/>
    <cellStyle name="Sheet Title" xfId="41" xr:uid="{00000000-0005-0000-0000-00002E000000}"/>
    <cellStyle name="Total" xfId="42" builtinId="25" customBuiltin="1"/>
    <cellStyle name="Warning Text" xfId="43" builtinId="11" customBuiltin="1"/>
  </cellStyles>
  <dxfs count="1268">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b val="0"/>
        <i val="0"/>
        <strike val="0"/>
        <condense val="0"/>
        <extend val="0"/>
        <outline val="0"/>
        <shadow val="0"/>
        <u val="none"/>
        <vertAlign val="baseline"/>
        <sz val="11"/>
        <color theme="1"/>
        <name val="Calibri"/>
        <family val="2"/>
        <scheme val="minor"/>
      </font>
      <numFmt numFmtId="171" formatCode="0\ &quot;GB&quot;"/>
      <fill>
        <patternFill patternType="solid">
          <fgColor theme="6" tint="0.79998168889431442"/>
          <bgColor theme="6" tint="0.79998168889431442"/>
        </patternFill>
      </fill>
      <alignment horizontal="right" vertical="center" textRotation="0" wrapText="0" indent="0" justifyLastLine="0" shrinkToFit="0" readingOrder="0"/>
      <border diagonalUp="0" diagonalDown="0">
        <left/>
        <right/>
        <top style="thin">
          <color theme="0"/>
        </top>
        <bottom style="thin">
          <color theme="0"/>
        </bottom>
        <vertical/>
        <horizontal/>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center" vertical="center" textRotation="0" wrapText="1" indent="0" justifyLastLine="0" shrinkToFit="0" readingOrder="0"/>
      <border diagonalUp="0" diagonalDown="0" outline="0">
        <left/>
        <right/>
        <top/>
        <bottom style="thick">
          <color theme="0"/>
        </bottom>
      </border>
    </dxf>
    <dxf>
      <font>
        <b val="0"/>
        <i val="0"/>
        <strike val="0"/>
        <condense val="0"/>
        <extend val="0"/>
        <outline val="0"/>
        <shadow val="0"/>
        <u val="none"/>
        <vertAlign val="baseline"/>
        <sz val="11"/>
        <color theme="1"/>
        <name val="Calibri"/>
        <family val="2"/>
        <scheme val="minor"/>
      </font>
      <numFmt numFmtId="171" formatCode="0\ &quot;GB&quot;"/>
      <fill>
        <patternFill patternType="solid">
          <fgColor theme="6" tint="0.79998168889431442"/>
          <bgColor theme="6" tint="0.79998168889431442"/>
        </patternFill>
      </fill>
      <alignment horizontal="general" vertical="center" textRotation="0" wrapText="0" indent="0" justifyLastLine="0" shrinkToFit="0" readingOrder="0"/>
      <border diagonalUp="0" diagonalDown="0">
        <left/>
        <right/>
        <top/>
        <bottom style="thin">
          <color theme="0"/>
        </bottom>
        <vertical/>
        <horizontal/>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center" vertical="center" textRotation="0" wrapText="1" indent="0" justifyLastLine="0" shrinkToFit="0" readingOrder="0"/>
      <border diagonalUp="0" diagonalDown="0" outline="0">
        <left/>
        <right/>
        <top/>
        <bottom style="thick">
          <color theme="0"/>
        </bottom>
      </border>
    </dxf>
    <dxf>
      <font>
        <b val="0"/>
        <i val="0"/>
        <strike val="0"/>
        <condense val="0"/>
        <extend val="0"/>
        <outline val="0"/>
        <shadow val="0"/>
        <u val="none"/>
        <vertAlign val="baseline"/>
        <sz val="11"/>
        <color theme="1"/>
        <name val="Calibri"/>
        <family val="2"/>
        <scheme val="minor"/>
      </font>
      <numFmt numFmtId="171" formatCode="0\ &quot;GB&quot;"/>
      <fill>
        <patternFill patternType="solid">
          <fgColor theme="6" tint="0.79998168889431442"/>
          <bgColor theme="6" tint="0.79998168889431442"/>
        </patternFill>
      </fill>
      <alignment horizontal="general"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center" vertical="center" textRotation="0" wrapText="1" indent="0" justifyLastLine="0" shrinkToFit="0" readingOrder="0"/>
      <border diagonalUp="0" diagonalDown="0" outline="0">
        <left/>
        <right style="thin">
          <color theme="0"/>
        </right>
        <top/>
        <bottom style="thick">
          <color theme="0"/>
        </bottom>
      </border>
    </dxf>
    <dxf>
      <font>
        <b val="0"/>
        <i val="0"/>
        <strike val="0"/>
        <condense val="0"/>
        <extend val="0"/>
        <outline val="0"/>
        <shadow val="0"/>
        <u val="none"/>
        <vertAlign val="baseline"/>
        <sz val="11"/>
        <color theme="1"/>
        <name val="Calibri"/>
        <family val="2"/>
        <scheme val="minor"/>
      </font>
      <numFmt numFmtId="168" formatCode="&quot;DB&quot;#"/>
      <fill>
        <patternFill patternType="solid">
          <fgColor theme="6" tint="0.79998168889431442"/>
          <bgColor theme="6" tint="0.79998168889431442"/>
        </patternFill>
      </fill>
      <alignment horizontal="center" vertical="center" textRotation="0" wrapText="0" indent="0" justifyLastLine="0" shrinkToFit="0" readingOrder="0"/>
      <border diagonalUp="0" diagonalDown="0">
        <left/>
        <right style="thin">
          <color theme="0"/>
        </right>
        <top style="thin">
          <color theme="0"/>
        </top>
        <bottom style="thin">
          <color theme="0"/>
        </bottom>
        <vertical/>
        <horizontal/>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center" vertical="center" textRotation="0" wrapText="1" indent="0" justifyLastLine="0" shrinkToFit="0" readingOrder="0"/>
      <border diagonalUp="0" diagonalDown="0" outline="0">
        <left/>
        <right style="thin">
          <color theme="0"/>
        </right>
        <top/>
        <bottom style="thick">
          <color theme="0"/>
        </bottom>
      </border>
    </dxf>
    <dxf>
      <border outline="0">
        <right style="medium">
          <color indexed="64"/>
        </right>
        <top style="thin">
          <color theme="0"/>
        </top>
        <bottom style="thin">
          <color theme="0"/>
        </bottom>
      </border>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family val="2"/>
        <scheme val="minor"/>
      </font>
      <numFmt numFmtId="167" formatCode="#\ &quot;GB&quot;"/>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7" formatCode="#\ &quot;GB&quot;"/>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7" formatCode="#\ &quot;GB&quot;"/>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b/>
        <i val="0"/>
        <color rgb="FFFFFFFF"/>
      </font>
      <fill>
        <patternFill>
          <fgColor indexed="64"/>
          <bgColor rgb="FFFF0000"/>
        </patternFill>
      </fill>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outline="0">
        <right style="thin">
          <color indexed="64"/>
        </right>
      </border>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outline="0">
        <right style="thin">
          <color indexed="64"/>
        </right>
      </border>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numFmt numFmtId="185" formatCode="&quot;Server&quot;\ #"/>
      <fill>
        <patternFill patternType="lightUp">
          <fgColor theme="0" tint="-0.24994659260841701"/>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top/>
        <bottom/>
      </border>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right style="thin">
          <color indexed="64"/>
        </right>
        <top/>
        <bottom/>
      </border>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dxf>
    <dxf>
      <font>
        <strike val="0"/>
        <outline val="0"/>
        <shadow val="0"/>
        <u val="none"/>
        <vertAlign val="baseline"/>
        <sz val="11"/>
        <color auto="1"/>
        <name val="Calibri"/>
        <scheme val="none"/>
      </font>
      <numFmt numFmtId="185" formatCode="&quot;Server&quot;\ #"/>
      <fill>
        <patternFill patternType="solid">
          <fgColor indexed="64"/>
          <bgColor theme="6" tint="0.59999389629810485"/>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84" formatCode="0.0000"/>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style="thin">
          <color theme="0"/>
        </right>
        <top style="thin">
          <color theme="0"/>
        </top>
        <bottom style="thin">
          <color theme="0"/>
        </bottom>
        <vertical/>
        <horizontal/>
      </border>
    </dxf>
    <dxf>
      <border outline="0">
        <bottom style="thick">
          <color theme="0"/>
        </bottom>
      </border>
    </dxf>
    <dxf>
      <font>
        <b/>
        <i val="0"/>
        <strike val="0"/>
        <condense val="0"/>
        <extend val="0"/>
        <outline val="0"/>
        <shadow val="0"/>
        <u val="none"/>
        <vertAlign val="baseline"/>
        <sz val="11"/>
        <color theme="0"/>
        <name val="Calibri"/>
        <family val="2"/>
        <scheme val="none"/>
      </font>
      <fill>
        <patternFill patternType="solid">
          <fgColor theme="4"/>
          <bgColor theme="4"/>
        </patternFill>
      </fill>
      <alignment horizontal="center" vertical="center" textRotation="0" wrapText="0" indent="0" justifyLastLine="0" shrinkToFit="0" readingOrder="0"/>
      <border diagonalUp="0" diagonalDown="0" outline="0">
        <left style="thin">
          <color theme="0"/>
        </left>
        <right style="thin">
          <color theme="0"/>
        </right>
        <top/>
        <bottom/>
      </border>
    </dxf>
    <dxf>
      <border outline="0">
        <right style="medium">
          <color indexed="64"/>
        </right>
      </border>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family val="2"/>
        <scheme val="none"/>
      </font>
      <numFmt numFmtId="167" formatCode="#\ &quot;GB&quot;"/>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numFmt numFmtId="14" formatCode="0.00%"/>
      <fill>
        <patternFill patternType="none">
          <fgColor indexed="64"/>
          <bgColor auto="1"/>
        </patternFill>
      </fill>
      <border diagonalUp="0" diagonalDown="0">
        <right style="medium">
          <color auto="1"/>
        </right>
        <vertical/>
      </border>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left" vertical="bottom"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auto="1"/>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b val="0"/>
        <i val="0"/>
        <strike val="0"/>
        <condense val="0"/>
        <extend val="0"/>
        <outline val="0"/>
        <shadow val="0"/>
        <u val="none"/>
        <vertAlign val="baseline"/>
        <sz val="11"/>
        <color auto="1"/>
        <name val="Calibri"/>
        <family val="2"/>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FF"/>
        <name val="Calibri"/>
        <family val="2"/>
        <scheme val="none"/>
      </font>
      <fill>
        <patternFill patternType="none">
          <fgColor indexed="64"/>
          <bgColor indexed="65"/>
        </patternFill>
      </fill>
      <alignment horizontal="right" vertical="center" textRotation="0" wrapText="0" indent="0" justifyLastLine="0" shrinkToFit="0" readingOrder="0"/>
      <protection locked="1" hidden="0"/>
    </dxf>
    <dxf>
      <font>
        <b/>
        <i val="0"/>
        <strike val="0"/>
        <condense val="0"/>
        <extend val="0"/>
        <outline val="0"/>
        <shadow val="0"/>
        <u val="none"/>
        <vertAlign val="baseline"/>
        <sz val="11"/>
        <color theme="0"/>
        <name val="Calibri"/>
        <family val="2"/>
        <scheme val="none"/>
      </font>
      <fill>
        <patternFill patternType="solid">
          <fgColor theme="1"/>
          <bgColor theme="1"/>
        </patternFill>
      </fill>
      <alignment horizontal="center" vertical="center" textRotation="0" wrapText="1" indent="0" justifyLastLine="0" shrinkToFit="0" readingOrder="0"/>
      <border diagonalUp="0" diagonalDown="0" outline="0">
        <left style="thin">
          <color theme="1"/>
        </left>
        <right style="thin">
          <color theme="1"/>
        </right>
        <top style="medium">
          <color theme="1"/>
        </top>
        <bottom/>
      </border>
    </dxf>
    <dxf>
      <font>
        <b val="0"/>
        <i val="0"/>
        <strike val="0"/>
        <condense val="0"/>
        <extend val="0"/>
        <outline val="0"/>
        <shadow val="0"/>
        <u val="none"/>
        <vertAlign val="baseline"/>
        <sz val="11"/>
        <color rgb="FF0000FF"/>
        <name val="Calibri"/>
        <family val="2"/>
        <scheme val="none"/>
      </font>
      <fill>
        <patternFill patternType="none">
          <fgColor indexed="64"/>
          <bgColor indexed="65"/>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0"/>
        <name val="Calibri"/>
        <family val="2"/>
        <scheme val="none"/>
      </font>
      <fill>
        <patternFill patternType="solid">
          <fgColor theme="1"/>
          <bgColor theme="1"/>
        </patternFill>
      </fill>
      <alignment horizontal="center" vertical="center" textRotation="0" wrapText="1" indent="0" justifyLastLine="0" shrinkToFit="0" readingOrder="0"/>
      <border diagonalUp="0" diagonalDown="0" outline="0">
        <left style="thin">
          <color theme="1"/>
        </left>
        <right style="thin">
          <color theme="1"/>
        </right>
        <top style="medium">
          <color theme="1"/>
        </top>
        <bottom/>
      </border>
    </dxf>
    <dxf>
      <font>
        <b val="0"/>
        <i val="0"/>
        <strike val="0"/>
        <condense val="0"/>
        <extend val="0"/>
        <outline val="0"/>
        <shadow val="0"/>
        <u val="none"/>
        <vertAlign val="baseline"/>
        <sz val="11"/>
        <color rgb="FF0000FF"/>
        <name val="Calibri"/>
        <family val="2"/>
        <scheme val="none"/>
      </font>
      <fill>
        <patternFill patternType="none">
          <fgColor indexed="64"/>
          <bgColor indexed="65"/>
        </patternFill>
      </fill>
      <alignment horizontal="right" vertical="center" textRotation="0" wrapText="0" indent="0" justifyLastLine="0" shrinkToFit="0" readingOrder="0"/>
      <protection locked="1" hidden="0"/>
    </dxf>
    <dxf>
      <font>
        <b/>
        <i val="0"/>
        <strike val="0"/>
        <condense val="0"/>
        <extend val="0"/>
        <outline val="0"/>
        <shadow val="0"/>
        <u val="none"/>
        <vertAlign val="baseline"/>
        <sz val="11"/>
        <color theme="0"/>
        <name val="Calibri"/>
        <family val="2"/>
        <scheme val="none"/>
      </font>
      <fill>
        <patternFill patternType="solid">
          <fgColor theme="1"/>
          <bgColor theme="1"/>
        </patternFill>
      </fill>
      <alignment horizontal="center" vertical="center" textRotation="0" wrapText="1" indent="0" justifyLastLine="0" shrinkToFit="0" readingOrder="0"/>
      <border diagonalUp="0" diagonalDown="0" outline="0">
        <left style="thin">
          <color theme="1"/>
        </left>
        <right style="thin">
          <color theme="1"/>
        </right>
        <top style="medium">
          <color theme="1"/>
        </top>
        <bottom/>
      </border>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1"/>
        <color theme="0"/>
        <name val="Calibri"/>
        <family val="2"/>
        <scheme val="none"/>
      </font>
      <fill>
        <patternFill patternType="solid">
          <fgColor theme="1"/>
          <bgColor theme="1"/>
        </patternFill>
      </fill>
      <alignment horizontal="center" vertical="center" textRotation="0" wrapText="1" indent="0" justifyLastLine="0" shrinkToFit="0" readingOrder="0"/>
      <border diagonalUp="0" diagonalDown="0" outline="0">
        <left style="thin">
          <color theme="1"/>
        </left>
        <right style="thin">
          <color theme="1"/>
        </right>
        <top style="medium">
          <color theme="1"/>
        </top>
        <bottom/>
      </border>
    </dxf>
    <dxf>
      <border outline="0">
        <left style="medium">
          <color indexed="64"/>
        </left>
      </border>
    </dxf>
    <dxf>
      <protection locked="1" hidden="0"/>
    </dxf>
    <dxf>
      <font>
        <b/>
        <i val="0"/>
        <strike val="0"/>
        <condense val="0"/>
        <extend val="0"/>
        <outline val="0"/>
        <shadow val="0"/>
        <u val="none"/>
        <vertAlign val="baseline"/>
        <sz val="11"/>
        <color theme="0"/>
        <name val="Calibri"/>
        <family val="2"/>
        <scheme val="none"/>
      </font>
      <fill>
        <patternFill patternType="solid">
          <fgColor theme="1"/>
          <bgColor theme="1"/>
        </patternFill>
      </fill>
      <alignment horizontal="center" vertical="center" textRotation="0" wrapText="1" indent="0" justifyLastLine="0" shrinkToFit="0" readingOrder="0"/>
      <border diagonalUp="0" diagonalDown="0">
        <left style="thin">
          <color theme="1"/>
        </left>
        <right style="thin">
          <color theme="1"/>
        </right>
        <top/>
        <bottom/>
      </border>
      <protection locked="1" hidden="0"/>
    </dxf>
    <dxf>
      <font>
        <b/>
        <i val="0"/>
        <strike val="0"/>
        <condense val="0"/>
        <extend val="0"/>
        <outline val="0"/>
        <shadow val="0"/>
        <u val="none"/>
        <vertAlign val="baseline"/>
        <sz val="11"/>
        <color indexed="10"/>
        <name val="Calibri"/>
        <scheme val="none"/>
      </font>
      <numFmt numFmtId="14" formatCode="0.00%"/>
      <fill>
        <patternFill patternType="none">
          <fgColor indexed="64"/>
          <bgColor indexed="65"/>
        </patternFill>
      </fill>
      <alignment horizontal="right" vertical="center" textRotation="0" wrapText="0"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protection locked="1" hidden="0"/>
    </dxf>
    <dxf>
      <border outline="0">
        <left style="medium">
          <color indexed="64"/>
        </left>
      </border>
    </dxf>
    <dxf>
      <protection locked="1" hidden="0"/>
    </dxf>
    <dxf>
      <protection locked="1" hidden="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protection locked="1" hidden="0"/>
    </dxf>
    <dxf>
      <border outline="0">
        <left style="medium">
          <color indexed="64"/>
        </left>
      </border>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protection locked="1" hidden="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protection locked="1"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protection locked="1" hidden="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border diagonalUp="0" diagonalDown="0">
        <left style="thin">
          <color indexed="64"/>
        </left>
        <right/>
        <top/>
        <bottom/>
        <vertical/>
        <horizontal/>
      </border>
      <protection locked="1" hidden="0"/>
    </dxf>
    <dxf>
      <protection locked="1" hidden="0"/>
    </dxf>
    <dxf>
      <font>
        <b/>
        <i val="0"/>
        <strike val="0"/>
        <condense val="0"/>
        <extend val="0"/>
        <outline val="0"/>
        <shadow val="0"/>
        <u val="none"/>
        <vertAlign val="baseline"/>
        <sz val="11"/>
        <color theme="0"/>
        <name val="Calibri"/>
        <family val="2"/>
        <scheme val="none"/>
      </font>
      <alignment horizontal="center" vertical="center" textRotation="0" wrapText="0" indent="0" justifyLastLine="0" shrinkToFit="0" readingOrder="0"/>
      <protection locked="1" hidden="0"/>
    </dxf>
    <dxf>
      <fill>
        <patternFill patternType="none">
          <fgColor indexed="64"/>
          <bgColor auto="1"/>
        </patternFill>
      </fill>
      <protection locked="1" hidden="0"/>
    </dxf>
    <dxf>
      <fill>
        <patternFill patternType="none">
          <fgColor indexed="64"/>
          <bgColor auto="1"/>
        </patternFill>
      </fill>
      <protection locked="1" hidden="0"/>
    </dxf>
    <dxf>
      <border outline="0">
        <left style="thin">
          <color theme="1"/>
        </left>
        <right style="medium">
          <color indexed="64"/>
        </right>
        <top style="medium">
          <color theme="1"/>
        </top>
        <bottom style="medium">
          <color theme="1"/>
        </bottom>
      </border>
    </dxf>
    <dxf>
      <fill>
        <patternFill patternType="none">
          <fgColor indexed="64"/>
          <bgColor auto="1"/>
        </patternFill>
      </fill>
      <protection locked="1" hidden="0"/>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left style="thin">
          <color theme="1"/>
        </left>
        <right style="thin">
          <color theme="1"/>
        </right>
        <top/>
        <bottom/>
      </border>
      <protection locked="1" hidden="0"/>
    </dxf>
    <dxf>
      <font>
        <strike val="0"/>
        <outline val="0"/>
        <shadow val="0"/>
        <u val="none"/>
        <vertAlign val="baseline"/>
        <sz val="11"/>
        <color rgb="FF0000FF"/>
        <name val="Calibri"/>
        <family val="2"/>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protection locked="1" hidden="0"/>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top/>
        <bottom/>
        <vertical/>
        <horizontal/>
      </border>
      <protection locked="1" hidden="0"/>
    </dxf>
    <dxf>
      <protection locked="1" hidden="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protection locked="1" hidden="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protection locked="1" hidden="0"/>
    </dxf>
    <dxf>
      <border outline="0">
        <left style="medium">
          <color indexed="64"/>
        </left>
      </border>
    </dxf>
    <dxf>
      <protection locked="1" hidden="0"/>
    </dxf>
    <dxf>
      <protection locked="1" hidden="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protection locked="1" hidden="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font>
        <b/>
        <i val="0"/>
        <strike val="0"/>
        <condense val="0"/>
        <extend val="0"/>
        <outline val="0"/>
        <shadow val="0"/>
        <u val="none"/>
        <vertAlign val="baseline"/>
        <sz val="11"/>
        <color rgb="FF0000FF"/>
        <name val="Calibri"/>
        <family val="2"/>
        <scheme val="none"/>
      </font>
      <numFmt numFmtId="14" formatCode="0.00%"/>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protection locked="1" hidden="0"/>
    </dxf>
    <dxf>
      <font>
        <b/>
        <i val="0"/>
        <strike val="0"/>
        <condense val="0"/>
        <extend val="0"/>
        <outline val="0"/>
        <shadow val="0"/>
        <u val="none"/>
        <vertAlign val="baseline"/>
        <sz val="11"/>
        <color theme="1"/>
        <name val="Calibri"/>
        <family val="2"/>
        <scheme val="none"/>
      </font>
      <alignment horizontal="right"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protection locked="1" hidden="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protection locked="1" hidden="0"/>
    </dxf>
    <dxf>
      <fill>
        <patternFill patternType="none">
          <fgColor indexed="64"/>
          <bgColor auto="1"/>
        </patternFill>
      </fill>
      <protection locked="1" hidden="0"/>
    </dxf>
    <dxf>
      <fill>
        <patternFill patternType="none">
          <fgColor indexed="64"/>
          <bgColor auto="1"/>
        </patternFill>
      </fill>
      <alignment horizontal="center" textRotation="0" wrapText="1" indent="0" justifyLastLine="0" shrinkToFit="0" readingOrder="0"/>
      <protection locked="1" hidden="0"/>
    </dxf>
    <dxf>
      <fill>
        <patternFill>
          <bgColor rgb="FFFFFFCC"/>
        </patternFill>
      </fill>
      <border>
        <left style="thin">
          <color auto="1"/>
        </left>
        <right style="thin">
          <color auto="1"/>
        </right>
        <top style="thin">
          <color auto="1"/>
        </top>
        <bottom style="thin">
          <color auto="1"/>
        </bottom>
        <vertical/>
        <horizontal/>
      </border>
    </dxf>
    <dxf>
      <fill>
        <patternFill>
          <bgColor rgb="FFFFFFCC"/>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CC"/>
        </patternFill>
      </fill>
      <border>
        <left style="thin">
          <color auto="1"/>
        </left>
        <right style="thin">
          <color auto="1"/>
        </right>
        <top style="thin">
          <color auto="1"/>
        </top>
        <bottom style="thin">
          <color auto="1"/>
        </bottom>
        <vertical/>
        <horizontal/>
      </border>
    </dxf>
    <dxf>
      <fill>
        <patternFill>
          <bgColor rgb="FFFFFFCC"/>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color auto="1"/>
      </font>
      <fill>
        <patternFill>
          <bgColor rgb="FFFFFFCC"/>
        </patternFill>
      </fill>
      <border>
        <left style="thin">
          <color auto="1"/>
        </left>
        <right style="thin">
          <color auto="1"/>
        </right>
        <top style="thin">
          <color auto="1"/>
        </top>
        <bottom style="thin">
          <color auto="1"/>
        </bottom>
        <vertical/>
        <horizontal/>
      </border>
    </dxf>
    <dxf>
      <font>
        <color auto="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ill>
        <patternFill>
          <bgColor rgb="FFFFFFCC"/>
        </patternFill>
      </fill>
      <border>
        <left style="dashed">
          <color auto="1"/>
        </left>
        <right style="dashed">
          <color auto="1"/>
        </right>
        <top style="dashed">
          <color auto="1"/>
        </top>
        <bottom style="dashed">
          <color auto="1"/>
        </bottom>
        <vertical/>
        <horizontal/>
      </border>
    </dxf>
    <dxf>
      <font>
        <strike val="0"/>
      </font>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val="0"/>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14996795556505021"/>
      </font>
    </dxf>
    <dxf>
      <font>
        <strike/>
        <color theme="0" tint="-0.24994659260841701"/>
      </font>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s>
  <tableStyles count="0" defaultTableStyle="TableStyleMedium9"/>
  <colors>
    <mruColors>
      <color rgb="FFFFFFCC"/>
      <color rgb="FFFFFF99"/>
      <color rgb="FF080808"/>
      <color rgb="FF99CC00"/>
      <color rgb="FF0000FF"/>
      <color rgb="FFFFFFFF"/>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731C-45DC-9A43-C4B6C6EE14F3}"/>
            </c:ext>
          </c:extLst>
        </c:ser>
        <c:dLbls>
          <c:showLegendKey val="0"/>
          <c:showVal val="0"/>
          <c:showCatName val="0"/>
          <c:showSerName val="0"/>
          <c:showPercent val="0"/>
          <c:showBubbleSize val="0"/>
        </c:dLbls>
        <c:smooth val="0"/>
        <c:axId val="402188784"/>
        <c:axId val="402189176"/>
      </c:lineChart>
      <c:catAx>
        <c:axId val="40218878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89176"/>
        <c:crosses val="autoZero"/>
        <c:auto val="1"/>
        <c:lblAlgn val="ctr"/>
        <c:lblOffset val="100"/>
        <c:noMultiLvlLbl val="0"/>
      </c:catAx>
      <c:valAx>
        <c:axId val="402189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8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BC4F-40E0-9086-DE66DC9C4FDF}"/>
            </c:ext>
          </c:extLst>
        </c:ser>
        <c:dLbls>
          <c:dLblPos val="t"/>
          <c:showLegendKey val="0"/>
          <c:showVal val="1"/>
          <c:showCatName val="0"/>
          <c:showSerName val="0"/>
          <c:showPercent val="0"/>
          <c:showBubbleSize val="0"/>
        </c:dLbls>
        <c:smooth val="0"/>
        <c:axId val="402189960"/>
        <c:axId val="405203232"/>
      </c:lineChart>
      <c:catAx>
        <c:axId val="40218996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03232"/>
        <c:crosses val="autoZero"/>
        <c:auto val="1"/>
        <c:lblAlgn val="ctr"/>
        <c:lblOffset val="100"/>
        <c:noMultiLvlLbl val="0"/>
      </c:catAx>
      <c:valAx>
        <c:axId val="40520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89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248D-413A-9B27-6E7195DC0AE8}"/>
            </c:ext>
          </c:extLst>
        </c:ser>
        <c:dLbls>
          <c:dLblPos val="t"/>
          <c:showLegendKey val="0"/>
          <c:showVal val="1"/>
          <c:showCatName val="0"/>
          <c:showSerName val="0"/>
          <c:showPercent val="0"/>
          <c:showBubbleSize val="0"/>
        </c:dLbls>
        <c:smooth val="0"/>
        <c:axId val="405204016"/>
        <c:axId val="405204408"/>
      </c:lineChart>
      <c:catAx>
        <c:axId val="40520401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04408"/>
        <c:crosses val="autoZero"/>
        <c:auto val="1"/>
        <c:lblAlgn val="ctr"/>
        <c:lblOffset val="100"/>
        <c:noMultiLvlLbl val="0"/>
      </c:catAx>
      <c:valAx>
        <c:axId val="405204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20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F274-437D-8573-07A24FE3E08C}"/>
            </c:ext>
          </c:extLst>
        </c:ser>
        <c:dLbls>
          <c:dLblPos val="t"/>
          <c:showLegendKey val="0"/>
          <c:showVal val="1"/>
          <c:showCatName val="0"/>
          <c:showSerName val="0"/>
          <c:showPercent val="0"/>
          <c:showBubbleSize val="0"/>
        </c:dLbls>
        <c:smooth val="0"/>
        <c:axId val="405387720"/>
        <c:axId val="405388112"/>
      </c:lineChart>
      <c:catAx>
        <c:axId val="40538772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88112"/>
        <c:crosses val="autoZero"/>
        <c:auto val="1"/>
        <c:lblAlgn val="ctr"/>
        <c:lblOffset val="100"/>
        <c:noMultiLvlLbl val="0"/>
      </c:catAx>
      <c:valAx>
        <c:axId val="405388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387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checked="Checked" firstButton="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552450</xdr:colOff>
          <xdr:row>148</xdr:row>
          <xdr:rowOff>0</xdr:rowOff>
        </xdr:from>
        <xdr:to>
          <xdr:col>5</xdr:col>
          <xdr:colOff>317500</xdr:colOff>
          <xdr:row>148</xdr:row>
          <xdr:rowOff>0</xdr:rowOff>
        </xdr:to>
        <xdr:sp macro="" textlink="">
          <xdr:nvSpPr>
            <xdr:cNvPr id="1913" name="Button 889" hidden="1">
              <a:extLst>
                <a:ext uri="{63B3BB69-23CF-44E3-9099-C40C66FF867C}">
                  <a14:compatExt spid="_x0000_s1913"/>
                </a:ext>
                <a:ext uri="{FF2B5EF4-FFF2-40B4-BE49-F238E27FC236}">
                  <a16:creationId xmlns:a16="http://schemas.microsoft.com/office/drawing/2014/main" id="{00000000-0008-0000-0100-00007907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Automatically Calculate</a:t>
              </a:r>
            </a:p>
            <a:p>
              <a:pPr algn="ctr" rtl="0">
                <a:defRPr sz="1000"/>
              </a:pPr>
              <a:r>
                <a:rPr lang="en-US" sz="1400" b="0" i="0" u="none" strike="noStrike" baseline="0">
                  <a:solidFill>
                    <a:srgbClr val="000000"/>
                  </a:solidFill>
                  <a:latin typeface="Calibri"/>
                  <a:cs typeface="Calibri"/>
                </a:rPr>
                <a:t> DAG solution</a:t>
              </a:r>
            </a:p>
          </xdr:txBody>
        </xdr:sp>
        <xdr:clientData fPrintsWithSheet="0"/>
      </xdr:twoCellAnchor>
    </mc:Choice>
    <mc:Fallback/>
  </mc:AlternateContent>
  <xdr:twoCellAnchor>
    <xdr:from>
      <xdr:col>4</xdr:col>
      <xdr:colOff>6350</xdr:colOff>
      <xdr:row>133</xdr:row>
      <xdr:rowOff>156633</xdr:rowOff>
    </xdr:from>
    <xdr:to>
      <xdr:col>5</xdr:col>
      <xdr:colOff>342900</xdr:colOff>
      <xdr:row>139</xdr:row>
      <xdr:rowOff>42333</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8439150" y="24337433"/>
          <a:ext cx="1234017" cy="10287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7</xdr:col>
          <xdr:colOff>266700</xdr:colOff>
          <xdr:row>6</xdr:row>
          <xdr:rowOff>0</xdr:rowOff>
        </xdr:to>
        <xdr:sp macro="" textlink="">
          <xdr:nvSpPr>
            <xdr:cNvPr id="208323" name="DAC-Mode" hidden="1">
              <a:extLst>
                <a:ext uri="{63B3BB69-23CF-44E3-9099-C40C66FF867C}">
                  <a14:compatExt spid="_x0000_s208323"/>
                </a:ext>
                <a:ext uri="{FF2B5EF4-FFF2-40B4-BE49-F238E27FC236}">
                  <a16:creationId xmlns:a16="http://schemas.microsoft.com/office/drawing/2014/main" id="{00000000-0008-0000-0400-0000C32D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50800</xdr:rowOff>
        </xdr:to>
        <xdr:sp macro="" textlink="">
          <xdr:nvSpPr>
            <xdr:cNvPr id="208324" name="SecSiteYes" hidden="1">
              <a:extLst>
                <a:ext uri="{63B3BB69-23CF-44E3-9099-C40C66FF867C}">
                  <a14:compatExt spid="_x0000_s208324"/>
                </a:ext>
                <a:ext uri="{FF2B5EF4-FFF2-40B4-BE49-F238E27FC236}">
                  <a16:creationId xmlns:a16="http://schemas.microsoft.com/office/drawing/2014/main" id="{00000000-0008-0000-0400-0000C42D03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50800</xdr:rowOff>
        </xdr:to>
        <xdr:sp macro="" textlink="">
          <xdr:nvSpPr>
            <xdr:cNvPr id="208325" name="SecSiteNo" hidden="1">
              <a:extLst>
                <a:ext uri="{63B3BB69-23CF-44E3-9099-C40C66FF867C}">
                  <a14:compatExt spid="_x0000_s208325"/>
                </a:ext>
                <a:ext uri="{FF2B5EF4-FFF2-40B4-BE49-F238E27FC236}">
                  <a16:creationId xmlns:a16="http://schemas.microsoft.com/office/drawing/2014/main" id="{00000000-0008-0000-0400-0000C52D03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15</xdr:col>
          <xdr:colOff>266700</xdr:colOff>
          <xdr:row>6</xdr:row>
          <xdr:rowOff>0</xdr:rowOff>
        </xdr:to>
        <xdr:sp macro="" textlink="">
          <xdr:nvSpPr>
            <xdr:cNvPr id="208326" name="FSW-Site" descr="Witness Site" hidden="1">
              <a:extLst>
                <a:ext uri="{63B3BB69-23CF-44E3-9099-C40C66FF867C}">
                  <a14:compatExt spid="_x0000_s208326"/>
                </a:ext>
                <a:ext uri="{FF2B5EF4-FFF2-40B4-BE49-F238E27FC236}">
                  <a16:creationId xmlns:a16="http://schemas.microsoft.com/office/drawing/2014/main" id="{00000000-0008-0000-0400-0000C62D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50800</xdr:rowOff>
        </xdr:to>
        <xdr:sp macro="" textlink="">
          <xdr:nvSpPr>
            <xdr:cNvPr id="208327" name="FSWprimary" hidden="1">
              <a:extLst>
                <a:ext uri="{63B3BB69-23CF-44E3-9099-C40C66FF867C}">
                  <a14:compatExt spid="_x0000_s208327"/>
                </a:ext>
                <a:ext uri="{FF2B5EF4-FFF2-40B4-BE49-F238E27FC236}">
                  <a16:creationId xmlns:a16="http://schemas.microsoft.com/office/drawing/2014/main" id="{00000000-0008-0000-0400-0000C72D03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50800</xdr:rowOff>
        </xdr:to>
        <xdr:sp macro="" textlink="">
          <xdr:nvSpPr>
            <xdr:cNvPr id="208328" name="FSWsecondary" hidden="1">
              <a:extLst>
                <a:ext uri="{63B3BB69-23CF-44E3-9099-C40C66FF867C}">
                  <a14:compatExt spid="_x0000_s208328"/>
                </a:ext>
                <a:ext uri="{FF2B5EF4-FFF2-40B4-BE49-F238E27FC236}">
                  <a16:creationId xmlns:a16="http://schemas.microsoft.com/office/drawing/2014/main" id="{00000000-0008-0000-0400-0000C82D03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50800</xdr:rowOff>
        </xdr:to>
        <xdr:sp macro="" textlink="">
          <xdr:nvSpPr>
            <xdr:cNvPr id="208329" name="FSWthird" hidden="1">
              <a:extLst>
                <a:ext uri="{63B3BB69-23CF-44E3-9099-C40C66FF867C}">
                  <a14:compatExt spid="_x0000_s208329"/>
                </a:ext>
                <a:ext uri="{FF2B5EF4-FFF2-40B4-BE49-F238E27FC236}">
                  <a16:creationId xmlns:a16="http://schemas.microsoft.com/office/drawing/2014/main" id="{00000000-0008-0000-0400-0000C92D03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 uri="{FF2B5EF4-FFF2-40B4-BE49-F238E27FC236}">
                  <a16:creationId xmlns:a16="http://schemas.microsoft.com/office/drawing/2014/main" id="{00000000-0008-0000-0400-0000CA2D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Refresh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 uri="{FF2B5EF4-FFF2-40B4-BE49-F238E27FC236}">
                  <a16:creationId xmlns:a16="http://schemas.microsoft.com/office/drawing/2014/main" id="{00000000-0008-0000-0400-0000CB2D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 uri="{FF2B5EF4-FFF2-40B4-BE49-F238E27FC236}">
                  <a16:creationId xmlns:a16="http://schemas.microsoft.com/office/drawing/2014/main" id="{00000000-0008-0000-0400-0000CC2D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Export Copy</a:t>
              </a:r>
            </a:p>
            <a:p>
              <a:pPr algn="ctr" rtl="0">
                <a:defRPr sz="1000"/>
              </a:pPr>
              <a:r>
                <a:rPr lang="en-US" sz="1000" b="0" i="0" u="none" strike="noStrike" baseline="0">
                  <a:solidFill>
                    <a:srgbClr val="000000"/>
                  </a:solidFill>
                  <a:latin typeface="Calibri"/>
                  <a:cs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 uri="{FF2B5EF4-FFF2-40B4-BE49-F238E27FC236}">
                  <a16:creationId xmlns:a16="http://schemas.microsoft.com/office/drawing/2014/main" id="{00000000-0008-0000-0400-0000CD2D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 uri="{FF2B5EF4-FFF2-40B4-BE49-F238E27FC236}">
                  <a16:creationId xmlns:a16="http://schemas.microsoft.com/office/drawing/2014/main" id="{00000000-0008-0000-0400-0000CE2D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 uri="{FF2B5EF4-FFF2-40B4-BE49-F238E27FC236}">
                  <a16:creationId xmlns:a16="http://schemas.microsoft.com/office/drawing/2014/main" id="{00000000-0008-0000-0400-0000CF2D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0</xdr:rowOff>
        </xdr:from>
        <xdr:to>
          <xdr:col>5</xdr:col>
          <xdr:colOff>0</xdr:colOff>
          <xdr:row>18</xdr:row>
          <xdr:rowOff>0</xdr:rowOff>
        </xdr:to>
        <xdr:sp macro="" textlink="">
          <xdr:nvSpPr>
            <xdr:cNvPr id="1327390" name="Server 1" hidden="1">
              <a:extLst>
                <a:ext uri="{63B3BB69-23CF-44E3-9099-C40C66FF867C}">
                  <a14:compatExt spid="_x0000_s1327390"/>
                </a:ext>
                <a:ext uri="{FF2B5EF4-FFF2-40B4-BE49-F238E27FC236}">
                  <a16:creationId xmlns:a16="http://schemas.microsoft.com/office/drawing/2014/main" id="{00000000-0008-0000-0400-00001E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18</xdr:row>
          <xdr:rowOff>0</xdr:rowOff>
        </xdr:to>
        <xdr:sp macro="" textlink="">
          <xdr:nvSpPr>
            <xdr:cNvPr id="1327391" name="Server 2" hidden="1">
              <a:extLst>
                <a:ext uri="{63B3BB69-23CF-44E3-9099-C40C66FF867C}">
                  <a14:compatExt spid="_x0000_s1327391"/>
                </a:ext>
                <a:ext uri="{FF2B5EF4-FFF2-40B4-BE49-F238E27FC236}">
                  <a16:creationId xmlns:a16="http://schemas.microsoft.com/office/drawing/2014/main" id="{00000000-0008-0000-0400-00001F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13</xdr:row>
          <xdr:rowOff>0</xdr:rowOff>
        </xdr:from>
        <xdr:to>
          <xdr:col>7</xdr:col>
          <xdr:colOff>0</xdr:colOff>
          <xdr:row>18</xdr:row>
          <xdr:rowOff>0</xdr:rowOff>
        </xdr:to>
        <xdr:sp macro="" textlink="">
          <xdr:nvSpPr>
            <xdr:cNvPr id="1327392" name="Server 3" hidden="1">
              <a:extLst>
                <a:ext uri="{63B3BB69-23CF-44E3-9099-C40C66FF867C}">
                  <a14:compatExt spid="_x0000_s1327392"/>
                </a:ext>
                <a:ext uri="{FF2B5EF4-FFF2-40B4-BE49-F238E27FC236}">
                  <a16:creationId xmlns:a16="http://schemas.microsoft.com/office/drawing/2014/main" id="{00000000-0008-0000-0400-000020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xdr:row>
          <xdr:rowOff>0</xdr:rowOff>
        </xdr:from>
        <xdr:to>
          <xdr:col>8</xdr:col>
          <xdr:colOff>0</xdr:colOff>
          <xdr:row>18</xdr:row>
          <xdr:rowOff>0</xdr:rowOff>
        </xdr:to>
        <xdr:sp macro="" textlink="">
          <xdr:nvSpPr>
            <xdr:cNvPr id="1327393" name="Server 4" hidden="1">
              <a:extLst>
                <a:ext uri="{63B3BB69-23CF-44E3-9099-C40C66FF867C}">
                  <a14:compatExt spid="_x0000_s1327393"/>
                </a:ext>
                <a:ext uri="{FF2B5EF4-FFF2-40B4-BE49-F238E27FC236}">
                  <a16:creationId xmlns:a16="http://schemas.microsoft.com/office/drawing/2014/main" id="{00000000-0008-0000-0400-000021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0</xdr:rowOff>
        </xdr:from>
        <xdr:to>
          <xdr:col>9</xdr:col>
          <xdr:colOff>0</xdr:colOff>
          <xdr:row>18</xdr:row>
          <xdr:rowOff>0</xdr:rowOff>
        </xdr:to>
        <xdr:sp macro="" textlink="">
          <xdr:nvSpPr>
            <xdr:cNvPr id="1327394" name="Server 5" hidden="1">
              <a:extLst>
                <a:ext uri="{63B3BB69-23CF-44E3-9099-C40C66FF867C}">
                  <a14:compatExt spid="_x0000_s1327394"/>
                </a:ext>
                <a:ext uri="{FF2B5EF4-FFF2-40B4-BE49-F238E27FC236}">
                  <a16:creationId xmlns:a16="http://schemas.microsoft.com/office/drawing/2014/main" id="{00000000-0008-0000-0400-000022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0</xdr:rowOff>
        </xdr:from>
        <xdr:to>
          <xdr:col>10</xdr:col>
          <xdr:colOff>0</xdr:colOff>
          <xdr:row>18</xdr:row>
          <xdr:rowOff>0</xdr:rowOff>
        </xdr:to>
        <xdr:sp macro="" textlink="">
          <xdr:nvSpPr>
            <xdr:cNvPr id="1327395" name="Server 6" hidden="1">
              <a:extLst>
                <a:ext uri="{63B3BB69-23CF-44E3-9099-C40C66FF867C}">
                  <a14:compatExt spid="_x0000_s1327395"/>
                </a:ext>
                <a:ext uri="{FF2B5EF4-FFF2-40B4-BE49-F238E27FC236}">
                  <a16:creationId xmlns:a16="http://schemas.microsoft.com/office/drawing/2014/main" id="{00000000-0008-0000-0400-000023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13</xdr:row>
          <xdr:rowOff>0</xdr:rowOff>
        </xdr:from>
        <xdr:to>
          <xdr:col>11</xdr:col>
          <xdr:colOff>0</xdr:colOff>
          <xdr:row>18</xdr:row>
          <xdr:rowOff>0</xdr:rowOff>
        </xdr:to>
        <xdr:sp macro="" textlink="">
          <xdr:nvSpPr>
            <xdr:cNvPr id="1327396" name="Server 7" hidden="1">
              <a:extLst>
                <a:ext uri="{63B3BB69-23CF-44E3-9099-C40C66FF867C}">
                  <a14:compatExt spid="_x0000_s1327396"/>
                </a:ext>
                <a:ext uri="{FF2B5EF4-FFF2-40B4-BE49-F238E27FC236}">
                  <a16:creationId xmlns:a16="http://schemas.microsoft.com/office/drawing/2014/main" id="{00000000-0008-0000-0400-000024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0</xdr:colOff>
          <xdr:row>18</xdr:row>
          <xdr:rowOff>0</xdr:rowOff>
        </xdr:to>
        <xdr:sp macro="" textlink="">
          <xdr:nvSpPr>
            <xdr:cNvPr id="1327397" name="Server 8" hidden="1">
              <a:extLst>
                <a:ext uri="{63B3BB69-23CF-44E3-9099-C40C66FF867C}">
                  <a14:compatExt spid="_x0000_s1327397"/>
                </a:ext>
                <a:ext uri="{FF2B5EF4-FFF2-40B4-BE49-F238E27FC236}">
                  <a16:creationId xmlns:a16="http://schemas.microsoft.com/office/drawing/2014/main" id="{00000000-0008-0000-0400-000025411400}"/>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cs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12</xdr:col>
          <xdr:colOff>0</xdr:colOff>
          <xdr:row>11</xdr:row>
          <xdr:rowOff>0</xdr:rowOff>
        </xdr:to>
        <xdr:sp macro="" textlink="">
          <xdr:nvSpPr>
            <xdr:cNvPr id="1327398" name="Restore-DAG 1" hidden="1">
              <a:extLst>
                <a:ext uri="{63B3BB69-23CF-44E3-9099-C40C66FF867C}">
                  <a14:compatExt spid="_x0000_s1327398"/>
                </a:ext>
                <a:ext uri="{FF2B5EF4-FFF2-40B4-BE49-F238E27FC236}">
                  <a16:creationId xmlns:a16="http://schemas.microsoft.com/office/drawing/2014/main" id="{00000000-0008-0000-0400-00002641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12</xdr:col>
          <xdr:colOff>0</xdr:colOff>
          <xdr:row>13</xdr:row>
          <xdr:rowOff>0</xdr:rowOff>
        </xdr:to>
        <xdr:sp macro="" textlink="">
          <xdr:nvSpPr>
            <xdr:cNvPr id="1327399" name="WAN Link 1" hidden="1">
              <a:extLst>
                <a:ext uri="{63B3BB69-23CF-44E3-9099-C40C66FF867C}">
                  <a14:compatExt spid="_x0000_s1327399"/>
                </a:ext>
                <a:ext uri="{FF2B5EF4-FFF2-40B4-BE49-F238E27FC236}">
                  <a16:creationId xmlns:a16="http://schemas.microsoft.com/office/drawing/2014/main" id="{00000000-0008-0000-0400-00002741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Fail WAN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skpart" connectionId="3" xr16:uid="{00000000-0016-0000-1000-000003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reateMBDatabaseCopies_1" connectionId="2" xr16:uid="{00000000-0016-0000-1000-000002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reateDAG_5" connectionId="1" xr16:uid="{00000000-0016-0000-1000-000001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reateDAG" connectionId="1" xr16:uid="{00000000-0016-0000-1000-000000000000}" autoFormatId="16" applyNumberFormats="0" applyBorderFormats="0" applyFontFormats="0" applyPatternFormats="0"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21:C26" totalsRowShown="0" headerRowDxfId="1087" dataDxfId="1086">
  <tableColumns count="2">
    <tableColumn id="1" xr3:uid="{00000000-0010-0000-0000-000001000000}" name="Exchange Environment Configuration" dataDxfId="1085"/>
    <tableColumn id="2" xr3:uid="{00000000-0010-0000-0000-000002000000}" name="Value" dataDxfId="108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B34:C40" totalsRowShown="0" headerRowDxfId="1083" dataDxfId="1082">
  <tableColumns count="2">
    <tableColumn id="1" xr3:uid="{00000000-0010-0000-0100-000001000000}" name="Exchange Data Configuration" dataDxfId="1081"/>
    <tableColumn id="2" xr3:uid="{00000000-0010-0000-0100-000002000000}" name="Value" dataDxfId="108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G34:H39" totalsRowShown="0" headerRowDxfId="1079" dataDxfId="1078">
  <tableColumns count="2">
    <tableColumn id="1" xr3:uid="{00000000-0010-0000-0200-000001000000}" name="Database Configuration" dataDxfId="1077"/>
    <tableColumn id="2" xr3:uid="{00000000-0010-0000-0200-000002000000}" name="Value" dataDxfId="1076"/>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B42:C44" totalsRowShown="0" headerRowDxfId="1075" dataDxfId="1074">
  <tableColumns count="2">
    <tableColumn id="1" xr3:uid="{00000000-0010-0000-0300-000001000000}" name="Exchange I/O Configuration" dataDxfId="1073"/>
    <tableColumn id="2" xr3:uid="{00000000-0010-0000-0300-000002000000}" name="Value" dataDxfId="1072"/>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G28:H32" totalsRowShown="0" headerRowDxfId="1071" dataDxfId="1070">
  <tableColumns count="2">
    <tableColumn id="1" xr3:uid="{00000000-0010-0000-0400-000001000000}" name="Lagged Database Copy Configuration" dataDxfId="1069"/>
    <tableColumn id="2" xr3:uid="{00000000-0010-0000-0400-000002000000}" name="Value" dataDxfId="1068"/>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7" displayName="Table7" ref="B74:C93" totalsRowShown="0" headerRowDxfId="1067" dataDxfId="1066">
  <tableColumns count="2">
    <tableColumn id="1" xr3:uid="{00000000-0010-0000-0500-000001000000}" name="Tier-2 User Mailbox Configuration" dataDxfId="1065"/>
    <tableColumn id="2" xr3:uid="{00000000-0010-0000-0500-000002000000}" name="Value" dataDxfId="1064"/>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G53:H72" totalsRowShown="0" headerRowDxfId="1063" dataDxfId="1062">
  <tableColumns count="2">
    <tableColumn id="1" xr3:uid="{00000000-0010-0000-0600-000001000000}" name="Tier-3 User Mailbox Configuration" dataDxfId="1061"/>
    <tableColumn id="2" xr3:uid="{00000000-0010-0000-0600-000002000000}" name="Value" dataDxfId="1060"/>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Table10" displayName="Table10" ref="B53:C72" totalsRowShown="0" headerRowDxfId="1059" dataDxfId="1058">
  <tableColumns count="2">
    <tableColumn id="1" xr3:uid="{00000000-0010-0000-0700-000001000000}" name="Tier-1 User Mailbox Configuration" dataDxfId="1057"/>
    <tableColumn id="2" xr3:uid="{00000000-0010-0000-0700-000002000000}" name="Value" dataDxfId="1056"/>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B99:C103" totalsRowShown="0" headerRowDxfId="1055" dataDxfId="1054">
  <tableColumns count="2">
    <tableColumn id="1" xr3:uid="{00000000-0010-0000-0800-000001000000}" name="Backup Configuration" dataDxfId="1053"/>
    <tableColumn id="2" xr3:uid="{00000000-0010-0000-0800-000002000000}" name="Value" dataDxfId="1052"/>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B180:C205" totalsRowCount="1" headerRowDxfId="1051" dataDxfId="1050" totalsRowDxfId="1049">
  <tableColumns count="2">
    <tableColumn id="1" xr3:uid="{00000000-0010-0000-0900-000001000000}" name="Hours in the Day" totalsRowLabel="Total" dataDxfId="1048" totalsRowDxfId="1047"/>
    <tableColumn id="2" xr3:uid="{00000000-0010-0000-0900-000002000000}" name="Logs Generated / Hour Percentage" totalsRowFunction="custom" dataDxfId="1046" totalsRowDxfId="1045"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Table13" displayName="Table13" ref="G180:H182" totalsRowShown="0" headerRowDxfId="1044" dataDxfId="1043">
  <tableColumns count="2">
    <tableColumn id="1" xr3:uid="{00000000-0010-0000-0A00-000001000000}" name="Network Configuration" dataDxfId="1042"/>
    <tableColumn id="2" xr3:uid="{00000000-0010-0000-0A00-000002000000}" name="Value" dataDxfId="1041"/>
  </tableColumns>
  <tableStyleInfo name="TableStyleMedium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le510" displayName="Table510" ref="B28:C32" totalsRowShown="0" headerRowDxfId="1040" dataDxfId="1039">
  <tableColumns count="2">
    <tableColumn id="1" xr3:uid="{00000000-0010-0000-0B00-000001000000}" name="Mailbox Database Copy Configuration" dataDxfId="1038"/>
    <tableColumn id="2" xr3:uid="{00000000-0010-0000-0B00-000002000000}" name="Value" dataDxfId="1037"/>
  </tableColumns>
  <tableStyleInfo name="TableStyleMedium1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0C000000}" name="Table52" displayName="Table52" ref="B118:D121" headerRowCount="0" totalsRowShown="0" headerRowDxfId="1036" dataDxfId="1035">
  <tableColumns count="3">
    <tableColumn id="1" xr3:uid="{00000000-0010-0000-0C00-000001000000}" name="Primary Datacenter Server Disk Configuration" headerRowDxfId="1034" dataDxfId="1033"/>
    <tableColumn id="2" xr3:uid="{00000000-0010-0000-0C00-000002000000}" name="Disk Capacity" headerRowDxfId="1032" dataDxfId="1031"/>
    <tableColumn id="3" xr3:uid="{00000000-0010-0000-0C00-000003000000}" name="Disk Type" headerRowDxfId="1030" dataDxfId="1029"/>
  </tableColumns>
  <tableStyleInfo name="TableStyleMedium1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Table45" displayName="Table45" ref="B109:C115" totalsRowShown="0" headerRowDxfId="1028" dataDxfId="1027">
  <tableColumns count="2">
    <tableColumn id="1" xr3:uid="{00000000-0010-0000-0D00-000001000000}" name="Storage Options" dataDxfId="1026"/>
    <tableColumn id="2" xr3:uid="{00000000-0010-0000-0D00-000002000000}" name="Value" dataDxfId="1025"/>
  </tableColumns>
  <tableStyleInfo name="TableStyleMedium1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0F000000}" name="Table880" displayName="Table880" ref="G74:H93" totalsRowShown="0" headerRowDxfId="1024" dataDxfId="1023">
  <tableColumns count="2">
    <tableColumn id="1" xr3:uid="{00000000-0010-0000-0F00-000001000000}" name="Tier-4 User Mailbox Configuration" dataDxfId="1022"/>
    <tableColumn id="2" xr3:uid="{00000000-0010-0000-0F00-000002000000}" name="Value" dataDxfId="1021"/>
  </tableColumns>
  <tableStyleInfo name="TableStyleMedium1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10000000}" name="Table87" displayName="Table87" ref="G21:H26" totalsRowShown="0" headerRowDxfId="1020" dataDxfId="1019">
  <tableColumns count="2">
    <tableColumn id="1" xr3:uid="{00000000-0010-0000-1000-000001000000}" name="Site Resilience Configuration" dataDxfId="1018"/>
    <tableColumn id="2" xr3:uid="{00000000-0010-0000-1000-000002000000}" name="Value" dataDxfId="1017"/>
  </tableColumns>
  <tableStyleInfo name="TableStyleMedium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11000000}" name="Table91" displayName="Table91" ref="B125:D128" headerRowCount="0" totalsRowShown="0" headerRowDxfId="1016" dataDxfId="1015" tableBorderDxfId="1014">
  <tableColumns count="3">
    <tableColumn id="1" xr3:uid="{00000000-0010-0000-1100-000001000000}" name="Secondary Datacenter Server Disk Configuration" headerRowDxfId="1013" dataDxfId="1012"/>
    <tableColumn id="2" xr3:uid="{00000000-0010-0000-1100-000002000000}" name="Disk Capacity" headerRowDxfId="1011" dataDxfId="1010"/>
    <tableColumn id="3" xr3:uid="{00000000-0010-0000-1100-000003000000}" name="Disk Type" headerRowDxfId="1009" dataDxfId="1008"/>
  </tableColumns>
  <tableStyleInfo name="TableStyleMedium1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12000000}" name="Table97" displayName="Table97" ref="B141:C143" totalsRowShown="0" headerRowDxfId="1007" dataDxfId="1006" tableBorderDxfId="1005">
  <tableColumns count="2">
    <tableColumn id="1" xr3:uid="{00000000-0010-0000-1200-000001000000}" name="Virtual Machine Configuration" dataDxfId="1004"/>
    <tableColumn id="2" xr3:uid="{00000000-0010-0000-1200-000002000000}" name="Value" dataDxfId="1003" dataCellStyle="Percent"/>
  </tableColumns>
  <tableStyleInfo name="TableStyleMedium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13000000}" name="tblServerNames" displayName="tblServerNames" ref="B158:C174" totalsRowShown="0" headerRowDxfId="1002" dataDxfId="1001">
  <tableColumns count="2">
    <tableColumn id="1" xr3:uid="{00000000-0010-0000-1300-000001000000}" name="Server" dataDxfId="1000"/>
    <tableColumn id="2" xr3:uid="{00000000-0010-0000-1300-000002000000}" name="Name" dataDxfId="999"/>
  </tableColumns>
  <tableStyleInfo name="TableStyleMedium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14000000}" name="Table102" displayName="Table102" ref="B218:C221" totalsRowShown="0" headerRowDxfId="998" dataDxfId="996" headerRowBorderDxfId="997" tableBorderDxfId="995">
  <tableColumns count="2">
    <tableColumn id="1" xr3:uid="{00000000-0010-0000-1400-000001000000}" name="Failure Domains" dataDxfId="994"/>
    <tableColumn id="2" xr3:uid="{00000000-0010-0000-1400-000002000000}" name="Value" dataDxfId="993"/>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15000000}" name="Table107" displayName="Table107" ref="G41:H43" totalsRowShown="0" headerRowDxfId="992" dataDxfId="991">
  <tableColumns count="2">
    <tableColumn id="1" xr3:uid="{00000000-0010-0000-1500-000001000000}" name="Transport Configuration" dataDxfId="990"/>
    <tableColumn id="2" xr3:uid="{00000000-0010-0000-1500-000002000000}" name="Value" dataDxfId="989" dataCellStyle="Percent"/>
  </tableColumns>
  <tableStyleInfo name="TableStyleMedium1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16000000}" name="Table106" displayName="Table106" ref="B50:C51" totalsRowShown="0" headerRowDxfId="988" dataDxfId="987" tableBorderDxfId="986">
  <tableColumns count="2">
    <tableColumn id="1" xr3:uid="{00000000-0010-0000-1600-000001000000}" name="User Mailbox Configuration Settings" dataDxfId="985"/>
    <tableColumn id="2" xr3:uid="{00000000-0010-0000-1600-000002000000}" name="Value" dataDxfId="984"/>
  </tableColumns>
  <tableStyleInfo name="TableStyleMedium1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17000000}" name="Table129" displayName="Table129" ref="B145:C147" totalsRowShown="0" headerRowDxfId="983" dataDxfId="982" tableBorderDxfId="981">
  <tableColumns count="2">
    <tableColumn id="1" xr3:uid="{00000000-0010-0000-1700-000001000000}" name="Server Memory" dataDxfId="980"/>
    <tableColumn id="2" xr3:uid="{00000000-0010-0000-1700-000002000000}" name="Value" dataDxfId="979"/>
  </tableColumns>
  <tableStyleInfo name="TableStyleMedium1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18000000}" name="Table128" displayName="Table128" ref="B149:C153" totalsRowShown="0" headerRowDxfId="978" dataDxfId="977" tableBorderDxfId="976">
  <tableColumns count="2">
    <tableColumn id="1" xr3:uid="{00000000-0010-0000-1800-000001000000}" name="Exchange Server Count" dataDxfId="975"/>
    <tableColumn id="2" xr3:uid="{00000000-0010-0000-1800-000002000000}" name="Value" dataDxfId="974"/>
  </tableColumns>
  <tableStyleInfo name="TableStyleMedium1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513D52EA-69C1-493F-AEC9-A349ACA9572F}" name="Table130" displayName="Table130" ref="B137:E139" headerRowCount="0" totalsRowShown="0" headerRowDxfId="973" dataDxfId="972" tableBorderDxfId="971">
  <tableColumns count="4">
    <tableColumn id="1" xr3:uid="{D3DAADC4-734A-4A6F-A934-BE5044629E25}" name="Column1" headerRowDxfId="970" dataDxfId="969"/>
    <tableColumn id="2" xr3:uid="{DA6CDE59-8816-45A9-A78F-5E686C6F399F}" name="0" headerRowDxfId="968" dataDxfId="967"/>
    <tableColumn id="3" xr3:uid="{4498F351-4FAB-4705-BE5A-2871C0C46E5C}" name="1" headerRowDxfId="966" dataDxfId="965"/>
    <tableColumn id="4" xr3:uid="{84E240DA-6EE9-4605-9958-6642C22A87E3}" name="Column4" headerRowDxfId="964" dataDxfId="963"/>
  </tableColumns>
  <tableStyleInfo name="TableStyleMedium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55378D37-640E-428C-8E72-114EA01664AB}" name="Table101133" displayName="Table101133" ref="B210:C215" totalsRowShown="0" headerRowDxfId="962" tableBorderDxfId="961">
  <autoFilter ref="B210:C215" xr:uid="{A27B1CC3-BEC3-4C3D-8B5D-DAB4E10BE2C8}"/>
  <tableColumns count="2">
    <tableColumn id="1" xr3:uid="{89195A65-E83D-4E72-A567-2C632312B889}" name="Config Option" dataDxfId="960"/>
    <tableColumn id="2" xr3:uid="{0C52D59D-97B2-4B63-AF3F-7E79E39967AB}" name="Value" dataDxfId="959">
      <calculatedColumnFormula>IF(AND(SiteResilienceEnabled="Yes",DBDiskSizePDC&lt;&gt;DBDiskSizeSDC),TRUE,FALSE)</calculatedColumnFormula>
    </tableColumn>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9000000}" name="Table14" displayName="Table14" ref="B9:C33" totalsRowShown="0" headerRowDxfId="943" dataDxfId="942">
  <tableColumns count="2">
    <tableColumn id="1" xr3:uid="{00000000-0010-0000-1900-000001000000}" name="Tier-1 User Mailbox Calculations" dataDxfId="941"/>
    <tableColumn id="2" xr3:uid="{00000000-0010-0000-1900-000002000000}" name="Value" dataDxfId="940"/>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A000000}" name="Table16" displayName="Table16" ref="B35:C59" totalsRowShown="0" headerRowDxfId="939" dataDxfId="938">
  <tableColumns count="2">
    <tableColumn id="1" xr3:uid="{00000000-0010-0000-1A00-000001000000}" name="Tier-3 User Mailbox Calculations" dataDxfId="937"/>
    <tableColumn id="2" xr3:uid="{00000000-0010-0000-1A00-000002000000}" name="Value" dataDxfId="936"/>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B000000}" name="Table17" displayName="Table17" ref="H9:I33" totalsRowShown="0" headerRowDxfId="935" dataDxfId="934">
  <tableColumns count="2">
    <tableColumn id="1" xr3:uid="{00000000-0010-0000-1B00-000001000000}" name="Tier-2 User Mailbox Calculations" dataDxfId="933"/>
    <tableColumn id="2" xr3:uid="{00000000-0010-0000-1B00-000002000000}" name="Value" dataDxfId="932"/>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C000000}" name="Table18" displayName="Table18" ref="H73:I82" totalsRowShown="0" headerRowDxfId="931" dataDxfId="930">
  <tableColumns count="2">
    <tableColumn id="1" xr3:uid="{00000000-0010-0000-1C00-000001000000}" name="I/O Calculations" dataDxfId="929"/>
    <tableColumn id="2" xr3:uid="{00000000-0010-0000-1C00-000002000000}" name="Value" dataDxfId="928"/>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D000000}" name="Table19" displayName="Table19" ref="B61:C83" totalsRowShown="0" headerRowDxfId="927" dataDxfId="926">
  <tableColumns count="2">
    <tableColumn id="1" xr3:uid="{00000000-0010-0000-1D00-000001000000}" name="Database Calculations" dataDxfId="925"/>
    <tableColumn id="2" xr3:uid="{00000000-0010-0000-1D00-000002000000}" name="Value" dataDxfId="924"/>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E000000}" name="Table21" displayName="Table21" ref="B150:C160" totalsRowShown="0" headerRowDxfId="923" dataDxfId="922">
  <tableColumns count="2">
    <tableColumn id="1" xr3:uid="{00000000-0010-0000-1E00-000001000000}" name="Transaction Log Calculations" dataDxfId="921"/>
    <tableColumn id="2" xr3:uid="{00000000-0010-0000-1E00-000002000000}" name="Value" dataDxfId="920"/>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F000000}" name="Table22" displayName="Table22" ref="H102:I112" totalsRowShown="0" headerRowDxfId="919" dataDxfId="918">
  <tableColumns count="2">
    <tableColumn id="1" xr3:uid="{00000000-0010-0000-1F00-000001000000}" name="Disk Capacity Calculations" dataDxfId="917"/>
    <tableColumn id="2" xr3:uid="{00000000-0010-0000-1F00-000002000000}" name="Value" dataDxfId="916">
      <calculatedColumnFormula>(LogDiskSpaceReqBackup+LogDiskSpaceReqMove)</calculatedColumnFormula>
    </tableColumn>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20000000}" name="Table23" displayName="Table23" ref="H84:I92" totalsRowShown="0" headerRowDxfId="915" dataDxfId="914">
  <tableColumns count="2">
    <tableColumn id="1" xr3:uid="{00000000-0010-0000-2000-000001000000}" name="Lag Calculations" dataDxfId="913"/>
    <tableColumn id="2" xr3:uid="{00000000-0010-0000-2000-000002000000}" name="Value" dataDxfId="912">
      <calculatedColumnFormula>IF(numLagCopies&lt;&gt;0,MIN(TruncationLagHours/(60*60*24),14),0)</calculatedColumnFormula>
    </tableColumn>
  </tableColumns>
  <tableStyleInfo name="TableStyleMedium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21000000}" name="Table24" displayName="Table24" ref="B224:F228" headerRowCount="0" headerRowDxfId="911" dataDxfId="910">
  <tableColumns count="5">
    <tableColumn id="1" xr3:uid="{00000000-0010-0000-2100-000001000000}" name="Environment Configuration" totalsRowLabel="Total" headerRowDxfId="909" dataDxfId="908" totalsRowDxfId="907"/>
    <tableColumn id="2" xr3:uid="{00000000-0010-0000-2100-000002000000}" name=" / Primary Datacenter" headerRowDxfId="906" dataDxfId="905" totalsRowDxfId="904"/>
    <tableColumn id="3" xr3:uid="{00000000-0010-0000-2100-000003000000}" name="/ Secondary Datacenter" headerRowDxfId="903" dataDxfId="902" totalsRowDxfId="901"/>
    <tableColumn id="4" xr3:uid="{00000000-0010-0000-2100-000004000000}" name="/ DAG" totalsRowFunction="sum" headerRowDxfId="900" dataDxfId="899" totalsRowDxfId="898"/>
    <tableColumn id="5" xr3:uid="{00000000-0010-0000-2100-000005000000}" name=" / Environment" headerRowDxfId="897" dataDxfId="896" totalsRowDxfId="895"/>
  </tableColumns>
  <tableStyleInfo name="TableStyleMedium1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Table25" displayName="Table25" ref="B230:F236" totalsRowShown="0" headerRowDxfId="894" dataDxfId="893">
  <tableColumns count="5">
    <tableColumn id="1" xr3:uid="{00000000-0010-0000-2200-000001000000}" name="User Mailbox Configuration" dataDxfId="892"/>
    <tableColumn id="2" xr3:uid="{00000000-0010-0000-2200-000002000000}" name="Tier-1" dataDxfId="891"/>
    <tableColumn id="3" xr3:uid="{00000000-0010-0000-2200-000003000000}" name="Tier-2" dataDxfId="890"/>
    <tableColumn id="4" xr3:uid="{00000000-0010-0000-2200-000004000000}" name="Tier-3" dataDxfId="889"/>
    <tableColumn id="5" xr3:uid="{00000000-0010-0000-2200-000005000000}" name="Tier-4" dataDxfId="888"/>
  </tableColumns>
  <tableStyleInfo name="TableStyleMedium1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Table26" displayName="Table26" ref="B243:C246" totalsRowShown="0" headerRowDxfId="887" dataDxfId="886">
  <tableColumns count="2">
    <tableColumn id="1" xr3:uid="{00000000-0010-0000-2300-000001000000}" name="Database Configuration" dataDxfId="885"/>
    <tableColumn id="2" xr3:uid="{00000000-0010-0000-2300-000002000000}" name=" " dataDxfId="884"/>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4000000}" name="Table28" displayName="Table28" ref="B273:F281" totalsRowShown="0" headerRowDxfId="883" dataDxfId="882">
  <tableColumns count="5">
    <tableColumn id="1" xr3:uid="{00000000-0010-0000-2400-000001000000}" name="Disk Space Requirements" dataDxfId="881"/>
    <tableColumn id="2" xr3:uid="{00000000-0010-0000-2400-000002000000}" name="/ Database" dataDxfId="880"/>
    <tableColumn id="3" xr3:uid="{00000000-0010-0000-2400-000003000000}" name=" / Server" dataDxfId="879"/>
    <tableColumn id="4" xr3:uid="{00000000-0010-0000-2400-000004000000}" name="/ DAG" dataDxfId="878"/>
    <tableColumn id="5" xr3:uid="{00000000-0010-0000-2400-000005000000}" name="/ Environment" dataDxfId="877"/>
  </tableColumns>
  <tableStyleInfo name="TableStyleMedium1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5000000}" name="Table232" displayName="Table232" ref="B129:C133" totalsRowShown="0" headerRowDxfId="876" dataDxfId="875">
  <tableColumns count="2">
    <tableColumn id="1" xr3:uid="{00000000-0010-0000-2500-000001000000}" name="Second Datacenter Activation (DR) Calculations" dataDxfId="874"/>
    <tableColumn id="2" xr3:uid="{00000000-0010-0000-2500-000002000000}" name="Value" dataDxfId="873">
      <calculatedColumnFormula>IF(numLagCopies&lt;&gt;0,MIN(TruncationLagHours/(60*60*24),7),0)</calculatedColumnFormula>
    </tableColumn>
  </tableColumns>
  <tableStyleInfo name="TableStyleMedium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6000000}" name="Table33" displayName="Table33" ref="B135:C148" totalsRowShown="0" headerRowDxfId="872" dataDxfId="871">
  <tableColumns count="2">
    <tableColumn id="1" xr3:uid="{00000000-0010-0000-2600-000001000000}" name="Memory Calculations (Primary Datacenter)" dataDxfId="870"/>
    <tableColumn id="2" xr3:uid="{00000000-0010-0000-2600-000002000000}" name="Value" dataDxfId="869"/>
  </tableColumns>
  <tableStyleInfo name="TableStyleMedium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7000000}" name="Table35" displayName="Table35" ref="B97:C116" totalsRowShown="0" headerRowDxfId="868" dataDxfId="866" headerRowBorderDxfId="867" tableBorderDxfId="865">
  <tableColumns count="2">
    <tableColumn id="1" xr3:uid="{00000000-0010-0000-2700-000001000000}" name="Server Calculations" dataDxfId="864"/>
    <tableColumn id="2" xr3:uid="{00000000-0010-0000-2700-000002000000}" name="Value" dataDxfId="863"/>
  </tableColumns>
  <tableStyleInfo name="TableStyleMedium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8000000}" name="Table37" displayName="Table37" ref="B268:F271" totalsRowShown="0" dataDxfId="861" headerRowBorderDxfId="862" tableBorderDxfId="860">
  <tableColumns count="5">
    <tableColumn id="1" xr3:uid="{00000000-0010-0000-2800-000001000000}" name="Transaction Log Requirements" dataDxfId="859"/>
    <tableColumn id="2" xr3:uid="{00000000-0010-0000-2800-000002000000}" name="/ Database" dataDxfId="858"/>
    <tableColumn id="3" xr3:uid="{00000000-0010-0000-2800-000003000000}" name="/ Server" dataDxfId="857"/>
    <tableColumn id="4" xr3:uid="{00000000-0010-0000-2800-000004000000}" name="/ DAG" dataDxfId="856"/>
    <tableColumn id="5" xr3:uid="{00000000-0010-0000-2800-000005000000}" name="/ Environment" dataDxfId="855"/>
  </tableColumns>
  <tableStyleInfo name="TableStyleMedium1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29000000}" name="Table2421" displayName="Table2421" ref="B248:E249" totalsRowShown="0" headerRowDxfId="854" dataDxfId="853">
  <tableColumns count="4">
    <tableColumn id="1" xr3:uid="{00000000-0010-0000-2900-000001000000}" name="Database Copy Configuration" dataDxfId="852"/>
    <tableColumn id="2" xr3:uid="{00000000-0010-0000-2900-000002000000}" name="/ Server" dataDxfId="851">
      <calculatedColumnFormula>IF(NOT(ValidationCheck),IF(calcHAOption,TotNumDBCopiesServer,RecNumDBs),strEmpty)</calculatedColumnFormula>
    </tableColumn>
    <tableColumn id="3" xr3:uid="{00000000-0010-0000-2900-000003000000}" name="/ DAG" dataDxfId="850">
      <calculatedColumnFormula>IF(AND(NOT(ValidationCheck),calcHAOption),(TotNumDBCopiesDC1+TotNumLagDBCopiesDC1+TotNumLagDBCopiesDC2+TotNumDBCopiesDC2),strEmpty)</calculatedColumnFormula>
    </tableColumn>
    <tableColumn id="4" xr3:uid="{00000000-0010-0000-2900-000004000000}" name="/ Environment" dataDxfId="849"/>
  </tableColumns>
  <tableStyleInfo name="TableStyleMedium1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A000000}" name="Table2442" displayName="Table2442" ref="B254:E260" headerRowCount="0" headerRowDxfId="848" dataDxfId="847">
  <tableColumns count="4">
    <tableColumn id="1" xr3:uid="{00000000-0010-0000-2A00-000001000000}" name="Server Configuration" totalsRowLabel="Total" headerRowDxfId="846" dataDxfId="845" totalsRowDxfId="844"/>
    <tableColumn id="2" xr3:uid="{00000000-0010-0000-2A00-000002000000}" name=" / Primary Datacenter Server" headerRowDxfId="843" dataDxfId="842" totalsRowDxfId="841">
      <calculatedColumnFormula>ServerRAMConfig</calculatedColumnFormula>
    </tableColumn>
    <tableColumn id="3" xr3:uid="{00000000-0010-0000-2A00-000003000000}" name="/ Secondary Datacenter Server" headerRowDxfId="840" dataDxfId="839" totalsRowDxfId="838">
      <calculatedColumnFormula>IF(calcNumPMBXServersDC2&lt;&gt;0,calcMBXServerACPUSDC+calcMBXServerPCPUSDC,"--")</calculatedColumnFormula>
    </tableColumn>
    <tableColumn id="4" xr3:uid="{00000000-0010-0000-2A00-000004000000}" name="/ Lagged Copy Server" totalsRowFunction="sum" headerRowDxfId="837" dataDxfId="836" totalsRowDxfId="835">
      <calculatedColumnFormula>IF(calcNumLagMBXServers&lt;&gt;0,calcLaggedServerCPU,"--")</calculatedColumnFormula>
    </tableColumn>
  </tableColumns>
  <tableStyleInfo name="TableStyleMedium1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B000000}" name="Table3343" displayName="Table3343" ref="H136:I146" totalsRowShown="0" headerRowDxfId="834" dataDxfId="833">
  <tableColumns count="2">
    <tableColumn id="1" xr3:uid="{00000000-0010-0000-2B00-000001000000}" name="Memory Calculations (Secondary Datacenter)" dataDxfId="832"/>
    <tableColumn id="2" xr3:uid="{00000000-0010-0000-2B00-000002000000}" name="Value" dataDxfId="831"/>
  </tableColumns>
  <tableStyleInfo name="TableStyleMedium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able46" displayName="Table46" ref="H61:I71" totalsRowShown="0" headerRowDxfId="830" dataDxfId="829">
  <tableColumns count="2">
    <tableColumn id="1" xr3:uid="{00000000-0010-0000-2C00-000001000000}" name="Database Copy Instance Configuration" dataDxfId="828"/>
    <tableColumn id="2" xr3:uid="{00000000-0010-0000-2C00-000002000000}" name="Value" dataDxfId="827"/>
  </tableColumns>
  <tableStyleInfo name="TableStyleMedium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D000000}" name="Table48" displayName="Table48" ref="B162:C169" totalsRowShown="0" headerRowDxfId="826">
  <tableColumns count="2">
    <tableColumn id="1" xr3:uid="{00000000-0010-0000-2D00-000001000000}" name="Processor Megacycle Calculations" dataDxfId="825"/>
    <tableColumn id="2" xr3:uid="{00000000-0010-0000-2D00-000002000000}" name="Value" dataDxfId="824"/>
  </tableColumns>
  <tableStyleInfo name="TableStyleMedium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2E000000}" name="Table69" displayName="Table69" ref="H148:I151" totalsRowShown="0" headerRowDxfId="823" dataDxfId="821" headerRowBorderDxfId="822" tableBorderDxfId="820">
  <tableColumns count="2">
    <tableColumn id="1" xr3:uid="{00000000-0010-0000-2E00-000001000000}" name="Storage Architecture" dataDxfId="819"/>
    <tableColumn id="2" xr3:uid="{00000000-0010-0000-2E00-000002000000}" name="Value" dataDxfId="818"/>
  </tableColumns>
  <tableStyleInfo name="TableStyleMedium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F000000}" name="Table2433" displayName="Table2433" ref="B239:E241" headerRowCount="0" headerRowDxfId="817" dataDxfId="816">
  <tableColumns count="4">
    <tableColumn id="1" xr3:uid="{00000000-0010-0000-2F00-000001000000}" name="Database Copy Instance Configuration" totalsRowLabel="Total" headerRowDxfId="815" dataDxfId="814" totalsRowDxfId="813"/>
    <tableColumn id="2" xr3:uid="{00000000-0010-0000-2F00-000002000000}" name=" / Primary Datacenter" headerRowDxfId="812" dataDxfId="811" totalsRowDxfId="810"/>
    <tableColumn id="3" xr3:uid="{00000000-0010-0000-2F00-000003000000}" name="/ Secondary Datacenter" headerRowDxfId="809" dataDxfId="808" totalsRowDxfId="807"/>
    <tableColumn id="4" xr3:uid="{00000000-0010-0000-2F00-000004000000}" name="Total" totalsRowFunction="sum" headerRowDxfId="806" dataDxfId="805" totalsRowDxfId="804"/>
  </tableColumns>
  <tableStyleInfo name="TableStyleMedium1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0000000}" name="Table74" displayName="Table74" ref="B171:C180" totalsRowShown="0" headerRowDxfId="803">
  <tableColumns count="2">
    <tableColumn id="1" xr3:uid="{00000000-0010-0000-3000-000001000000}" name="Processor Core Ratio Calculations" dataDxfId="802"/>
    <tableColumn id="2" xr3:uid="{00000000-0010-0000-3000-000002000000}" name="Value" dataDxfId="801"/>
  </tableColumns>
  <tableStyleInfo name="TableStyleMedium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1000000}" name="Table76" displayName="Table76" ref="B283:F287" totalsRowShown="0" headerRowDxfId="800" dataDxfId="799" tableBorderDxfId="798">
  <tableColumns count="5">
    <tableColumn id="1" xr3:uid="{00000000-0010-0000-3100-000001000000}" name="Host IO and Throughput Requirements" dataDxfId="797"/>
    <tableColumn id="2" xr3:uid="{00000000-0010-0000-3100-000002000000}" name="/ Database" dataDxfId="796"/>
    <tableColumn id="3" xr3:uid="{00000000-0010-0000-3100-000003000000}" name=" / Server" dataDxfId="795"/>
    <tableColumn id="4" xr3:uid="{00000000-0010-0000-3100-000004000000}" name="/ DAG" dataDxfId="794"/>
    <tableColumn id="5" xr3:uid="{00000000-0010-0000-3100-000005000000}" name="/ Environment" dataDxfId="793"/>
  </tableColumns>
  <tableStyleInfo name="TableStyleMedium1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2000000}" name="Table77" displayName="Table77" ref="B221:D221" headerRowCount="0" totalsRowShown="0" headerRowDxfId="792" dataDxfId="791" tableBorderDxfId="790">
  <tableColumns count="3">
    <tableColumn id="1" xr3:uid="{00000000-0010-0000-3200-000001000000}" name="Processor Core Ratio Requirements" headerRowDxfId="789" dataDxfId="788"/>
    <tableColumn id="2" xr3:uid="{00000000-0010-0000-3200-000002000000}" name="/ Primary Datacenter" headerRowDxfId="787" dataDxfId="786">
      <calculatedColumnFormula>IF(NOT(ValidationCheck),calcRecGCCoresPDC,strEmpty)</calculatedColumnFormula>
    </tableColumn>
    <tableColumn id="3" xr3:uid="{00000000-0010-0000-3200-000003000000}" name="/ Secondary Datacenter" headerRowDxfId="785" dataDxfId="784">
      <calculatedColumnFormula>IF(NOT(ValidationCheck),calcRecGCCoresSDC,strEmpty)</calculatedColumnFormula>
    </tableColumn>
  </tableColumns>
  <tableStyleInfo name="TableStyleMedium1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3000000}" name="Table1681" displayName="Table1681" ref="H35:I59" totalsRowShown="0" headerRowDxfId="783" dataDxfId="782">
  <tableColumns count="2">
    <tableColumn id="1" xr3:uid="{00000000-0010-0000-3300-000001000000}" name="Tier-4 User Mailbox Calculations" dataDxfId="781"/>
    <tableColumn id="2" xr3:uid="{00000000-0010-0000-3300-000002000000}" name="Value" dataDxfId="780"/>
  </tableColumns>
  <tableStyleInfo name="TableStyleMedium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34000000}" name="Table83" displayName="Table83" ref="H114:I122" totalsRowShown="0" headerRowDxfId="779" dataDxfId="778" tableBorderDxfId="777">
  <tableColumns count="2">
    <tableColumn id="1" xr3:uid="{00000000-0010-0000-3400-000001000000}" name="Log Stream Calculations" dataDxfId="776"/>
    <tableColumn id="2" xr3:uid="{00000000-0010-0000-3400-000002000000}" name="Value" dataDxfId="775"/>
  </tableColumns>
  <tableStyleInfo name="TableStyleMedium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36000000}" name="Table86" displayName="Table86" ref="H94:I100" totalsRowShown="0" headerRowDxfId="774" dataDxfId="773" tableBorderDxfId="772">
  <tableColumns count="2">
    <tableColumn id="1" xr3:uid="{00000000-0010-0000-3600-000001000000}" name="Server Calculations" dataDxfId="771"/>
    <tableColumn id="2" xr3:uid="{00000000-0010-0000-3600-000002000000}" name="Value" dataDxfId="770"/>
  </tableColumns>
  <tableStyleInfo name="TableStyleMedium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37000000}" name="Table88" displayName="Table88" ref="B85:C95" totalsRowShown="0" headerRowDxfId="769" dataDxfId="768">
  <tableColumns count="2">
    <tableColumn id="1" xr3:uid="{00000000-0010-0000-3700-000001000000}" name="Database Copy Calculations" dataDxfId="767"/>
    <tableColumn id="2" xr3:uid="{00000000-0010-0000-3700-000002000000}" name="Value" dataDxfId="766"/>
  </tableColumns>
  <tableStyleInfo name="TableStyleMedium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38000000}" name="Table89" displayName="Table89" ref="B118:D127" totalsRowShown="0" headerRowDxfId="765" tableBorderDxfId="764">
  <tableColumns count="3">
    <tableColumn id="1" xr3:uid="{00000000-0010-0000-3800-000001000000}" name="Active Database Distribution Calculations" dataDxfId="763"/>
    <tableColumn id="2" xr3:uid="{00000000-0010-0000-3800-000002000000}" name="Datacenter 1" dataDxfId="762"/>
    <tableColumn id="3" xr3:uid="{00000000-0010-0000-3800-000003000000}" name="Datacenter 2" dataDxfId="761">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39000000}" name="Table90" displayName="Table90" ref="H179:I195" totalsRowShown="0" headerRowDxfId="760" dataDxfId="759">
  <tableColumns count="2">
    <tableColumn id="1" xr3:uid="{00000000-0010-0000-3900-000001000000}" name="Validation Checks" dataDxfId="758"/>
    <tableColumn id="2" xr3:uid="{00000000-0010-0000-3900-000002000000}" name="Value" dataDxfId="757"/>
  </tableColumns>
  <tableStyleInfo name="TableStyleMedium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3B000000}" name="Table103" displayName="Table103" ref="H153:I164" totalsRowShown="0" headerRowDxfId="756" tableBorderDxfId="755">
  <autoFilter ref="H153:I164" xr:uid="{00000000-0009-0000-0100-000067000000}">
    <filterColumn colId="0" hiddenButton="1"/>
    <filterColumn colId="1" hiddenButton="1"/>
  </autoFilter>
  <tableColumns count="2">
    <tableColumn id="1" xr3:uid="{00000000-0010-0000-3B00-000001000000}" name="JBOD Validation Checks" dataDxfId="754"/>
    <tableColumn id="2" xr3:uid="{00000000-0010-0000-3B00-000002000000}" name="Value" dataDxfId="753"/>
  </tableColumns>
  <tableStyleInfo name="TableStyleMedium9"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3C000000}" name="Table105" displayName="Table105" ref="B183:C191" totalsRowShown="0" headerRowDxfId="752" tableBorderDxfId="751">
  <tableColumns count="2">
    <tableColumn id="1" xr3:uid="{00000000-0010-0000-3C00-000001000000}" name="Transport Calculations" dataDxfId="750"/>
    <tableColumn id="2" xr3:uid="{00000000-0010-0000-3C00-000002000000}" name="Value" dataDxfId="74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3D000000}" name="Table104" displayName="Table104" ref="B193:C197" totalsRowShown="0" headerRowDxfId="748">
  <autoFilter ref="B193:C197" xr:uid="{00000000-0009-0000-0100-000068000000}">
    <filterColumn colId="0" hiddenButton="1"/>
    <filterColumn colId="1" hiddenButton="1"/>
  </autoFilter>
  <tableColumns count="2">
    <tableColumn id="1" xr3:uid="{00000000-0010-0000-3D00-000001000000}" name="CAS Calculations" dataDxfId="747"/>
    <tableColumn id="2" xr3:uid="{00000000-0010-0000-3D00-000002000000}" name="Value" dataDxfId="746"/>
  </tableColumns>
  <tableStyleInfo name="TableStyleMedium9"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3E000000}" name="Table120" displayName="Table120" ref="B262:G264" totalsRowShown="0" headerRowDxfId="745" dataDxfId="744" tableBorderDxfId="743">
  <tableColumns count="6">
    <tableColumn id="1" xr3:uid="{00000000-0010-0000-3E00-000001000000}" name="CPU Utilization / DAG" dataDxfId="742">
      <calculatedColumnFormula>IF(AND(HAOption="Yes",SiteResilienceEnabled="Yes",OR(SRModel="Active/Active (Single DAG)",SRModel="Active/Active (Multiple DAGs)")),"/ Datacenter 1","/ Primary Datacenter") &amp; " Server"</calculatedColumnFormula>
    </tableColumn>
    <tableColumn id="2" xr3:uid="{00000000-0010-0000-3E00-000002000000}" name="Normal Runtime" dataDxfId="741" dataCellStyle="Percent">
      <calculatedColumnFormula>IF(ValidationCheck=FALSE,IF(HAOption="Yes",calcCPUUtilPDCNormal,calcCPUUtilPDC),"--")</calculatedColumnFormula>
    </tableColumn>
    <tableColumn id="3" xr3:uid="{00000000-0010-0000-3E00-000003000000}" name="Single Failure" dataDxfId="740" dataCellStyle="Percent">
      <calculatedColumnFormula>IF(ValidationCheck=FALSE,calcCPUUtilPDCSingle,"--")</calculatedColumnFormula>
    </tableColumn>
    <tableColumn id="4" xr3:uid="{00000000-0010-0000-3E00-000004000000}" name="Double Failure" dataDxfId="739" dataCellStyle="Percent">
      <calculatedColumnFormula>IF(ValidationCheck=FALSE,calcCPUUtilPDCDouble,"--")</calculatedColumnFormula>
    </tableColumn>
    <tableColumn id="5" xr3:uid="{00000000-0010-0000-3E00-000005000000}" name="Site Failure" dataDxfId="738" dataCellStyle="Percent">
      <calculatedColumnFormula>IF(ValidationCheck=FALSE,calcCPUUtilPDCSite,"--")</calculatedColumnFormula>
    </tableColumn>
    <tableColumn id="6" xr3:uid="{00000000-0010-0000-3E00-000006000000}" name="Worst Failure Mode" dataDxfId="737" dataCellStyle="Percent">
      <calculatedColumnFormula>IF(AND(HAOption="Yes",ValidationCheck=FALSE),calcCPUUtilPDC,"--")</calculatedColumnFormula>
    </tableColumn>
  </tableColumns>
  <tableStyleInfo name="TableStyleMedium1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3F000000}" name="Table125" displayName="Table125" ref="B204:G211" totalsRowShown="0" headerRowDxfId="736" dataDxfId="735" tableBorderDxfId="734">
  <autoFilter ref="B204:G211" xr:uid="{00000000-0009-0000-0100-00007D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3F00-000001000000}" name="Megacycle Calculations" dataDxfId="733"/>
    <tableColumn id="2" xr3:uid="{00000000-0010-0000-3F00-000002000000}" name="Normal Runtime" dataDxfId="732"/>
    <tableColumn id="3" xr3:uid="{00000000-0010-0000-3F00-000003000000}" name="Single Failure" dataDxfId="731"/>
    <tableColumn id="4" xr3:uid="{00000000-0010-0000-3F00-000004000000}" name="Double Failure" dataDxfId="730"/>
    <tableColumn id="5" xr3:uid="{00000000-0010-0000-3F00-000005000000}" name="Site Failure" dataDxfId="729"/>
    <tableColumn id="6" xr3:uid="{00000000-0010-0000-3F00-000006000000}" name="Worst Failure" dataDxfId="728"/>
  </tableColumns>
  <tableStyleInfo name="TableStyleMedium9"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40000000}" name="Table126" displayName="Table126" ref="B213:G216" totalsRowShown="0" headerRowDxfId="727" dataDxfId="726" tableBorderDxfId="725">
  <autoFilter ref="B213:G216" xr:uid="{00000000-0009-0000-0100-00007E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4000-000001000000}" name="CPU Utilization" dataDxfId="724"/>
    <tableColumn id="2" xr3:uid="{00000000-0010-0000-4000-000002000000}" name="Normal Runtime" dataDxfId="723"/>
    <tableColumn id="3" xr3:uid="{00000000-0010-0000-4000-000003000000}" name="Single Failure" dataDxfId="722"/>
    <tableColumn id="4" xr3:uid="{00000000-0010-0000-4000-000004000000}" name="Double Failure" dataDxfId="721"/>
    <tableColumn id="5" xr3:uid="{00000000-0010-0000-4000-000005000000}" name="Site Failure" dataDxfId="720"/>
    <tableColumn id="6" xr3:uid="{00000000-0010-0000-4000-000006000000}" name="Worst Failure" dataDxfId="719"/>
  </tableColumns>
  <tableStyleInfo name="TableStyleMedium9"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41000000}" name="Table127" displayName="Table127" ref="B200:G202" totalsRowShown="0" headerRowDxfId="718" dataDxfId="717" tableBorderDxfId="716">
  <autoFilter ref="B200:G202" xr:uid="{00000000-0009-0000-0100-00007F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4100-000001000000}" name="Active Databases" dataDxfId="715"/>
    <tableColumn id="2" xr3:uid="{00000000-0010-0000-4100-000002000000}" name="Normal Runtime" dataDxfId="714"/>
    <tableColumn id="3" xr3:uid="{00000000-0010-0000-4100-000003000000}" name="Single Failure" dataDxfId="713"/>
    <tableColumn id="4" xr3:uid="{00000000-0010-0000-4100-000004000000}" name="Double Failure" dataDxfId="712"/>
    <tableColumn id="5" xr3:uid="{00000000-0010-0000-4100-000005000000}" name="Site Failure" dataDxfId="711"/>
    <tableColumn id="6" xr3:uid="{00000000-0010-0000-4100-000006000000}" name="Worst Failure" dataDxfId="710"/>
  </tableColumns>
  <tableStyleInfo name="TableStyleMedium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2000000}" name="Table73" displayName="Table73" ref="H130:I134" totalsRowShown="0" headerRowDxfId="709" dataDxfId="708" tableBorderDxfId="707">
  <autoFilter ref="H130:I134" xr:uid="{00000000-0009-0000-0100-000049000000}">
    <filterColumn colId="0" hiddenButton="1"/>
    <filterColumn colId="1" hiddenButton="1"/>
  </autoFilter>
  <tableColumns count="2">
    <tableColumn id="1" xr3:uid="{00000000-0010-0000-4200-000001000000}" name="Max Actives" dataDxfId="706"/>
    <tableColumn id="2" xr3:uid="{00000000-0010-0000-4200-000002000000}" name="Value" dataDxfId="705"/>
  </tableColumns>
  <tableStyleInfo name="TableStyleMedium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35000000}" name="Table85" displayName="Table85" ref="H124:I128" totalsRowShown="0" headerRowDxfId="704">
  <tableColumns count="2">
    <tableColumn id="1" xr3:uid="{00000000-0010-0000-3500-000001000000}" name="Total Number of Database Copies" dataDxfId="703"/>
    <tableColumn id="2" xr3:uid="{00000000-0010-0000-3500-000002000000}" name="Value" dataDxfId="702"/>
  </tableColumns>
  <tableStyleInfo name="TableStyleMedium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D5DD229-CCC1-46D4-8571-DB8989B3E93B}" name="Table47" displayName="Table47" ref="H166:I168" totalsRowShown="0" headerRowDxfId="701" dataDxfId="700">
  <tableColumns count="2">
    <tableColumn id="1" xr3:uid="{1012B00E-DD02-4CCC-ADF3-2757F1148355}" name="Location" dataDxfId="699"/>
    <tableColumn id="2" xr3:uid="{92F1309E-1C7D-484D-A323-2A4BC74335D2}" name="Utilization" dataDxfId="698">
      <calculatedColumnFormula>IFERROR(DBVolDiskSpaceReplicaSS/(RecDatabaseVols*VLOOKUP(DBDiskSizePDC,tblDiskCapacity,2,FALSE)),strEmpty)</calculatedColumnFormula>
    </tableColumn>
  </tableColumns>
  <tableStyleInfo name="TableStyleMedium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9A9EAD2-55E3-47C3-96FF-DB9075CCF075}" name="Table101" displayName="Table101" ref="H174:I177" totalsRowShown="0" headerRowDxfId="697" tableBorderDxfId="696">
  <autoFilter ref="H174:I177" xr:uid="{B947C4DA-2C89-4BA5-BD12-C018E58F2A11}">
    <filterColumn colId="0" hiddenButton="1"/>
    <filterColumn colId="1" hiddenButton="1"/>
  </autoFilter>
  <tableColumns count="2">
    <tableColumn id="1" xr3:uid="{6C9F57EF-A06E-4BFB-ACF8-D866C60411C5}" name="Condition" dataDxfId="695"/>
    <tableColumn id="2" xr3:uid="{DF0BD3C3-31F2-47BA-8C06-7C05E1C71413}" name="Value" dataDxfId="694"/>
  </tableColumns>
  <tableStyleInfo name="TableStyleMedium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B9009671-E14A-4F95-9696-6CFB6CD048DD}" name="Table133" displayName="Table133" ref="H170:I172" totalsRowShown="0" headerRowDxfId="693" headerRowBorderDxfId="692" tableBorderDxfId="691">
  <autoFilter ref="H170:I172" xr:uid="{DC0E9A6B-DEBE-4CA9-A50C-FBF03708E505}">
    <filterColumn colId="0" hiddenButton="1"/>
    <filterColumn colId="1" hiddenButton="1"/>
  </autoFilter>
  <tableColumns count="2">
    <tableColumn id="1" xr3:uid="{F59709FC-FB13-4ABC-BBCC-0A6D5B757CFD}" name="Volume Calculation"/>
    <tableColumn id="2" xr3:uid="{F992704D-C235-4120-9518-1CFCE84EFE6B}" name="Value"/>
  </tableColumns>
  <tableStyleInfo name="TableStyleMedium9"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A317DFD4-E513-4C2D-B4B5-FE42121AE339}" name="Table134" displayName="Table134" ref="E41:F59" totalsRowShown="0" headerRowDxfId="690" headerRowBorderDxfId="689">
  <autoFilter ref="E41:F59" xr:uid="{8EF1A776-AF86-4AB9-A0CB-2662D9776C26}">
    <filterColumn colId="0" hiddenButton="1"/>
    <filterColumn colId="1" hiddenButton="1"/>
  </autoFilter>
  <tableColumns count="2">
    <tableColumn id="1" xr3:uid="{E839A13C-5662-4E07-A8A2-D4EEBD04C1B1}" name="Ratio Variables" dataDxfId="688"/>
    <tableColumn id="2" xr3:uid="{3C4C6723-021A-4FFE-828C-28D1FD95DBF0}" name="Value" dataDxfId="687"/>
  </tableColumns>
  <tableStyleInfo name="TableStyleMedium9"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C18FD13A-DB50-447E-A514-912AD98917B5}" name="Table135" displayName="Table135" ref="E61:F69" totalsRowShown="0" headerRowDxfId="686" dataDxfId="685">
  <autoFilter ref="E61:F69" xr:uid="{0437FD7B-C4DF-4CCE-9F9B-261EDDBDCE82}">
    <filterColumn colId="0" hiddenButton="1"/>
    <filterColumn colId="1" hiddenButton="1"/>
  </autoFilter>
  <tableColumns count="2">
    <tableColumn id="1" xr3:uid="{FFBD8FD9-BB0E-497F-9B1E-A2A12AECAF74}" name="DB Mailbox Count by Tier" dataDxfId="684"/>
    <tableColumn id="2" xr3:uid="{544A26FA-CCD9-4551-9C57-5EEB8D6C2208}" name="Value" dataDxfId="683"/>
  </tableColumns>
  <tableStyleInfo name="TableStyleMedium9"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43000000}" name="Table82" displayName="Table82" ref="B9:D12" totalsRowShown="0" headerRowDxfId="678" dataDxfId="677">
  <tableColumns count="3">
    <tableColumn id="1" xr3:uid="{00000000-0010-0000-4300-000001000000}" name="DAG Member Layout" dataDxfId="676"/>
    <tableColumn id="2" xr3:uid="{00000000-0010-0000-4300-000002000000}" name="Primary Datacenter" dataDxfId="675"/>
    <tableColumn id="3" xr3:uid="{00000000-0010-0000-4300-000003000000}" name="Secondary Datacenter" dataDxfId="674"/>
  </tableColumns>
  <tableStyleInfo name="TableStyleMedium1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44000000}" name="Table242140" displayName="Table242140" ref="B15:G18" totalsRowShown="0" headerRowDxfId="673" dataDxfId="672">
  <tableColumns count="6">
    <tableColumn id="1" xr3:uid="{00000000-0010-0000-4400-000001000000}" name="Active Database Configuration / DAG" dataDxfId="671"/>
    <tableColumn id="2" xr3:uid="{00000000-0010-0000-4400-000002000000}" name=" / Primary Datacenter Server" dataDxfId="670"/>
    <tableColumn id="3" xr3:uid="{00000000-0010-0000-4400-000003000000}" name="/ Secondary Datacenter Server" dataDxfId="669"/>
    <tableColumn id="4" xr3:uid="{00000000-0010-0000-4400-000004000000}" name="Active Mailboxes / PDC Server" dataDxfId="668"/>
    <tableColumn id="7" xr3:uid="{00000000-0010-0000-4400-000007000000}" name="/ Primary Datacenter" dataDxfId="667">
      <calculatedColumnFormula>RecNumDBs</calculatedColumnFormula>
    </tableColumn>
    <tableColumn id="8" xr3:uid="{00000000-0010-0000-4400-000008000000}" name="/ Secondary Datacenter" dataDxfId="666"/>
  </tableColumns>
  <tableStyleInfo name="TableStyleMedium1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5000000}" name="Table24214079" displayName="Table24214079" ref="B20:D24" totalsRowShown="0" headerRowDxfId="665" dataDxfId="664">
  <tableColumns count="3">
    <tableColumn id="1" xr3:uid="{00000000-0010-0000-4500-000001000000}" name="Secondary Datacenter Database Activation Configuration / DAG" dataDxfId="663"/>
    <tableColumn id="2" xr3:uid="{00000000-0010-0000-4500-000002000000}" name=" / Secondary Datacenter Server" dataDxfId="662"/>
    <tableColumn id="3" xr3:uid="{00000000-0010-0000-4500-000003000000}" name="Active Mailboxes / Server" dataDxfId="661"/>
  </tableColumns>
  <tableStyleInfo name="TableStyleMedium1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46000000}" name="Table8293" displayName="Table8293" ref="B28:D31" headerRowCount="0" totalsRowCount="1" headerRowDxfId="660" dataDxfId="659" totalsRowDxfId="658">
  <tableColumns count="3">
    <tableColumn id="1" xr3:uid="{00000000-0010-0000-4600-000001000000}" name="DAG-A Member Layout" headerRowDxfId="657" dataDxfId="656" totalsRowDxfId="655"/>
    <tableColumn id="2" xr3:uid="{00000000-0010-0000-4600-000002000000}" name="Datacenter 1_x000a_(Primary Datacenter)" headerRowDxfId="654" dataDxfId="653" totalsRowDxfId="652"/>
    <tableColumn id="3" xr3:uid="{00000000-0010-0000-4600-000003000000}" name="Datacenter 2_x000a_(Secondary Datacenter)" totalsRowFunction="custom" headerRowDxfId="651" dataDxfId="650" totalsRowDxfId="649">
      <totalsRowFormula>IF(OR(DAGQuroumStatus="DAG Quorum Failed",ISNA(MATCH(MIN(E31:T31),E31:T31,0))),"FAILED", IF(OR(IsSecSiteActive(),AND(IF(ISNA(MATCH(TEXT(VALUE(1),"#"),E31:T31,0)),MATCH(1,E31:T31,0),MATCH(TEXT(VALUE(1),"#"),E31:T31,0))&lt;=calcNumAMBXServersDC1,MATCH(MIN(E31:T31),E31:T31,0)&lt;=calcNumAMBXServersDC1),AND(IF(ISNA(MATCH(TEXT(VALUE(1),"#"),E31:T31,0)),MATCH(1,E31:T31,0),MATCH(TEXT(VALUE(1),"#"),E31:T31,0))&gt;17,MATCH(MIN(E31:T31),E31:T31,0)&gt;17)),GetServer(MATCH(MIN(E31:T31),E31:T31,0)),"FAILED"))</totalsRowFormula>
    </tableColumn>
  </tableColumns>
  <tableStyleInfo name="TableStyleMedium1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47000000}" name="Table24214094" displayName="Table24214094" ref="B33:G36" headerRowCount="0" totalsRowCount="1" headerRowDxfId="648" dataDxfId="647" totalsRowDxfId="646">
  <tableColumns count="6">
    <tableColumn id="1" xr3:uid="{00000000-0010-0000-4700-000001000000}" name="DAG-A_x000a_Active Database Configuration / DAG" headerRowDxfId="645" dataDxfId="644" totalsRowDxfId="643"/>
    <tableColumn id="2" xr3:uid="{00000000-0010-0000-4700-000002000000}" name=" / Datacenter 1 Active Server" headerRowDxfId="642" dataDxfId="641" totalsRowDxfId="640"/>
    <tableColumn id="3" xr3:uid="{00000000-0010-0000-4700-000003000000}" name="/ Datacenter 2 DR Server" totalsRowFunction="custom" headerRowDxfId="639" dataDxfId="638" totalsRowDxfId="637">
      <totalsRowFormula>IF(OR(DAGQuroumStatus="DAG Quorum Failed",ISNA(MATCH(MIN(E36:T36),E36:T36,0))),"FAILED", IF(OR(IsSecSiteActive(),AND(IF(ISNA(MATCH(TEXT(VALUE(1),"#"),E36:T36,0)),MATCH(1,E36:T36,0),MATCH(TEXT(VALUE(1),"#"),E36:T36,0))&lt;=calcNumAMBXServersDC1,MATCH(MIN(E36:T36),E36:T36,0)&lt;=calcNumAMBXServersDC1),AND(IF(ISNA(MATCH(TEXT(VALUE(1),"#"),E36:T36,0)),MATCH(1,E36:T36,0),MATCH(TEXT(VALUE(1),"#"),E36:T36,0))&gt;17,MATCH(MIN(E36:T36),E36:T36,0)&gt;17)),GetServer(MATCH(MIN(E36:T36),E36:T36,0)),"FAILED"))</totalsRowFormula>
    </tableColumn>
    <tableColumn id="4" xr3:uid="{00000000-0010-0000-4700-000004000000}" name="Active Mailboxes / DC1 Server" headerRowDxfId="636" dataDxfId="635" totalsRowDxfId="634"/>
    <tableColumn id="7" xr3:uid="{00000000-0010-0000-4700-000007000000}" name="/ Datacenter 1" headerRowDxfId="633" dataDxfId="632" totalsRowDxfId="631">
      <calculatedColumnFormula>RecNumDBs</calculatedColumnFormula>
    </tableColumn>
    <tableColumn id="8" xr3:uid="{00000000-0010-0000-4700-000008000000}" name="/ Datacenter 2" headerRowDxfId="630" dataDxfId="629" totalsRowDxfId="628"/>
  </tableColumns>
  <tableStyleInfo name="TableStyleMedium1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48000000}" name="Table2421407995" displayName="Table2421407995" ref="B53:F56" headerRowCount="0" totalsRowCount="1" headerRowDxfId="627" dataDxfId="626" totalsRowDxfId="625">
  <tableColumns count="5">
    <tableColumn id="1" xr3:uid="{00000000-0010-0000-4800-000001000000}" name="DAG-B Active Database Copy Activation (DC2 Site Failure) / DAG" headerRowDxfId="624" dataDxfId="623" totalsRowDxfId="622"/>
    <tableColumn id="2" xr3:uid="{00000000-0010-0000-4800-000002000000}" name="/ Datacenter 1 DR Server" headerRowDxfId="621" dataDxfId="620" totalsRowDxfId="619"/>
    <tableColumn id="3" xr3:uid="{00000000-0010-0000-4800-000003000000}" name="Active Mailboxes / DR Server" totalsRowFunction="custom" headerRowDxfId="618" dataDxfId="617" totalsRowDxfId="616">
      <totalsRowFormula>IF(OR(DAGQuroumStatus="DAG Quorum Failed",ISNA(MATCH(MIN(E56:T56),E56:T56,0))),"FAILED", IF(OR(IsSecSiteActive(),AND(IF(ISNA(MATCH(TEXT(VALUE(1),"#"),E56:T56,0)),MATCH(1,E56:T56,0),MATCH(TEXT(VALUE(1),"#"),E56:T56,0))&lt;=calcNumAMBXServersDC1,MATCH(MIN(E56:T56),E56:T56,0)&lt;=calcNumAMBXServersDC1),AND(IF(ISNA(MATCH(TEXT(VALUE(1),"#"),E56:T56,0)),MATCH(1,E56:T56,0),MATCH(TEXT(VALUE(1),"#"),E56:T56,0))&gt;17,MATCH(MIN(E56:T56),E56:T56,0)&gt;17)),GetServer(MATCH(MIN(E56:T56),E56:T56,0)),"FAILED"))</totalsRowFormula>
    </tableColumn>
    <tableColumn id="4" xr3:uid="{00000000-0010-0000-4800-000004000000}" name="/ Datacenter 1" headerRowDxfId="615" dataDxfId="614" totalsRowDxfId="613">
      <calculatedColumnFormula>IF(AND(HAOption="Yes",SiteResilienceEnabled="Yes",SRModel&lt;&gt;"Active/Passive"),IF(Table2421407995[[#This Row],[/ Datacenter 1 DR Server]]&lt;&gt;"--",RecNumDBs,"--"),"--")</calculatedColumnFormula>
    </tableColumn>
    <tableColumn id="5" xr3:uid="{00000000-0010-0000-4800-000005000000}" name="Total Active Mailboxes in DC1" headerRowDxfId="612" dataDxfId="611" totalsRowDxfId="610">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49000000}" name="Table2421409496" displayName="Table2421409496" ref="B48:G51" headerRowCount="0" totalsRowCount="1" headerRowDxfId="609" dataDxfId="608" totalsRowDxfId="607">
  <tableColumns count="6">
    <tableColumn id="1" xr3:uid="{00000000-0010-0000-4900-000001000000}" name="DAG-B_x000a_Active Database Configuration / DAG" headerRowDxfId="606" dataDxfId="605" totalsRowDxfId="604"/>
    <tableColumn id="2" xr3:uid="{00000000-0010-0000-4900-000002000000}" name=" / Datacenter 2 Active Server" headerRowDxfId="603" dataDxfId="602" totalsRowDxfId="601"/>
    <tableColumn id="3" xr3:uid="{00000000-0010-0000-4900-000003000000}" name="/ Datacenter 1 DR Server" totalsRowFunction="custom" headerRowDxfId="600" dataDxfId="599" totalsRowDxfId="598">
      <totalsRowFormula>IF(OR(DAGQuroumStatus="DAG Quorum Failed",ISNA(MATCH(MIN(E51:T51),E51:T51,0))),"FAILED", IF(OR(IsSecSiteActive(),AND(IF(ISNA(MATCH(TEXT(VALUE(1),"#"),E51:T51,0)),MATCH(1,E51:T51,0),MATCH(TEXT(VALUE(1),"#"),E51:T51,0))&lt;=calcNumAMBXServersDC1,MATCH(MIN(E51:T51),E51:T51,0)&lt;=calcNumAMBXServersDC1),AND(IF(ISNA(MATCH(TEXT(VALUE(1),"#"),E51:T51,0)),MATCH(1,E51:T51,0),MATCH(TEXT(VALUE(1),"#"),E51:T51,0))&gt;17,MATCH(MIN(E51:T51),E51:T51,0)&gt;17)),GetServer(MATCH(MIN(E51:T51),E51:T51,0)),"FAILED"))</totalsRowFormula>
    </tableColumn>
    <tableColumn id="4" xr3:uid="{00000000-0010-0000-4900-000004000000}" name="Active Mailboxes / DC2 Server" headerRowDxfId="597" dataDxfId="596" totalsRowDxfId="595"/>
    <tableColumn id="7" xr3:uid="{00000000-0010-0000-4900-000007000000}" name="/ Datacenter 2" headerRowDxfId="594" dataDxfId="593" totalsRowDxfId="592">
      <calculatedColumnFormula>RecNumDBs</calculatedColumnFormula>
    </tableColumn>
    <tableColumn id="8" xr3:uid="{00000000-0010-0000-4900-000008000000}" name="/ Datacenter 1" headerRowDxfId="591" dataDxfId="590" totalsRowDxfId="589"/>
  </tableColumns>
  <tableStyleInfo name="TableStyleMedium1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4A000000}" name="Table242140799597" displayName="Table242140799597" ref="B38:F41" headerRowCount="0" totalsRowCount="1" headerRowDxfId="588" dataDxfId="587" totalsRowDxfId="586">
  <tableColumns count="5">
    <tableColumn id="1" xr3:uid="{00000000-0010-0000-4A00-000001000000}" name="DAG-A Active Database Copy Activation (DC1 Site Failure) / DAG" headerRowDxfId="585" dataDxfId="584" totalsRowDxfId="583"/>
    <tableColumn id="2" xr3:uid="{00000000-0010-0000-4A00-000002000000}" name="/ Datacenter 2 DR Server" headerRowDxfId="582" dataDxfId="581" totalsRowDxfId="580"/>
    <tableColumn id="3" xr3:uid="{00000000-0010-0000-4A00-000003000000}" name="Active Mailboxes / DR Server" totalsRowFunction="custom" headerRowDxfId="579" dataDxfId="578" totalsRowDxfId="577">
      <totalsRowFormula>IF(OR(DAGQuroumStatus="DAG Quorum Failed",ISNA(MATCH(MIN(E41:T41),E41:T41,0))),"FAILED", IF(OR(IsSecSiteActive(),AND(IF(ISNA(MATCH(TEXT(VALUE(1),"#"),E41:T41,0)),MATCH(1,E41:T41,0),MATCH(TEXT(VALUE(1),"#"),E41:T41,0))&lt;=calcNumAMBXServersDC1,MATCH(MIN(E41:T41),E41:T41,0)&lt;=calcNumAMBXServersDC1),AND(IF(ISNA(MATCH(TEXT(VALUE(1),"#"),E41:T41,0)),MATCH(1,E41:T41,0),MATCH(TEXT(VALUE(1),"#"),E41:T41,0))&gt;17,MATCH(MIN(E41:T41),E41:T41,0)&gt;17)),GetServer(MATCH(MIN(E41:T41),E41:T41,0)),"FAILED"))</totalsRowFormula>
    </tableColumn>
    <tableColumn id="4" xr3:uid="{00000000-0010-0000-4A00-000004000000}" name="/ Datacenter 2" headerRowDxfId="576" dataDxfId="575" totalsRowDxfId="574">
      <calculatedColumnFormula>IF(AND(HAOption="Yes",SiteResilienceEnabled="Yes",SRModel&lt;&gt;"Active/Passive"),IF(Table242140799597[[#This Row],[/ Datacenter 2 DR Server]]&lt;&gt;"--",RecNumDBs,"--"),"--")</calculatedColumnFormula>
    </tableColumn>
    <tableColumn id="5" xr3:uid="{00000000-0010-0000-4A00-000005000000}" name="Total Active Mailboxes in DC2" headerRowDxfId="573" dataDxfId="572" totalsRowDxfId="571">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4B000000}" name="Table829385" displayName="Table829385" ref="B43:D46" headerRowCount="0" totalsRowCount="1" headerRowDxfId="570" dataDxfId="569" totalsRowDxfId="568">
  <tableColumns count="3">
    <tableColumn id="1" xr3:uid="{00000000-0010-0000-4B00-000001000000}" name="0" headerRowDxfId="567" dataDxfId="566" totalsRowDxfId="565"/>
    <tableColumn id="2" xr3:uid="{00000000-0010-0000-4B00-000002000000}" name="Datacenter 2_x000a_(Primary Datacenter)" headerRowDxfId="564" dataDxfId="563" totalsRowDxfId="562"/>
    <tableColumn id="3" xr3:uid="{00000000-0010-0000-4B00-000003000000}" name="Datacenter 1_x000a_(Secondary Datacenter)" totalsRowFunction="custom" headerRowDxfId="561" dataDxfId="560" totalsRowDxfId="559">
      <totalsRowFormula>IF(OR(DAGQuroumStatus="DAG Quorum Failed",ISNA(MATCH(MIN(E46:T46),E46:T46,0))),"FAILED", IF(OR(IsSecSiteActive(),AND(IF(ISNA(MATCH(TEXT(VALUE(1),"#"),E46:T46,0)),MATCH(1,E46:T46,0),MATCH(TEXT(VALUE(1),"#"),E46:T46,0))&lt;=calcNumAMBXServersDC1,MATCH(MIN(E46:T46),E46:T46,0)&lt;=calcNumAMBXServersDC1),AND(IF(ISNA(MATCH(TEXT(VALUE(1),"#"),E46:T46,0)),MATCH(1,E46:T46,0),MATCH(TEXT(VALUE(1),"#"),E46:T46,0))&gt;17,MATCH(MIN(E46:T46),E46:T46,0)&gt;17)),GetServer(MATCH(MIN(E46:T46),E46:T46,0)),"FAILED"))</totalsRowFormula>
    </tableColumn>
  </tableColumns>
  <tableStyleInfo name="TableStyleMedium1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4C000000}" name="Table30" displayName="Table30" ref="B5:D105" totalsRowShown="0" headerRowDxfId="555" dataDxfId="554">
  <tableColumns count="3">
    <tableColumn id="1" xr3:uid="{00000000-0010-0000-4C00-000001000000}" name="DB Number" dataDxfId="553"/>
    <tableColumn id="2" xr3:uid="{00000000-0010-0000-4C00-000002000000}" name="DB Grouping" dataDxfId="552">
      <calculatedColumnFormula>IF(B123="--","",ROUNDUP(Table30[[#This Row],[DB Number]]/NumDBPerVol,0))</calculatedColumnFormula>
    </tableColumn>
    <tableColumn id="3" xr3:uid="{00000000-0010-0000-4C00-000003000000}" name="DB Group #" dataDxfId="551"/>
  </tableColumns>
  <tableStyleInfo name="TableStyleMedium9"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4D000000}" name="Table34" displayName="Table34" ref="H5:I12" totalsRowShown="0" headerRowDxfId="550">
  <tableColumns count="2">
    <tableColumn id="1" xr3:uid="{00000000-0010-0000-4D00-000001000000}" name="Volume Configuration" dataDxfId="549"/>
    <tableColumn id="2" xr3:uid="{00000000-0010-0000-4D00-000002000000}" name="Value"/>
  </tableColumns>
  <tableStyleInfo name="TableStyleMedium9"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4E000000}" name="Table36" displayName="Table36" ref="B109:C110" totalsRowShown="0" headerRowDxfId="548" dataDxfId="547">
  <tableColumns count="2">
    <tableColumn id="1" xr3:uid="{00000000-0010-0000-4E00-000001000000}" name="Volume Design" dataDxfId="546"/>
    <tableColumn id="2" xr3:uid="{00000000-0010-0000-4E00-000002000000}" name=" " dataDxfId="545">
      <calculatedColumnFormula>IF(AND(VolDesign=INDEX(varVolDesign,1),BackupMethod=INDEX(varBackupMethod,3)),
    INDEX(varVolumeArchitecture,2),
    IF(AND(VolDesign=INDEX(varVolDesign,1),BackupMethod=INDEX(varBackupMethod,2)),
       INDEX(varVolumeArchitecture,3),
       IF(VolDesign=INDEX(varVolDesign,1),
          INDEX(varVolumeArchitecture,1),
          IF(VolDesign=INDEX(varVolDesign,2),
             INDEX(varVolumeArchitecture,2),
             INDEX(varVolumeArchitecture,4)
            )
         )
      )
   )</calculatedColumnFormula>
    </tableColumn>
  </tableColumns>
  <tableStyleInfo name="TableStyleMedium1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4F000000}" name="Table38" displayName="Table38" ref="B123:F225" headerRowCount="0" totalsRowShown="0" headerRowDxfId="544" dataDxfId="543">
  <tableColumns count="5">
    <tableColumn id="1" xr3:uid="{00000000-0010-0000-4F00-000001000000}" name="Database" headerRowDxfId="542" totalsRowDxfId="541"/>
    <tableColumn id="2" xr3:uid="{00000000-0010-0000-4F00-000002000000}" name="Max Mailboxes / DB" headerRowDxfId="540" dataDxfId="539" totalsRowDxfId="538"/>
    <tableColumn id="3" xr3:uid="{00000000-0010-0000-4F00-000003000000}" name="DB Size" headerRowDxfId="537" dataDxfId="536" totalsRowDxfId="535"/>
    <tableColumn id="4" xr3:uid="{00000000-0010-0000-4F00-000004000000}" name="DB Size + Overhead" headerRowDxfId="534" dataDxfId="533" totalsRowDxfId="532"/>
    <tableColumn id="5" xr3:uid="{00000000-0010-0000-4F00-000005000000}" name="Log Size + Overhead" headerRowDxfId="531" dataDxfId="530" totalsRowDxfId="529"/>
  </tableColumns>
  <tableStyleInfo name="TableStyleMedium1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50000000}" name="Table40" displayName="Table40" ref="H109:I110" totalsRowShown="0" headerRowDxfId="528">
  <tableColumns count="2">
    <tableColumn id="1" xr3:uid="{00000000-0010-0000-5000-000001000000}" name="Restore Volume Design" dataDxfId="527"/>
    <tableColumn id="2" xr3:uid="{00000000-0010-0000-5000-000002000000}" name=" " dataDxfId="526">
      <calculatedColumnFormula>IF(RestoreVolSize=0,strEmpty,RestoreVolSize)</calculatedColumnFormula>
    </tableColumn>
  </tableColumns>
  <tableStyleInfo name="TableStyleMedium1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E0C44333-6FB7-4546-A84B-4FD7506DC83E}" name="Table131" displayName="Table131" ref="H123:K222" headerRowCount="0" totalsRowShown="0" headerRowDxfId="525" headerRowBorderDxfId="524" tableBorderDxfId="523">
  <tableColumns count="4">
    <tableColumn id="1" xr3:uid="{699B5DDC-65B6-4E9D-A4ED-192E561C9E8B}" name="Database Copy" headerRowDxfId="522" dataDxfId="521">
      <calculatedColumnFormula>IFERROR(IF(ValidationCheck=FALSE,IF(TotNumDBCopiesServer/NumDBPerVol&gt;ROW()-ROW(DBSet1),IF(NumDBPerVol=1,CONCATENATE("DB",ROW()-ROW(DBSet1)+1),CONCATENATE("DB",ABS(ROW(DBSet1)-ROW()) * NumDBPerVol+1,"-DB",MIN(TotNumDBCopiesServer,(ABS(ROW(DBSet1)-ROW())+1) * NumDBPerVol))),strEmpty),strEmpty),strEmpty)</calculatedColumnFormula>
    </tableColumn>
    <tableColumn id="2" xr3:uid="{4819CE3C-5CA8-43D8-A32A-4E23D43D2BA7}" name="DB+Log Volume Size Required" headerRowDxfId="520" dataDxfId="519">
      <calculatedColumnFormula>IF(H123=strEmpty,"",(SUMIF(C$6:C$105,D6,E$123:E$222)+IF(OR(VolArchitecture=INDEX(varVolumeArchitecture,1),VolArchitecture=INDEX(varVolumeArchitecture,4)),SUMIF(C$6:C$105,D6,F$123:F$222),0)))</calculatedColumnFormula>
    </tableColumn>
    <tableColumn id="3" xr3:uid="{AF6BFB24-A746-4076-81C8-1FEB32F5073B}" name="Column1" headerRowDxfId="518" dataDxfId="517">
      <calculatedColumnFormula>IF(OR(VolArchitecture=INDEX(varVolumeArchitecture,1),VolArchitecture=INDEX(varVolumeArchitecture,4)),"",IF(H123=strEmpty,"",SUMIF(C$6:C$105,D6,F$123:F$222)))</calculatedColumnFormula>
    </tableColumn>
    <tableColumn id="4" xr3:uid="{CA8879B7-E72F-49C8-BFB3-1DC9459469B9}" name="Formatted Capacity" headerRowDxfId="516" dataDxfId="515">
      <calculatedColumnFormula>IF(OR(VolArchitecture=INDEX(varVolumeArchitecture,1),VolArchitecture=INDEX(varVolumeArchitecture,4)),IF(H123=strEmpty,"",(DBRawDiskCap1*1000*1000*1000)/1024/1024/1024),"")</calculatedColumnFormula>
    </tableColumn>
  </tableColumns>
  <tableStyleInfo name="TableStyleMedium11"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51000000}" name="Table43" displayName="Table43" ref="B14:I114" totalsRowShown="0" headerRowDxfId="512" dataDxfId="511">
  <tableColumns count="8">
    <tableColumn id="1" xr3:uid="{00000000-0010-0000-5100-000001000000}" name="Database" dataDxfId="510"/>
    <tableColumn id="2" xr3:uid="{00000000-0010-0000-5100-000002000000}" name="Monday" dataDxfId="509"/>
    <tableColumn id="3" xr3:uid="{00000000-0010-0000-5100-000003000000}" name="Tuesday" dataDxfId="508">
      <calculatedColumnFormula>IF($B15="--","--",IF(BackupFreq="Daily Full","Full",IF(AND($C14="Full",ROW(D15)&lt;&gt;ROW($C14)),"Full",IF(BackupFreq="Weekly Full / Daily Incremental","Incremental","Differential"))))</calculatedColumnFormula>
    </tableColumn>
    <tableColumn id="4" xr3:uid="{00000000-0010-0000-5100-000004000000}" name="Wednesday" dataDxfId="507">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xr3:uid="{00000000-0010-0000-5100-000005000000}" name="Thursday" dataDxfId="506">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xr3:uid="{00000000-0010-0000-5100-000006000000}" name="Friday" dataDxfId="505">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xr3:uid="{00000000-0010-0000-5100-000007000000}" name="Saturday" dataDxfId="504">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xr3:uid="{00000000-0010-0000-5100-000008000000}" name="Sunday" dataDxfId="503">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52000000}" name="Table121" displayName="Table121" ref="C30:D32" totalsRowShown="0" headerRowDxfId="391">
  <tableColumns count="2">
    <tableColumn id="1" xr3:uid="{00000000-0010-0000-5200-000001000000}" name="Tier-1 Mailbox Space Modeling" dataDxfId="390"/>
    <tableColumn id="2" xr3:uid="{00000000-0010-0000-5200-000002000000}" name="Value"/>
  </tableColumns>
  <tableStyleInfo name="TableStyleMedium11"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53000000}" name="Table121123" displayName="Table121123" ref="C59:D61" totalsRowShown="0" headerRowDxfId="389">
  <tableColumns count="2">
    <tableColumn id="1" xr3:uid="{00000000-0010-0000-5300-000001000000}" name="Tier-2 Mailbox Space Modeling" dataDxfId="388"/>
    <tableColumn id="2" xr3:uid="{00000000-0010-0000-5300-000002000000}" name="Value"/>
  </tableColumns>
  <tableStyleInfo name="TableStyleMedium11"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54000000}" name="Table121123124" displayName="Table121123124" ref="C88:D90" totalsRowShown="0" headerRowDxfId="387">
  <tableColumns count="2">
    <tableColumn id="1" xr3:uid="{00000000-0010-0000-5400-000001000000}" name="Tier-3 Mailbox Space Modeling" dataDxfId="386"/>
    <tableColumn id="2" xr3:uid="{00000000-0010-0000-5400-000002000000}" name="Value"/>
  </tableColumns>
  <tableStyleInfo name="TableStyleMedium11"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55000000}" name="Table121123124125" displayName="Table121123124125" ref="C117:D119" totalsRowShown="0" headerRowDxfId="385">
  <tableColumns count="2">
    <tableColumn id="1" xr3:uid="{00000000-0010-0000-5500-000001000000}" name="Tier-4 Mailbox Space Modeling" dataDxfId="384"/>
    <tableColumn id="2" xr3:uid="{00000000-0010-0000-5500-000002000000}" name="Value"/>
  </tableColumns>
  <tableStyleInfo name="TableStyleMedium11"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56000000}" name="Table110" displayName="Table110" ref="B5:C10" totalsRowShown="0" headerRowDxfId="383" dataDxfId="382" tableBorderDxfId="381">
  <tableColumns count="2">
    <tableColumn id="1" xr3:uid="{00000000-0010-0000-5600-000001000000}" name="Tier 1 Mailbox Modeling Calculations" dataDxfId="380"/>
    <tableColumn id="2" xr3:uid="{00000000-0010-0000-5600-000002000000}" name="Value" dataDxfId="379"/>
  </tableColumns>
  <tableStyleInfo name="TableStyleMedium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57000000}" name="Table111" displayName="Table111" ref="B13:T15" headerRowCount="0" totalsRowShown="0" headerRowDxfId="378" dataDxfId="377">
  <tableColumns count="19">
    <tableColumn id="1" xr3:uid="{00000000-0010-0000-5700-000001000000}" name="Tier-1 Mailbox Modeling Graph Data" headerRowDxfId="376" dataDxfId="375"/>
    <tableColumn id="19" xr3:uid="{00000000-0010-0000-5700-000013000000}" name="Column1" headerRowDxfId="374" dataDxfId="373"/>
    <tableColumn id="2" xr3:uid="{00000000-0010-0000-5700-000002000000}" name="12" headerRowDxfId="372" dataDxfId="371"/>
    <tableColumn id="3" xr3:uid="{00000000-0010-0000-5700-000003000000}" name="15" headerRowDxfId="370" dataDxfId="369"/>
    <tableColumn id="4" xr3:uid="{00000000-0010-0000-5700-000004000000}" name="18" headerRowDxfId="368" dataDxfId="367"/>
    <tableColumn id="5" xr3:uid="{00000000-0010-0000-5700-000005000000}" name="21" headerRowDxfId="366" dataDxfId="365"/>
    <tableColumn id="6" xr3:uid="{00000000-0010-0000-5700-000006000000}" name="24" headerRowDxfId="364" dataDxfId="363"/>
    <tableColumn id="7" xr3:uid="{00000000-0010-0000-5700-000007000000}" name="27" headerRowDxfId="362" dataDxfId="361"/>
    <tableColumn id="8" xr3:uid="{00000000-0010-0000-5700-000008000000}" name="30" headerRowDxfId="360" dataDxfId="359"/>
    <tableColumn id="9" xr3:uid="{00000000-0010-0000-5700-000009000000}" name="33" headerRowDxfId="358" dataDxfId="357"/>
    <tableColumn id="10" xr3:uid="{00000000-0010-0000-5700-00000A000000}" name="36" headerRowDxfId="356" dataDxfId="355"/>
    <tableColumn id="11" xr3:uid="{00000000-0010-0000-5700-00000B000000}" name="39" headerRowDxfId="354" dataDxfId="353"/>
    <tableColumn id="12" xr3:uid="{00000000-0010-0000-5700-00000C000000}" name="42" headerRowDxfId="352" dataDxfId="351"/>
    <tableColumn id="13" xr3:uid="{00000000-0010-0000-5700-00000D000000}" name="45" headerRowDxfId="350" dataDxfId="349"/>
    <tableColumn id="14" xr3:uid="{00000000-0010-0000-5700-00000E000000}" name="48" headerRowDxfId="348" dataDxfId="347"/>
    <tableColumn id="15" xr3:uid="{00000000-0010-0000-5700-00000F000000}" name="51" headerRowDxfId="346" dataDxfId="345"/>
    <tableColumn id="16" xr3:uid="{00000000-0010-0000-5700-000010000000}" name="54" headerRowDxfId="344" dataDxfId="343"/>
    <tableColumn id="17" xr3:uid="{00000000-0010-0000-5700-000011000000}" name="57" headerRowDxfId="342" dataDxfId="341"/>
    <tableColumn id="18" xr3:uid="{00000000-0010-0000-5700-000012000000}" name="60" headerRowDxfId="340" dataDxfId="339"/>
  </tableColumns>
  <tableStyleInfo name="TableStyleMedium9"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58000000}" name="Table112" displayName="Table112" ref="B17:C19" totalsRowShown="0" headerRowDxfId="338">
  <tableColumns count="2">
    <tableColumn id="1" xr3:uid="{00000000-0010-0000-5800-000001000000}" name="Tier-1 Mailbox Modeling Graph Data" dataDxfId="337"/>
    <tableColumn id="2" xr3:uid="{00000000-0010-0000-5800-000002000000}" name="Maximum Mailbox Size" dataDxfId="336"/>
  </tableColumns>
  <tableStyleInfo name="TableStyleMedium9"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59000000}" name="Table110114" displayName="Table110114" ref="B21:C26" totalsRowShown="0" headerRowDxfId="335" dataDxfId="334" tableBorderDxfId="333">
  <tableColumns count="2">
    <tableColumn id="1" xr3:uid="{00000000-0010-0000-5900-000001000000}" name="Tier-2 Mailbox Modeling Calculations" dataDxfId="332"/>
    <tableColumn id="2" xr3:uid="{00000000-0010-0000-5900-000002000000}" name="Value" dataDxfId="331"/>
  </tableColumns>
  <tableStyleInfo name="TableStyleMedium9"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5A000000}" name="Table111109" displayName="Table111109" ref="B29:T31" headerRowCount="0" totalsRowShown="0" headerRowDxfId="330" dataDxfId="329">
  <tableColumns count="19">
    <tableColumn id="1" xr3:uid="{00000000-0010-0000-5A00-000001000000}" name="Tier-1 Mailbox Modeling Graph Data" headerRowDxfId="328" dataDxfId="327"/>
    <tableColumn id="2" xr3:uid="{00000000-0010-0000-5A00-000002000000}" name="12" headerRowDxfId="326" dataDxfId="325"/>
    <tableColumn id="3" xr3:uid="{00000000-0010-0000-5A00-000003000000}" name="15" headerRowDxfId="324" dataDxfId="323"/>
    <tableColumn id="4" xr3:uid="{00000000-0010-0000-5A00-000004000000}" name="18" headerRowDxfId="322" dataDxfId="321"/>
    <tableColumn id="5" xr3:uid="{00000000-0010-0000-5A00-000005000000}" name="21" headerRowDxfId="320" dataDxfId="319"/>
    <tableColumn id="6" xr3:uid="{00000000-0010-0000-5A00-000006000000}" name="24" headerRowDxfId="318" dataDxfId="317"/>
    <tableColumn id="7" xr3:uid="{00000000-0010-0000-5A00-000007000000}" name="27" headerRowDxfId="316" dataDxfId="315"/>
    <tableColumn id="8" xr3:uid="{00000000-0010-0000-5A00-000008000000}" name="30" headerRowDxfId="314" dataDxfId="313"/>
    <tableColumn id="9" xr3:uid="{00000000-0010-0000-5A00-000009000000}" name="33" headerRowDxfId="312" dataDxfId="311"/>
    <tableColumn id="10" xr3:uid="{00000000-0010-0000-5A00-00000A000000}" name="36" headerRowDxfId="310" dataDxfId="309"/>
    <tableColumn id="11" xr3:uid="{00000000-0010-0000-5A00-00000B000000}" name="39" headerRowDxfId="308" dataDxfId="307"/>
    <tableColumn id="12" xr3:uid="{00000000-0010-0000-5A00-00000C000000}" name="42" headerRowDxfId="306" dataDxfId="305"/>
    <tableColumn id="13" xr3:uid="{00000000-0010-0000-5A00-00000D000000}" name="45" headerRowDxfId="304" dataDxfId="303"/>
    <tableColumn id="14" xr3:uid="{00000000-0010-0000-5A00-00000E000000}" name="48" headerRowDxfId="302" dataDxfId="301"/>
    <tableColumn id="15" xr3:uid="{00000000-0010-0000-5A00-00000F000000}" name="51" headerRowDxfId="300" dataDxfId="299"/>
    <tableColumn id="16" xr3:uid="{00000000-0010-0000-5A00-000010000000}" name="54" headerRowDxfId="298" dataDxfId="297"/>
    <tableColumn id="17" xr3:uid="{00000000-0010-0000-5A00-000011000000}" name="57" headerRowDxfId="296" dataDxfId="295"/>
    <tableColumn id="18" xr3:uid="{00000000-0010-0000-5A00-000012000000}" name="60" headerRowDxfId="294" dataDxfId="293"/>
    <tableColumn id="19" xr3:uid="{00000000-0010-0000-5A00-000013000000}" name="Column1" headerRowDxfId="292" dataDxfId="291"/>
  </tableColumns>
  <tableStyleInfo name="TableStyleMedium9"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5B000000}" name="Table112110" displayName="Table112110" ref="B33:C35" totalsRowShown="0" headerRowDxfId="290">
  <tableColumns count="2">
    <tableColumn id="1" xr3:uid="{00000000-0010-0000-5B00-000001000000}" name="Tier-2 Mailbox Modeling Graph Data" dataDxfId="289"/>
    <tableColumn id="2" xr3:uid="{00000000-0010-0000-5B00-000002000000}" name="Maximum Mailbox Size" dataDxfId="288"/>
  </tableColumns>
  <tableStyleInfo name="TableStyleMedium9"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5C000000}" name="Table110114115" displayName="Table110114115" ref="B37:C42" totalsRowShown="0" headerRowDxfId="287" dataDxfId="286" tableBorderDxfId="285">
  <tableColumns count="2">
    <tableColumn id="1" xr3:uid="{00000000-0010-0000-5C00-000001000000}" name="Tier-3 Mailbox Modeling Calculations" dataDxfId="284"/>
    <tableColumn id="2" xr3:uid="{00000000-0010-0000-5C00-000002000000}" name="Value" dataDxfId="283"/>
  </tableColumns>
  <tableStyleInfo name="TableStyleMedium9"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5D000000}" name="Table111109116" displayName="Table111109116" ref="B45:T47" headerRowCount="0" totalsRowShown="0" headerRowDxfId="282" dataDxfId="281">
  <tableColumns count="19">
    <tableColumn id="1" xr3:uid="{00000000-0010-0000-5D00-000001000000}" name="Tier-1 Mailbox Modeling Graph Data" headerRowDxfId="280" dataDxfId="279"/>
    <tableColumn id="2" xr3:uid="{00000000-0010-0000-5D00-000002000000}" name="12" headerRowDxfId="278" dataDxfId="277"/>
    <tableColumn id="3" xr3:uid="{00000000-0010-0000-5D00-000003000000}" name="15" headerRowDxfId="276" dataDxfId="275"/>
    <tableColumn id="4" xr3:uid="{00000000-0010-0000-5D00-000004000000}" name="18" headerRowDxfId="274" dataDxfId="273"/>
    <tableColumn id="5" xr3:uid="{00000000-0010-0000-5D00-000005000000}" name="21" headerRowDxfId="272" dataDxfId="271"/>
    <tableColumn id="6" xr3:uid="{00000000-0010-0000-5D00-000006000000}" name="24" headerRowDxfId="270" dataDxfId="269"/>
    <tableColumn id="7" xr3:uid="{00000000-0010-0000-5D00-000007000000}" name="27" headerRowDxfId="268" dataDxfId="267"/>
    <tableColumn id="8" xr3:uid="{00000000-0010-0000-5D00-000008000000}" name="30" headerRowDxfId="266" dataDxfId="265"/>
    <tableColumn id="9" xr3:uid="{00000000-0010-0000-5D00-000009000000}" name="33" headerRowDxfId="264" dataDxfId="263"/>
    <tableColumn id="10" xr3:uid="{00000000-0010-0000-5D00-00000A000000}" name="36" headerRowDxfId="262" dataDxfId="261"/>
    <tableColumn id="11" xr3:uid="{00000000-0010-0000-5D00-00000B000000}" name="39" headerRowDxfId="260" dataDxfId="259"/>
    <tableColumn id="12" xr3:uid="{00000000-0010-0000-5D00-00000C000000}" name="42" headerRowDxfId="258" dataDxfId="257"/>
    <tableColumn id="13" xr3:uid="{00000000-0010-0000-5D00-00000D000000}" name="45" headerRowDxfId="256" dataDxfId="255"/>
    <tableColumn id="14" xr3:uid="{00000000-0010-0000-5D00-00000E000000}" name="48" headerRowDxfId="254" dataDxfId="253"/>
    <tableColumn id="15" xr3:uid="{00000000-0010-0000-5D00-00000F000000}" name="51" headerRowDxfId="252" dataDxfId="251"/>
    <tableColumn id="16" xr3:uid="{00000000-0010-0000-5D00-000010000000}" name="54" headerRowDxfId="250" dataDxfId="249"/>
    <tableColumn id="17" xr3:uid="{00000000-0010-0000-5D00-000011000000}" name="57" headerRowDxfId="248" dataDxfId="247"/>
    <tableColumn id="18" xr3:uid="{00000000-0010-0000-5D00-000012000000}" name="60" headerRowDxfId="246" dataDxfId="245"/>
    <tableColumn id="19" xr3:uid="{00000000-0010-0000-5D00-000013000000}" name="Column1" headerRowDxfId="244" dataDxfId="243"/>
  </tableColumns>
  <tableStyleInfo name="TableStyleMedium9"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5E000000}" name="Table112110117" displayName="Table112110117" ref="B49:C51" totalsRowShown="0" headerRowDxfId="242">
  <tableColumns count="2">
    <tableColumn id="1" xr3:uid="{00000000-0010-0000-5E00-000001000000}" name="Tier-3 Mailbox Modeling Graph Data" dataDxfId="241"/>
    <tableColumn id="2" xr3:uid="{00000000-0010-0000-5E00-000002000000}" name="Maximum Mailbox Size" dataDxfId="240"/>
  </tableColumns>
  <tableStyleInfo name="TableStyleMedium9"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5F000000}" name="Table110114115118" displayName="Table110114115118" ref="B53:C58" totalsRowShown="0" headerRowDxfId="239" dataDxfId="238" tableBorderDxfId="237">
  <tableColumns count="2">
    <tableColumn id="1" xr3:uid="{00000000-0010-0000-5F00-000001000000}" name="Tier-3 Mailbox Modeling Calculations" dataDxfId="236"/>
    <tableColumn id="2" xr3:uid="{00000000-0010-0000-5F00-000002000000}" name="Value" dataDxfId="235"/>
  </tableColumns>
  <tableStyleInfo name="TableStyleMedium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60000000}" name="Table111109116119" displayName="Table111109116119" ref="B61:T63" headerRowCount="0" totalsRowShown="0" headerRowDxfId="234" dataDxfId="233">
  <tableColumns count="19">
    <tableColumn id="1" xr3:uid="{00000000-0010-0000-6000-000001000000}" name="Tier-1 Mailbox Modeling Graph Data" headerRowDxfId="232" dataDxfId="231"/>
    <tableColumn id="2" xr3:uid="{00000000-0010-0000-6000-000002000000}" name="12" headerRowDxfId="230" dataDxfId="229"/>
    <tableColumn id="3" xr3:uid="{00000000-0010-0000-6000-000003000000}" name="15" headerRowDxfId="228" dataDxfId="227"/>
    <tableColumn id="4" xr3:uid="{00000000-0010-0000-6000-000004000000}" name="18" headerRowDxfId="226" dataDxfId="225"/>
    <tableColumn id="5" xr3:uid="{00000000-0010-0000-6000-000005000000}" name="21" headerRowDxfId="224" dataDxfId="223"/>
    <tableColumn id="6" xr3:uid="{00000000-0010-0000-6000-000006000000}" name="24" headerRowDxfId="222" dataDxfId="221"/>
    <tableColumn id="7" xr3:uid="{00000000-0010-0000-6000-000007000000}" name="27" headerRowDxfId="220" dataDxfId="219"/>
    <tableColumn id="8" xr3:uid="{00000000-0010-0000-6000-000008000000}" name="30" headerRowDxfId="218" dataDxfId="217"/>
    <tableColumn id="9" xr3:uid="{00000000-0010-0000-6000-000009000000}" name="33" headerRowDxfId="216" dataDxfId="215"/>
    <tableColumn id="10" xr3:uid="{00000000-0010-0000-6000-00000A000000}" name="36" headerRowDxfId="214" dataDxfId="213"/>
    <tableColumn id="11" xr3:uid="{00000000-0010-0000-6000-00000B000000}" name="39" headerRowDxfId="212" dataDxfId="211"/>
    <tableColumn id="12" xr3:uid="{00000000-0010-0000-6000-00000C000000}" name="42" headerRowDxfId="210" dataDxfId="209"/>
    <tableColumn id="13" xr3:uid="{00000000-0010-0000-6000-00000D000000}" name="45" headerRowDxfId="208" dataDxfId="207"/>
    <tableColumn id="14" xr3:uid="{00000000-0010-0000-6000-00000E000000}" name="48" headerRowDxfId="206" dataDxfId="205"/>
    <tableColumn id="15" xr3:uid="{00000000-0010-0000-6000-00000F000000}" name="51" headerRowDxfId="204" dataDxfId="203"/>
    <tableColumn id="16" xr3:uid="{00000000-0010-0000-6000-000010000000}" name="54" headerRowDxfId="202" dataDxfId="201"/>
    <tableColumn id="17" xr3:uid="{00000000-0010-0000-6000-000011000000}" name="57" headerRowDxfId="200" dataDxfId="199"/>
    <tableColumn id="18" xr3:uid="{00000000-0010-0000-6000-000012000000}" name="60" headerRowDxfId="198" dataDxfId="197"/>
    <tableColumn id="19" xr3:uid="{00000000-0010-0000-6000-000013000000}" name="Column1" headerRowDxfId="196" dataDxfId="195"/>
  </tableColumns>
  <tableStyleInfo name="TableStyleMedium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61000000}" name="Table112110117120" displayName="Table112110117120" ref="B65:C67" totalsRowShown="0" headerRowDxfId="194">
  <tableColumns count="2">
    <tableColumn id="1" xr3:uid="{00000000-0010-0000-6100-000001000000}" name="Tier-3 Mailbox Modeling Graph Data" dataDxfId="193"/>
    <tableColumn id="2" xr3:uid="{00000000-0010-0000-6100-000002000000}" name="Maximum Mailbox Size" dataDxfId="192"/>
  </tableColumns>
  <tableStyleInfo name="TableStyleMedium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62000000}" name="Table49" displayName="Table49" ref="B16:C19" totalsRowShown="0" headerRowDxfId="177">
  <tableColumns count="2">
    <tableColumn id="1" xr3:uid="{00000000-0010-0000-6200-000001000000}" name="Database/Log RAID Parity Configuration"/>
    <tableColumn id="2" xr3:uid="{00000000-0010-0000-6200-000002000000}" name="Value"/>
  </tableColumns>
  <tableStyleInfo name="TableStyleMedium15"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63000000}" name="Table50" displayName="Table50" ref="B21:C24" totalsRowShown="0" headerRowDxfId="176">
  <tableColumns count="2">
    <tableColumn id="1" xr3:uid="{00000000-0010-0000-6300-000001000000}" name="Database/Log RAID Rebuild Overhead" dataDxfId="175"/>
    <tableColumn id="2" xr3:uid="{00000000-0010-0000-6300-000002000000}" name="Value"/>
  </tableColumns>
  <tableStyleInfo name="TableStyleMedium15"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64000000}" name="Table51" displayName="Table51" ref="B26:C28" totalsRowShown="0" headerRowDxfId="174">
  <tableColumns count="2">
    <tableColumn id="1" xr3:uid="{00000000-0010-0000-6400-000001000000}" name="Database RAID Configuration"/>
    <tableColumn id="2" xr3:uid="{00000000-0010-0000-6400-000002000000}" name="Value"/>
  </tableColumns>
  <tableStyleInfo name="TableStyleMedium15"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65000000}" name="Table55" displayName="Table55" ref="B32:C42" totalsRowShown="0">
  <tableColumns count="2">
    <tableColumn id="1" xr3:uid="{00000000-0010-0000-6500-000001000000}" name="Storage Controller I/O Calculations" dataDxfId="173"/>
    <tableColumn id="2" xr3:uid="{00000000-0010-0000-6500-000002000000}" name=" " dataDxfId="172"/>
  </tableColumns>
  <tableStyleInfo name="TableStyleMedium9"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66000000}" name="Table56" displayName="Table56" ref="B44:E49" totalsRowShown="0" headerRowDxfId="171">
  <tableColumns count="4">
    <tableColumn id="1" xr3:uid="{00000000-0010-0000-6600-000001000000}" name="Database Disk Configuration" dataDxfId="170"/>
    <tableColumn id="2" xr3:uid="{00000000-0010-0000-6600-000002000000}" name="Configuration 1"/>
    <tableColumn id="3" xr3:uid="{00000000-0010-0000-6600-000003000000}" name="Configuration 2"/>
    <tableColumn id="4" xr3:uid="{00000000-0010-0000-6600-000004000000}" name="Configuration 3"/>
  </tableColumns>
  <tableStyleInfo name="TableStyleMedium9"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67000000}" name="Table57" displayName="Table57" ref="B71:E79" totalsRowShown="0" headerRowDxfId="169" dataDxfId="168">
  <tableColumns count="4">
    <tableColumn id="1" xr3:uid="{00000000-0010-0000-6700-000001000000}" name="Database Disk Calculations" dataDxfId="167"/>
    <tableColumn id="2" xr3:uid="{00000000-0010-0000-6700-000002000000}" name="Configuration 1" dataDxfId="166"/>
    <tableColumn id="3" xr3:uid="{00000000-0010-0000-6700-000003000000}" name="Configuration 2" dataDxfId="165"/>
    <tableColumn id="4" xr3:uid="{00000000-0010-0000-6700-000004000000}" name="Configuration 3" dataDxfId="164"/>
  </tableColumns>
  <tableStyleInfo name="TableStyleMedium9"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68000000}" name="Table58" displayName="Table58" ref="B51:E55" totalsRowShown="0" headerRowDxfId="163">
  <tableColumns count="4">
    <tableColumn id="1" xr3:uid="{00000000-0010-0000-6800-000001000000}" name="Log Disk Configuration" dataDxfId="162"/>
    <tableColumn id="2" xr3:uid="{00000000-0010-0000-6800-000002000000}" name="Configuration 1"/>
    <tableColumn id="3" xr3:uid="{00000000-0010-0000-6800-000003000000}" name="Configuration 2"/>
    <tableColumn id="4" xr3:uid="{00000000-0010-0000-6800-000004000000}" name="Configuration 3"/>
  </tableColumns>
  <tableStyleInfo name="TableStyleMedium9"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69000000}" name="Table59" displayName="Table59" ref="B81:E85" totalsRowShown="0" headerRowDxfId="161" dataDxfId="160">
  <tableColumns count="4">
    <tableColumn id="1" xr3:uid="{00000000-0010-0000-6900-000001000000}" name="Log Disk Calculations" dataDxfId="159"/>
    <tableColumn id="2" xr3:uid="{00000000-0010-0000-6900-000002000000}" name="Configuration 1" dataDxfId="158"/>
    <tableColumn id="3" xr3:uid="{00000000-0010-0000-6900-000003000000}" name="Configuration 2" dataDxfId="157"/>
    <tableColumn id="4" xr3:uid="{00000000-0010-0000-6900-000004000000}" name="Configuration 3" dataDxfId="156"/>
  </tableColumns>
  <tableStyleInfo name="TableStyleMedium9"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6A000000}" name="Table60" displayName="Table60" ref="B57:E61" totalsRowShown="0" headerRowDxfId="155">
  <tableColumns count="4">
    <tableColumn id="1" xr3:uid="{00000000-0010-0000-6A00-000001000000}" name="Restore Volume Disk Configuration" dataDxfId="154"/>
    <tableColumn id="2" xr3:uid="{00000000-0010-0000-6A00-000002000000}" name="Configuration 1"/>
    <tableColumn id="3" xr3:uid="{00000000-0010-0000-6A00-000003000000}" name="Configuration 2"/>
    <tableColumn id="4" xr3:uid="{00000000-0010-0000-6A00-000004000000}" name="Configuration 3"/>
  </tableColumns>
  <tableStyleInfo name="TableStyleMedium9"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6B000000}" name="Table61" displayName="Table61" ref="B87:E91" totalsRowShown="0" headerRowDxfId="153" dataDxfId="152">
  <tableColumns count="4">
    <tableColumn id="1" xr3:uid="{00000000-0010-0000-6B00-000001000000}" name="Restore Volume Disk Capacity Calculations" dataDxfId="151"/>
    <tableColumn id="2" xr3:uid="{00000000-0010-0000-6B00-000002000000}" name="Configuration 1" dataDxfId="150"/>
    <tableColumn id="3" xr3:uid="{00000000-0010-0000-6B00-000003000000}" name="Configuration 2" dataDxfId="149"/>
    <tableColumn id="4" xr3:uid="{00000000-0010-0000-6B00-000004000000}" name="Configuration 3" dataDxfId="148"/>
  </tableColumns>
  <tableStyleInfo name="TableStyleMedium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6C000000}" name="Table62" displayName="Table62" ref="B93:E101" totalsRowShown="0" headerRowDxfId="147" dataDxfId="146">
  <tableColumns count="4">
    <tableColumn id="1" xr3:uid="{00000000-0010-0000-6C00-000001000000}" name="DB RAID Configurations" dataDxfId="145"/>
    <tableColumn id="2" xr3:uid="{00000000-0010-0000-6C00-000002000000}" name="Configuration 1" dataDxfId="144"/>
    <tableColumn id="3" xr3:uid="{00000000-0010-0000-6C00-000003000000}" name="Configuration 2" dataDxfId="143"/>
    <tableColumn id="4" xr3:uid="{00000000-0010-0000-6C00-000004000000}" name="Configuration 3" dataDxfId="142"/>
  </tableColumns>
  <tableStyleInfo name="TableStyleMedium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6D000000}" name="Table63" displayName="Table63" ref="B103:E107" totalsRowShown="0" headerRowDxfId="141" dataDxfId="140">
  <tableColumns count="4">
    <tableColumn id="1" xr3:uid="{00000000-0010-0000-6D00-000001000000}" name="Log RAID Configurations" dataDxfId="139"/>
    <tableColumn id="2" xr3:uid="{00000000-0010-0000-6D00-000002000000}" name="Configuration 1" dataDxfId="138"/>
    <tableColumn id="3" xr3:uid="{00000000-0010-0000-6D00-000003000000}" name="Configuration 2" dataDxfId="137"/>
    <tableColumn id="4" xr3:uid="{00000000-0010-0000-6D00-000004000000}" name="Configuration 3" dataDxfId="136"/>
  </tableColumns>
  <tableStyleInfo name="TableStyleMedium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6E000000}" name="Table64" displayName="Table64" ref="B109:D112" totalsRowShown="0" headerRowDxfId="135" dataDxfId="134">
  <tableColumns count="3">
    <tableColumn id="1" xr3:uid="{00000000-0010-0000-6E00-000001000000}" name="DB Disks" dataDxfId="133"/>
    <tableColumn id="2" xr3:uid="{00000000-0010-0000-6E00-000002000000}" name="DB RAID Type" dataDxfId="132"/>
    <tableColumn id="3" xr3:uid="{00000000-0010-0000-6E00-000003000000}" name="DB Disk Configuration" dataDxfId="131"/>
  </tableColumns>
  <tableStyleInfo name="TableStyleMedium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6F000000}" name="Table65" displayName="Table65" ref="B114:D117" totalsRowShown="0" headerRowDxfId="130" dataDxfId="129">
  <tableColumns count="3">
    <tableColumn id="1" xr3:uid="{00000000-0010-0000-6F00-000001000000}" name="Log Disks" dataDxfId="128"/>
    <tableColumn id="2" xr3:uid="{00000000-0010-0000-6F00-000002000000}" name="Log RAID Type" dataDxfId="127"/>
    <tableColumn id="3" xr3:uid="{00000000-0010-0000-6F00-000003000000}" name="Log Disk Configuration" dataDxfId="126"/>
  </tableColumns>
  <tableStyleInfo name="TableStyleMedium9"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70000000}" name="Table66" displayName="Table66" ref="B119:D122" totalsRowShown="0" headerRowDxfId="125" dataDxfId="124">
  <tableColumns count="3">
    <tableColumn id="1" xr3:uid="{00000000-0010-0000-7000-000001000000}" name="Restore Volume Disks" dataDxfId="123"/>
    <tableColumn id="2" xr3:uid="{00000000-0010-0000-7000-000002000000}" name="Restore Volume RAID Type" dataDxfId="122"/>
    <tableColumn id="3" xr3:uid="{00000000-0010-0000-7000-000003000000}" name="Restore Volume Disk Config" dataDxfId="121"/>
  </tableColumns>
  <tableStyleInfo name="TableStyleMedium9"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71000000}" name="tblRAIDStgConfig" displayName="tblRAIDStgConfig" ref="B192:F192" headerRowCount="0" totalsRowShown="0">
  <tableColumns count="5">
    <tableColumn id="1" xr3:uid="{00000000-0010-0000-7100-000001000000}" name="RAID Storage Configuration" headerRowDxfId="120" dataDxfId="119"/>
    <tableColumn id="2" xr3:uid="{00000000-0010-0000-7100-000002000000}" name="/ PDC Server" headerRowDxfId="118"/>
    <tableColumn id="3" xr3:uid="{00000000-0010-0000-7100-000003000000}" name="/ SDC Server" headerRowDxfId="117" dataDxfId="116"/>
    <tableColumn id="4" xr3:uid="{00000000-0010-0000-7100-000004000000}" name=" / Primary Datacenter DAG" headerRowDxfId="115" dataDxfId="114"/>
    <tableColumn id="5" xr3:uid="{00000000-0010-0000-7100-000005000000}" name="/ Secondary Datacenter DAG" headerRowDxfId="113" dataDxfId="112"/>
  </tableColumns>
  <tableStyleInfo name="TableStyleMedium11"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72000000}" name="Table6928" displayName="Table6928" ref="B178:E180" totalsRowShown="0" headerRowDxfId="111">
  <tableColumns count="4">
    <tableColumn id="1" xr3:uid="{00000000-0010-0000-7200-000001000000}" name="JBOD Storage Architecture / PDC Server" dataDxfId="110"/>
    <tableColumn id="2" xr3:uid="{00000000-0010-0000-7200-000002000000}" name="Database+Log"/>
    <tableColumn id="3" xr3:uid="{00000000-0010-0000-7200-000003000000}" name="Restore Volume" dataDxfId="109"/>
    <tableColumn id="4" xr3:uid="{00000000-0010-0000-7200-000004000000}" name="Auto-Reseed Volume" dataDxfId="108">
      <calculatedColumnFormula>RecJBODDiskTypePDC</calculatedColumnFormula>
    </tableColumn>
  </tableColumns>
  <tableStyleInfo name="TableStyleMedium11"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73000000}" name="tblJBODStgConfig" displayName="tblJBODStgConfig" ref="B195:F195" headerRowCount="0" totalsRowShown="0">
  <tableColumns count="5">
    <tableColumn id="1" xr3:uid="{00000000-0010-0000-7300-000001000000}" name="JBOD Storage Configuration" headerRowDxfId="107" dataDxfId="106"/>
    <tableColumn id="2" xr3:uid="{00000000-0010-0000-7300-000002000000}" name="/ PDC Server" headerRowDxfId="105">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xr3:uid="{00000000-0010-0000-7300-000003000000}" name="/ SDC Server" headerRowDxfId="104" dataDxfId="103">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xr3:uid="{00000000-0010-0000-7300-000004000000}" name=" / Primary Datacenter DAG" headerRowDxfId="102" dataDxfId="101">
      <calculatedColumnFormula>IF(AND(OR(StorageArchChoice="As Calculated",
           StorageArchChoice="Entirely on JBOD"
          ),
        tblJBODStorageArch[Primary Datacenter Servers]="Yes"
       ),
       tblJBODStgConfig[/ PDC Server]*(calcNumAMBXServersDC1+calcNumPMBXServersDC1+calcNumLagMBXServersPDC),
       0
   )</calculatedColumnFormula>
    </tableColumn>
    <tableColumn id="5" xr3:uid="{00000000-0010-0000-7300-000005000000}" name="/ Secondary Datacenter DAG" headerRowDxfId="100" dataDxfId="99">
      <calculatedColumnFormula>IF(AND(OR(StorageArchChoice="As Calculated",
           StorageArchChoice="Entirely on JBOD"
          ),
        tblJBODStorageArch[Secondary Datacenter Servers]="Yes"
       ),
       tblJBODStgConfig[/ SDC Server]*(calcNumAMBXServersDC2+calcNumPMBXServersDC2+calcNumLagMBXServersSDC),
       0
   )</calculatedColumnFormula>
    </tableColumn>
  </tableColumns>
  <tableStyleInfo name="TableStyleMedium11"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74000000}" name="Table31" displayName="Table31" ref="B140:E144" totalsRowShown="0" headerRowDxfId="98" dataDxfId="97" tableBorderDxfId="96">
  <tableColumns count="4">
    <tableColumn id="1" xr3:uid="{00000000-0010-0000-7400-000001000000}" name="JBOD Calculations" dataDxfId="95"/>
    <tableColumn id="2" xr3:uid="{00000000-0010-0000-7400-000002000000}" name="Configuration 1" dataDxfId="94"/>
    <tableColumn id="3" xr3:uid="{00000000-0010-0000-7400-000003000000}" name="Configuration 2" dataDxfId="93"/>
    <tableColumn id="4" xr3:uid="{00000000-0010-0000-7400-000004000000}" name="Configuration 3" dataDxfId="92"/>
  </tableColumns>
  <tableStyleInfo name="TableStyleMedium9"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75000000}" name="Table6816" displayName="Table6816" ref="B151:E153" totalsRowShown="0" headerRowDxfId="91" dataDxfId="90">
  <tableColumns count="4">
    <tableColumn id="1" xr3:uid="{00000000-0010-0000-7500-000001000000}" name="JBOD Storage Architecture / Server" dataDxfId="89"/>
    <tableColumn id="2" xr3:uid="{00000000-0010-0000-7500-000002000000}" name="Configuration 1" dataDxfId="88"/>
    <tableColumn id="3" xr3:uid="{00000000-0010-0000-7500-000003000000}" name="Configuration 2" dataDxfId="87"/>
    <tableColumn id="4" xr3:uid="{00000000-0010-0000-7500-000004000000}" name="Configuration 3" dataDxfId="86"/>
  </tableColumns>
  <tableStyleInfo name="TableStyleMedium9"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76000000}" name="Table68" displayName="Table68" ref="B130:E136" totalsRowShown="0" headerRowDxfId="85" dataDxfId="84">
  <tableColumns count="4">
    <tableColumn id="1" xr3:uid="{00000000-0010-0000-7600-000001000000}" name="RAID Storage Architecture / Server" dataDxfId="83"/>
    <tableColumn id="2" xr3:uid="{00000000-0010-0000-7600-000002000000}" name="Configuration 1" dataDxfId="82"/>
    <tableColumn id="3" xr3:uid="{00000000-0010-0000-7600-000003000000}" name="Configuration 2" dataDxfId="81"/>
    <tableColumn id="4" xr3:uid="{00000000-0010-0000-7600-000004000000}" name="Configuration 3" dataDxfId="80"/>
  </tableColumns>
  <tableStyleInfo name="TableStyleMedium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77000000}" name="tblRAIDStorageArch" displayName="tblRAIDStorageArch" ref="B158:E158" headerRowCount="0" totalsRowShown="0" headerRowDxfId="79" dataDxfId="78">
  <tableColumns count="4">
    <tableColumn id="1" xr3:uid="{00000000-0010-0000-7700-000001000000}" name="RAID Storage Architecture" headerRowDxfId="77" dataDxfId="76"/>
    <tableColumn id="2" xr3:uid="{00000000-0010-0000-7700-000002000000}" name="Primary Datacenter Servers" headerRowDxfId="75" dataDxfId="74">
      <calculatedColumnFormula>IF(tblJBODStorageArch[Primary Datacenter Servers]="No","Yes","No")</calculatedColumnFormula>
    </tableColumn>
    <tableColumn id="3" xr3:uid="{00000000-0010-0000-7700-000003000000}" name="Secondary Datacenter Servers" headerRowDxfId="73" dataDxfId="72"/>
    <tableColumn id="4" xr3:uid="{00000000-0010-0000-7700-000004000000}" name="Lagged Copy Servers" headerRowDxfId="71" dataDxfId="70">
      <calculatedColumnFormula>IF(RestoreVol="Yes",IF(tblJBODStorageArch[Lagged Copy Servers]="No","Yes","No"),strEmpty)</calculatedColumnFormula>
    </tableColumn>
  </tableColumns>
  <tableStyleInfo name="TableStyleMedium11"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78000000}" name="tblJBODStorageArch" displayName="tblJBODStorageArch" ref="B176:E176" headerRowCount="0" totalsRowShown="0" headerRowDxfId="69" dataDxfId="68">
  <tableColumns count="4">
    <tableColumn id="1" xr3:uid="{00000000-0010-0000-7800-000001000000}" name="JBOD Storage Architecture" headerRowDxfId="67" dataDxfId="66"/>
    <tableColumn id="2" xr3:uid="{00000000-0010-0000-7800-000002000000}" name="Primary Datacenter Servers" headerRowDxfId="65" dataDxfId="64">
      <calculatedColumnFormula>IF(AND(JBODCapAchDisk1,JBODIOAchDisk1,IFERROR(VALUE(OptJBODDisksConfigPDC)&gt;0,FALSE)),"Yes","No")</calculatedColumnFormula>
    </tableColumn>
    <tableColumn id="3" xr3:uid="{00000000-0010-0000-7800-000003000000}" name="Secondary Datacenter Servers" headerRowDxfId="63" dataDxfId="62">
      <calculatedColumnFormula>IF(AND(JBODCapAchDisk2,JBODIOAchDisk2,IFERROR(VALUE(OptJBODDisksConfigSDC)&gt;0,FALSE)),"Yes","No")</calculatedColumnFormula>
    </tableColumn>
    <tableColumn id="4" xr3:uid="{00000000-0010-0000-7800-000004000000}" name="Lagged Copy Servers" headerRowDxfId="61" dataDxfId="60">
      <calculatedColumnFormula>IF(AND(JBODCapAchDisk3,JBODIOAchDisk3,IFERROR(VALUE(OptJBODDisksConfig3)&gt;0,FALSE)),"Yes","No")</calculatedColumnFormula>
    </tableColumn>
  </tableColumns>
  <tableStyleInfo name="TableStyleMedium11"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79000000}" name="Table67" displayName="Table67" ref="B124:I125" totalsRowShown="0" headerRowDxfId="59" dataDxfId="58">
  <tableColumns count="8">
    <tableColumn id="1" xr3:uid="{00000000-0010-0000-7900-000001000000}" name="Total Number of Disks" dataDxfId="57"/>
    <tableColumn id="2" xr3:uid="{00000000-0010-0000-7900-000002000000}" name="DB Disks" dataDxfId="56"/>
    <tableColumn id="3" xr3:uid="{00000000-0010-0000-7900-000003000000}" name="Log Disks" dataDxfId="55"/>
    <tableColumn id="4" xr3:uid="{00000000-0010-0000-7900-000004000000}" name="Restore Volume Disks" dataDxfId="54"/>
    <tableColumn id="5" xr3:uid="{00000000-0010-0000-7900-000005000000}" name="DB Disk Capacity / Type" dataDxfId="53"/>
    <tableColumn id="6" xr3:uid="{00000000-0010-0000-7900-000006000000}" name="Log Disk Capacity / Type" dataDxfId="52">
      <calculatedColumnFormula>IF(DBDiskSizePDC&lt;&gt;strEmpty,LogDiskSizePDC &amp; " / " &amp; LogDiskRPMPDC,strEmpty)</calculatedColumnFormula>
    </tableColumn>
    <tableColumn id="7" xr3:uid="{00000000-0010-0000-7900-000007000000}" name="RS Disk Capacity / Type" dataDxfId="51"/>
    <tableColumn id="8" xr3:uid="{00000000-0010-0000-7900-000008000000}" name="Configuration" dataDxfId="50"/>
  </tableColumns>
  <tableStyleInfo name="TableStyleMedium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7A000000}" name="Table44" displayName="Table44" ref="B197:D201" totalsRowCount="1" headerRowDxfId="49" tableBorderDxfId="48">
  <tableColumns count="3">
    <tableColumn id="1" xr3:uid="{00000000-0010-0000-7A00-000001000000}" name="Disk Requirements" totalsRowLabel="Total" dataDxfId="47" totalsRowDxfId="46"/>
    <tableColumn id="2" xr3:uid="{00000000-0010-0000-7A00-000002000000}" name="/ DAG" totalsRowFunction="custom" dataDxfId="45" totalsRowDxfId="44">
      <totalsRowFormula>SUBTOTAL(9,Table44[/ DAG])</totalsRowFormula>
    </tableColumn>
    <tableColumn id="3" xr3:uid="{00000000-0010-0000-7A00-000003000000}" name="/ Environment" totalsRowFunction="custom" dataDxfId="43" totalsRowDxfId="42">
      <totalsRowFormula>SUBTOTAL(9,Table44[/ Environment])</totalsRowFormula>
    </tableColumn>
  </tableColumns>
  <tableStyleInfo name="TableStyleMedium11"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7B000000}" name="Table4976" displayName="Table4976" ref="E16:F20" totalsRowShown="0" headerRowDxfId="41">
  <tableColumns count="2">
    <tableColumn id="1" xr3:uid="{00000000-0010-0000-7B00-000001000000}" name="Restore Volume RAID Configuration"/>
    <tableColumn id="2" xr3:uid="{00000000-0010-0000-7B00-000002000000}" name="Value"/>
  </tableColumns>
  <tableStyleInfo name="TableStyleMedium15"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7C000000}" name="Table81" displayName="Table81" ref="B188:C189" totalsRowShown="0" headerRowDxfId="40" dataDxfId="39" tableBorderDxfId="38">
  <tableColumns count="2">
    <tableColumn id="1" xr3:uid="{00000000-0010-0000-7C00-000001000000}" name="Storage Architecture" dataDxfId="37"/>
    <tableColumn id="2" xr3:uid="{00000000-0010-0000-7C00-000002000000}" name="Value" dataDxfId="36"/>
  </tableColumns>
  <tableStyleInfo name="TableStyleMedium15"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7D000000}" name="Table692899" displayName="Table692899" ref="B182:E184" totalsRowShown="0" headerRowDxfId="35">
  <tableColumns count="4">
    <tableColumn id="1" xr3:uid="{00000000-0010-0000-7D00-000001000000}" name="JBOD Storage Architecture / SDC Server" dataDxfId="34"/>
    <tableColumn id="2" xr3:uid="{00000000-0010-0000-7D00-000002000000}" name="Database+Log"/>
    <tableColumn id="3" xr3:uid="{00000000-0010-0000-7D00-000003000000}" name="Restore Volume" dataDxfId="33"/>
    <tableColumn id="4" xr3:uid="{00000000-0010-0000-7D00-000004000000}" name="Auto Reseed Volume" dataDxfId="32"/>
  </tableColumns>
  <tableStyleInfo name="TableStyleMedium11"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7E000000}" name="Table67101" displayName="Table67101" ref="B127:I128" totalsRowShown="0" headerRowDxfId="31" dataDxfId="30">
  <tableColumns count="8">
    <tableColumn id="1" xr3:uid="{00000000-0010-0000-7E00-000001000000}" name="Total Number of Disks" dataDxfId="29"/>
    <tableColumn id="2" xr3:uid="{00000000-0010-0000-7E00-000002000000}" name="DB Disks" dataDxfId="28"/>
    <tableColumn id="3" xr3:uid="{00000000-0010-0000-7E00-000003000000}" name="Log Disks" dataDxfId="27"/>
    <tableColumn id="4" xr3:uid="{00000000-0010-0000-7E00-000004000000}" name="Restore Volume Disks" dataDxfId="26"/>
    <tableColumn id="5" xr3:uid="{00000000-0010-0000-7E00-000005000000}" name="DB Disk Capacity / Type" dataDxfId="25"/>
    <tableColumn id="6" xr3:uid="{00000000-0010-0000-7E00-000006000000}" name="Log Disk Capacity / Type" dataDxfId="24">
      <calculatedColumnFormula>IF(DBDiskSizeSDC&lt;&gt;strEmpty,LogDiskSizeSDC &amp; " / " &amp; LogDiskRPMSDC,strEmpty)</calculatedColumnFormula>
    </tableColumn>
    <tableColumn id="7" xr3:uid="{00000000-0010-0000-7E00-000007000000}" name="RS Disk Capacity / Type" dataDxfId="23"/>
    <tableColumn id="8" xr3:uid="{00000000-0010-0000-7E00-000008000000}" name="Configuration" dataDxfId="22"/>
  </tableColumns>
  <tableStyleInfo name="TableStyleMedium9"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7F000000}" name="Table53" displayName="Table53" ref="B2:E4" totalsRowShown="0" headerRowDxfId="9" dataDxfId="8">
  <tableColumns count="4">
    <tableColumn id="1" xr3:uid="{00000000-0010-0000-7F00-000001000000}" name="Configuration 2"/>
    <tableColumn id="2" xr3:uid="{00000000-0010-0000-7F00-000002000000}" name="Database Disk Type" dataDxfId="7"/>
    <tableColumn id="3" xr3:uid="{00000000-0010-0000-7F00-000003000000}" name="Log Disk Type" dataDxfId="6"/>
    <tableColumn id="4" xr3:uid="{00000000-0010-0000-7F00-000004000000}" name="Restore LUN Disk Type" dataDxfId="5"/>
  </tableColumns>
  <tableStyleInfo name="TableStyleMedium15"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80000000}" name="Table54" displayName="Table54" ref="B6:E8" totalsRowShown="0" headerRowDxfId="4" dataDxfId="3">
  <tableColumns count="4">
    <tableColumn id="1" xr3:uid="{00000000-0010-0000-8000-000001000000}" name="Configuration 3"/>
    <tableColumn id="2" xr3:uid="{00000000-0010-0000-8000-000002000000}" name="Database Disk Type" dataDxfId="2"/>
    <tableColumn id="3" xr3:uid="{00000000-0010-0000-8000-000003000000}" name="Log Disk Type" dataDxfId="1"/>
    <tableColumn id="4" xr3:uid="{00000000-0010-0000-8000-000004000000}" name="Restore LUN Disk Type"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18" Type="http://schemas.openxmlformats.org/officeDocument/2006/relationships/table" Target="../tables/table14.xml"/><Relationship Id="rId26" Type="http://schemas.openxmlformats.org/officeDocument/2006/relationships/table" Target="../tables/table22.xml"/><Relationship Id="rId3" Type="http://schemas.openxmlformats.org/officeDocument/2006/relationships/vmlDrawing" Target="../drawings/vmlDrawing1.vml"/><Relationship Id="rId21" Type="http://schemas.openxmlformats.org/officeDocument/2006/relationships/table" Target="../tables/table17.xml"/><Relationship Id="rId7" Type="http://schemas.openxmlformats.org/officeDocument/2006/relationships/table" Target="../tables/table3.xml"/><Relationship Id="rId12" Type="http://schemas.openxmlformats.org/officeDocument/2006/relationships/table" Target="../tables/table8.xml"/><Relationship Id="rId17" Type="http://schemas.openxmlformats.org/officeDocument/2006/relationships/table" Target="../tables/table13.xml"/><Relationship Id="rId25" Type="http://schemas.openxmlformats.org/officeDocument/2006/relationships/table" Target="../tables/table21.xml"/><Relationship Id="rId2" Type="http://schemas.openxmlformats.org/officeDocument/2006/relationships/drawing" Target="../drawings/drawing1.xml"/><Relationship Id="rId16" Type="http://schemas.openxmlformats.org/officeDocument/2006/relationships/table" Target="../tables/table12.xml"/><Relationship Id="rId20" Type="http://schemas.openxmlformats.org/officeDocument/2006/relationships/table" Target="../tables/table16.xml"/><Relationship Id="rId29"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table" Target="../tables/table2.xml"/><Relationship Id="rId11" Type="http://schemas.openxmlformats.org/officeDocument/2006/relationships/table" Target="../tables/table7.xml"/><Relationship Id="rId24" Type="http://schemas.openxmlformats.org/officeDocument/2006/relationships/table" Target="../tables/table20.xml"/><Relationship Id="rId5" Type="http://schemas.openxmlformats.org/officeDocument/2006/relationships/table" Target="../tables/table1.xml"/><Relationship Id="rId15" Type="http://schemas.openxmlformats.org/officeDocument/2006/relationships/table" Target="../tables/table11.xml"/><Relationship Id="rId23" Type="http://schemas.openxmlformats.org/officeDocument/2006/relationships/table" Target="../tables/table19.xml"/><Relationship Id="rId28" Type="http://schemas.openxmlformats.org/officeDocument/2006/relationships/table" Target="../tables/table24.xml"/><Relationship Id="rId10" Type="http://schemas.openxmlformats.org/officeDocument/2006/relationships/table" Target="../tables/table6.xml"/><Relationship Id="rId19" Type="http://schemas.openxmlformats.org/officeDocument/2006/relationships/table" Target="../tables/table15.xml"/><Relationship Id="rId31"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table" Target="../tables/table10.xml"/><Relationship Id="rId22" Type="http://schemas.openxmlformats.org/officeDocument/2006/relationships/table" Target="../tables/table18.xml"/><Relationship Id="rId27" Type="http://schemas.openxmlformats.org/officeDocument/2006/relationships/table" Target="../tables/table23.xml"/><Relationship Id="rId30" Type="http://schemas.openxmlformats.org/officeDocument/2006/relationships/table" Target="../tables/table26.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7" Type="http://schemas.openxmlformats.org/officeDocument/2006/relationships/table" Target="../tables/table31.xml"/><Relationship Id="rId2" Type="http://schemas.openxmlformats.org/officeDocument/2006/relationships/vmlDrawing" Target="../drawings/vmlDrawing2.vml"/><Relationship Id="rId16" Type="http://schemas.openxmlformats.org/officeDocument/2006/relationships/table" Target="../tables/table40.xml"/><Relationship Id="rId29" Type="http://schemas.openxmlformats.org/officeDocument/2006/relationships/table" Target="../tables/table53.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 Type="http://schemas.openxmlformats.org/officeDocument/2006/relationships/table" Target="../tables/table29.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comments" Target="../comments2.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4" Type="http://schemas.openxmlformats.org/officeDocument/2006/relationships/table" Target="../tables/table28.x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8" Type="http://schemas.openxmlformats.org/officeDocument/2006/relationships/table" Target="../tables/table32.xml"/><Relationship Id="rId3" Type="http://schemas.openxmlformats.org/officeDocument/2006/relationships/table" Target="../tables/table27.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20" Type="http://schemas.openxmlformats.org/officeDocument/2006/relationships/table" Target="../tables/table44.xml"/><Relationship Id="rId41" Type="http://schemas.openxmlformats.org/officeDocument/2006/relationships/table" Target="../tables/table65.xml"/><Relationship Id="rId1" Type="http://schemas.openxmlformats.org/officeDocument/2006/relationships/printerSettings" Target="../printerSettings/printerSettings3.bin"/><Relationship Id="rId6" Type="http://schemas.openxmlformats.org/officeDocument/2006/relationships/table" Target="../tables/table3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8.xml"/><Relationship Id="rId3" Type="http://schemas.openxmlformats.org/officeDocument/2006/relationships/table" Target="../tables/table73.xml"/><Relationship Id="rId7" Type="http://schemas.openxmlformats.org/officeDocument/2006/relationships/table" Target="../tables/table77.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76.xml"/><Relationship Id="rId11" Type="http://schemas.openxmlformats.org/officeDocument/2006/relationships/table" Target="../tables/table81.xml"/><Relationship Id="rId5" Type="http://schemas.openxmlformats.org/officeDocument/2006/relationships/table" Target="../tables/table75.xml"/><Relationship Id="rId10" Type="http://schemas.openxmlformats.org/officeDocument/2006/relationships/table" Target="../tables/table80.xml"/><Relationship Id="rId4" Type="http://schemas.openxmlformats.org/officeDocument/2006/relationships/table" Target="../tables/table74.xml"/><Relationship Id="rId9" Type="http://schemas.openxmlformats.org/officeDocument/2006/relationships/table" Target="../tables/table7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4.v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printerSettings" Target="../printerSettings/printerSettings5.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7.xml"/><Relationship Id="rId3" Type="http://schemas.openxmlformats.org/officeDocument/2006/relationships/table" Target="../tables/table82.xml"/><Relationship Id="rId7" Type="http://schemas.openxmlformats.org/officeDocument/2006/relationships/table" Target="../tables/table86.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85.xml"/><Relationship Id="rId5" Type="http://schemas.openxmlformats.org/officeDocument/2006/relationships/table" Target="../tables/table84.xml"/><Relationship Id="rId4" Type="http://schemas.openxmlformats.org/officeDocument/2006/relationships/table" Target="../tables/table83.xml"/><Relationship Id="rId9"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8.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8.vml"/><Relationship Id="rId7" Type="http://schemas.openxmlformats.org/officeDocument/2006/relationships/table" Target="../tables/table92.x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table" Target="../tables/table91.xml"/><Relationship Id="rId5" Type="http://schemas.openxmlformats.org/officeDocument/2006/relationships/table" Target="../tables/table90.xml"/><Relationship Id="rId4" Type="http://schemas.openxmlformats.org/officeDocument/2006/relationships/table" Target="../tables/table89.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99.xml"/><Relationship Id="rId13" Type="http://schemas.openxmlformats.org/officeDocument/2006/relationships/table" Target="../tables/table104.xml"/><Relationship Id="rId3" Type="http://schemas.openxmlformats.org/officeDocument/2006/relationships/table" Target="../tables/table94.xml"/><Relationship Id="rId7" Type="http://schemas.openxmlformats.org/officeDocument/2006/relationships/table" Target="../tables/table98.xml"/><Relationship Id="rId12" Type="http://schemas.openxmlformats.org/officeDocument/2006/relationships/table" Target="../tables/table103.xml"/><Relationship Id="rId2" Type="http://schemas.openxmlformats.org/officeDocument/2006/relationships/table" Target="../tables/table93.xml"/><Relationship Id="rId1" Type="http://schemas.openxmlformats.org/officeDocument/2006/relationships/printerSettings" Target="../printerSettings/printerSettings10.bin"/><Relationship Id="rId6" Type="http://schemas.openxmlformats.org/officeDocument/2006/relationships/table" Target="../tables/table97.xml"/><Relationship Id="rId11" Type="http://schemas.openxmlformats.org/officeDocument/2006/relationships/table" Target="../tables/table102.xml"/><Relationship Id="rId5" Type="http://schemas.openxmlformats.org/officeDocument/2006/relationships/table" Target="../tables/table96.xml"/><Relationship Id="rId10" Type="http://schemas.openxmlformats.org/officeDocument/2006/relationships/table" Target="../tables/table101.xml"/><Relationship Id="rId4" Type="http://schemas.openxmlformats.org/officeDocument/2006/relationships/table" Target="../tables/table95.xml"/><Relationship Id="rId9" Type="http://schemas.openxmlformats.org/officeDocument/2006/relationships/table" Target="../tables/table100.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10.xml"/><Relationship Id="rId13" Type="http://schemas.openxmlformats.org/officeDocument/2006/relationships/table" Target="../tables/table115.xml"/><Relationship Id="rId18" Type="http://schemas.openxmlformats.org/officeDocument/2006/relationships/table" Target="../tables/table120.xml"/><Relationship Id="rId26" Type="http://schemas.openxmlformats.org/officeDocument/2006/relationships/table" Target="../tables/table128.xml"/><Relationship Id="rId3" Type="http://schemas.openxmlformats.org/officeDocument/2006/relationships/table" Target="../tables/table105.xml"/><Relationship Id="rId21" Type="http://schemas.openxmlformats.org/officeDocument/2006/relationships/table" Target="../tables/table123.xml"/><Relationship Id="rId7" Type="http://schemas.openxmlformats.org/officeDocument/2006/relationships/table" Target="../tables/table109.xml"/><Relationship Id="rId12" Type="http://schemas.openxmlformats.org/officeDocument/2006/relationships/table" Target="../tables/table114.xml"/><Relationship Id="rId17" Type="http://schemas.openxmlformats.org/officeDocument/2006/relationships/table" Target="../tables/table119.xml"/><Relationship Id="rId25" Type="http://schemas.openxmlformats.org/officeDocument/2006/relationships/table" Target="../tables/table127.xml"/><Relationship Id="rId2" Type="http://schemas.openxmlformats.org/officeDocument/2006/relationships/vmlDrawing" Target="../drawings/vmlDrawing9.vml"/><Relationship Id="rId16" Type="http://schemas.openxmlformats.org/officeDocument/2006/relationships/table" Target="../tables/table118.xml"/><Relationship Id="rId20" Type="http://schemas.openxmlformats.org/officeDocument/2006/relationships/table" Target="../tables/table122.xml"/><Relationship Id="rId29" Type="http://schemas.openxmlformats.org/officeDocument/2006/relationships/table" Target="../tables/table131.xml"/><Relationship Id="rId1" Type="http://schemas.openxmlformats.org/officeDocument/2006/relationships/printerSettings" Target="../printerSettings/printerSettings11.bin"/><Relationship Id="rId6" Type="http://schemas.openxmlformats.org/officeDocument/2006/relationships/table" Target="../tables/table108.xml"/><Relationship Id="rId11" Type="http://schemas.openxmlformats.org/officeDocument/2006/relationships/table" Target="../tables/table113.xml"/><Relationship Id="rId24" Type="http://schemas.openxmlformats.org/officeDocument/2006/relationships/table" Target="../tables/table126.xml"/><Relationship Id="rId32" Type="http://schemas.openxmlformats.org/officeDocument/2006/relationships/comments" Target="../comments8.xml"/><Relationship Id="rId5" Type="http://schemas.openxmlformats.org/officeDocument/2006/relationships/table" Target="../tables/table107.xml"/><Relationship Id="rId15" Type="http://schemas.openxmlformats.org/officeDocument/2006/relationships/table" Target="../tables/table117.xml"/><Relationship Id="rId23" Type="http://schemas.openxmlformats.org/officeDocument/2006/relationships/table" Target="../tables/table125.xml"/><Relationship Id="rId28" Type="http://schemas.openxmlformats.org/officeDocument/2006/relationships/table" Target="../tables/table130.xml"/><Relationship Id="rId10" Type="http://schemas.openxmlformats.org/officeDocument/2006/relationships/table" Target="../tables/table112.xml"/><Relationship Id="rId19" Type="http://schemas.openxmlformats.org/officeDocument/2006/relationships/table" Target="../tables/table121.xml"/><Relationship Id="rId31" Type="http://schemas.openxmlformats.org/officeDocument/2006/relationships/table" Target="../tables/table133.xml"/><Relationship Id="rId4" Type="http://schemas.openxmlformats.org/officeDocument/2006/relationships/table" Target="../tables/table106.xml"/><Relationship Id="rId9" Type="http://schemas.openxmlformats.org/officeDocument/2006/relationships/table" Target="../tables/table111.xml"/><Relationship Id="rId14" Type="http://schemas.openxmlformats.org/officeDocument/2006/relationships/table" Target="../tables/table116.xml"/><Relationship Id="rId22" Type="http://schemas.openxmlformats.org/officeDocument/2006/relationships/table" Target="../tables/table124.xml"/><Relationship Id="rId27" Type="http://schemas.openxmlformats.org/officeDocument/2006/relationships/table" Target="../tables/table129.xml"/><Relationship Id="rId30" Type="http://schemas.openxmlformats.org/officeDocument/2006/relationships/table" Target="../tables/table13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34.xml"/><Relationship Id="rId2" Type="http://schemas.openxmlformats.org/officeDocument/2006/relationships/vmlDrawing" Target="../drawings/vmlDrawing12.vml"/><Relationship Id="rId1" Type="http://schemas.openxmlformats.org/officeDocument/2006/relationships/printerSettings" Target="../printerSettings/printerSettings16.bin"/><Relationship Id="rId5" Type="http://schemas.openxmlformats.org/officeDocument/2006/relationships/comments" Target="../comments11.xml"/><Relationship Id="rId4" Type="http://schemas.openxmlformats.org/officeDocument/2006/relationships/table" Target="../tables/table135.xml"/></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7.bin"/><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M54"/>
  <sheetViews>
    <sheetView showGridLines="0" showRowColHeaders="0" workbookViewId="0">
      <selection activeCell="B6" sqref="B6"/>
    </sheetView>
  </sheetViews>
  <sheetFormatPr defaultColWidth="9" defaultRowHeight="13" x14ac:dyDescent="0.3"/>
  <cols>
    <col min="1" max="1" width="3.3984375" customWidth="1"/>
  </cols>
  <sheetData>
    <row r="1" spans="2:13" ht="13.5" thickBot="1" x14ac:dyDescent="0.35">
      <c r="B1" s="178"/>
      <c r="C1" s="178"/>
      <c r="D1" s="178"/>
      <c r="E1" s="178"/>
      <c r="F1" s="178"/>
      <c r="G1" s="178"/>
      <c r="H1" s="178"/>
      <c r="I1" s="178"/>
      <c r="J1" s="178"/>
      <c r="K1" s="178"/>
      <c r="L1" s="178"/>
      <c r="M1" s="178"/>
    </row>
    <row r="2" spans="2:13" ht="21.5" thickBot="1" x14ac:dyDescent="0.55000000000000004">
      <c r="B2" s="1023" t="s">
        <v>312</v>
      </c>
      <c r="C2" s="1024"/>
      <c r="D2" s="1024"/>
      <c r="E2" s="1024"/>
      <c r="F2" s="1024"/>
      <c r="G2" s="1024"/>
      <c r="H2" s="1024"/>
      <c r="I2" s="1024"/>
      <c r="J2" s="1024"/>
      <c r="K2" s="1024"/>
      <c r="L2" s="1024"/>
      <c r="M2" s="1025"/>
    </row>
    <row r="3" spans="2:13" x14ac:dyDescent="0.3">
      <c r="B3" s="175"/>
      <c r="M3" s="176"/>
    </row>
    <row r="4" spans="2:13" x14ac:dyDescent="0.3">
      <c r="B4" s="179"/>
      <c r="M4" s="176"/>
    </row>
    <row r="5" spans="2:13" x14ac:dyDescent="0.3">
      <c r="B5" s="179"/>
      <c r="M5" s="176"/>
    </row>
    <row r="6" spans="2:13" x14ac:dyDescent="0.3">
      <c r="B6" s="179" t="s">
        <v>307</v>
      </c>
      <c r="M6" s="176"/>
    </row>
    <row r="7" spans="2:13" x14ac:dyDescent="0.3">
      <c r="B7" s="179"/>
      <c r="M7" s="176"/>
    </row>
    <row r="8" spans="2:13" x14ac:dyDescent="0.3">
      <c r="B8" s="179"/>
      <c r="M8" s="176"/>
    </row>
    <row r="9" spans="2:13" x14ac:dyDescent="0.3">
      <c r="B9" s="179"/>
      <c r="M9" s="176"/>
    </row>
    <row r="10" spans="2:13" x14ac:dyDescent="0.3">
      <c r="B10" s="179"/>
      <c r="M10" s="176"/>
    </row>
    <row r="11" spans="2:13" x14ac:dyDescent="0.3">
      <c r="B11" s="179"/>
      <c r="M11" s="176"/>
    </row>
    <row r="12" spans="2:13" x14ac:dyDescent="0.3">
      <c r="B12" s="179"/>
      <c r="M12" s="176"/>
    </row>
    <row r="13" spans="2:13" x14ac:dyDescent="0.3">
      <c r="B13" s="179"/>
      <c r="M13" s="176"/>
    </row>
    <row r="14" spans="2:13" x14ac:dyDescent="0.3">
      <c r="B14" s="179"/>
      <c r="M14" s="176"/>
    </row>
    <row r="15" spans="2:13" x14ac:dyDescent="0.3">
      <c r="B15" s="175"/>
      <c r="M15" s="176"/>
    </row>
    <row r="16" spans="2:13" x14ac:dyDescent="0.3">
      <c r="B16" s="175"/>
      <c r="M16" s="176"/>
    </row>
    <row r="17" spans="2:13" x14ac:dyDescent="0.3">
      <c r="B17" s="175"/>
      <c r="M17" s="176"/>
    </row>
    <row r="18" spans="2:13" x14ac:dyDescent="0.3">
      <c r="B18" s="175"/>
      <c r="M18" s="176"/>
    </row>
    <row r="19" spans="2:13" x14ac:dyDescent="0.3">
      <c r="B19" s="175"/>
      <c r="M19" s="176"/>
    </row>
    <row r="20" spans="2:13" x14ac:dyDescent="0.3">
      <c r="B20" s="175"/>
      <c r="M20" s="176"/>
    </row>
    <row r="21" spans="2:13" x14ac:dyDescent="0.3">
      <c r="B21" s="175"/>
      <c r="M21" s="176"/>
    </row>
    <row r="22" spans="2:13" x14ac:dyDescent="0.3">
      <c r="B22" s="175"/>
      <c r="M22" s="176"/>
    </row>
    <row r="23" spans="2:13" x14ac:dyDescent="0.3">
      <c r="B23" s="175"/>
      <c r="M23" s="176"/>
    </row>
    <row r="24" spans="2:13" x14ac:dyDescent="0.3">
      <c r="B24" s="175"/>
      <c r="M24" s="176"/>
    </row>
    <row r="25" spans="2:13" x14ac:dyDescent="0.3">
      <c r="B25" s="175"/>
      <c r="M25" s="176"/>
    </row>
    <row r="26" spans="2:13" x14ac:dyDescent="0.3">
      <c r="B26" s="175"/>
      <c r="M26" s="176"/>
    </row>
    <row r="27" spans="2:13" x14ac:dyDescent="0.3">
      <c r="B27" s="175"/>
      <c r="M27" s="176"/>
    </row>
    <row r="28" spans="2:13" x14ac:dyDescent="0.3">
      <c r="B28" s="175"/>
      <c r="M28" s="176"/>
    </row>
    <row r="29" spans="2:13" x14ac:dyDescent="0.3">
      <c r="B29" s="175"/>
      <c r="M29" s="176"/>
    </row>
    <row r="30" spans="2:13" x14ac:dyDescent="0.3">
      <c r="B30" s="175"/>
      <c r="M30" s="176"/>
    </row>
    <row r="31" spans="2:13" x14ac:dyDescent="0.3">
      <c r="B31" s="175"/>
      <c r="M31" s="176"/>
    </row>
    <row r="32" spans="2:13" x14ac:dyDescent="0.3">
      <c r="B32" s="175"/>
      <c r="M32" s="176"/>
    </row>
    <row r="33" spans="2:13" x14ac:dyDescent="0.3">
      <c r="B33" s="175"/>
      <c r="M33" s="176"/>
    </row>
    <row r="34" spans="2:13" x14ac:dyDescent="0.3">
      <c r="B34" s="175"/>
      <c r="M34" s="176"/>
    </row>
    <row r="35" spans="2:13" x14ac:dyDescent="0.3">
      <c r="B35" s="175"/>
      <c r="M35" s="176"/>
    </row>
    <row r="36" spans="2:13" x14ac:dyDescent="0.3">
      <c r="B36" s="175"/>
      <c r="M36" s="176"/>
    </row>
    <row r="37" spans="2:13" x14ac:dyDescent="0.3">
      <c r="B37" s="175"/>
      <c r="M37" s="176"/>
    </row>
    <row r="38" spans="2:13" x14ac:dyDescent="0.3">
      <c r="B38" s="175"/>
      <c r="M38" s="176"/>
    </row>
    <row r="39" spans="2:13" x14ac:dyDescent="0.3">
      <c r="B39" s="175"/>
      <c r="M39" s="176"/>
    </row>
    <row r="40" spans="2:13" x14ac:dyDescent="0.3">
      <c r="B40" s="175"/>
      <c r="M40" s="176"/>
    </row>
    <row r="41" spans="2:13" x14ac:dyDescent="0.3">
      <c r="B41" s="175"/>
      <c r="M41" s="176"/>
    </row>
    <row r="42" spans="2:13" x14ac:dyDescent="0.3">
      <c r="B42" s="175"/>
      <c r="M42" s="176"/>
    </row>
    <row r="43" spans="2:13" x14ac:dyDescent="0.3">
      <c r="B43" s="175"/>
      <c r="M43" s="176"/>
    </row>
    <row r="44" spans="2:13" x14ac:dyDescent="0.3">
      <c r="B44" s="175"/>
      <c r="M44" s="176"/>
    </row>
    <row r="45" spans="2:13" x14ac:dyDescent="0.3">
      <c r="B45" s="175"/>
      <c r="M45" s="176"/>
    </row>
    <row r="46" spans="2:13" x14ac:dyDescent="0.3">
      <c r="B46" s="175"/>
      <c r="M46" s="176"/>
    </row>
    <row r="47" spans="2:13" x14ac:dyDescent="0.3">
      <c r="B47" s="175"/>
      <c r="M47" s="176"/>
    </row>
    <row r="48" spans="2:13" x14ac:dyDescent="0.3">
      <c r="B48" s="175"/>
      <c r="M48" s="176"/>
    </row>
    <row r="49" spans="2:13" x14ac:dyDescent="0.3">
      <c r="B49" s="175"/>
      <c r="M49" s="176"/>
    </row>
    <row r="50" spans="2:13" x14ac:dyDescent="0.3">
      <c r="B50" s="175"/>
      <c r="M50" s="176"/>
    </row>
    <row r="51" spans="2:13" x14ac:dyDescent="0.3">
      <c r="B51" s="175"/>
      <c r="M51" s="176"/>
    </row>
    <row r="52" spans="2:13" x14ac:dyDescent="0.3">
      <c r="B52" s="175"/>
      <c r="M52" s="176"/>
    </row>
    <row r="53" spans="2:13" x14ac:dyDescent="0.3">
      <c r="B53" s="175"/>
      <c r="M53" s="176"/>
    </row>
    <row r="54" spans="2:13" ht="13.5" thickBot="1" x14ac:dyDescent="0.35">
      <c r="B54" s="177"/>
      <c r="C54" s="5"/>
      <c r="D54" s="5"/>
      <c r="E54" s="5"/>
      <c r="F54" s="5"/>
      <c r="G54" s="5"/>
      <c r="H54" s="5"/>
      <c r="I54" s="5"/>
      <c r="J54" s="5"/>
      <c r="K54" s="5"/>
      <c r="L54" s="5"/>
      <c r="M54" s="6"/>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L255"/>
  <sheetViews>
    <sheetView showGridLines="0" showRowColHeaders="0" tabSelected="1" zoomScale="85" zoomScaleNormal="85" workbookViewId="0">
      <selection activeCell="C22" sqref="C22"/>
    </sheetView>
  </sheetViews>
  <sheetFormatPr defaultColWidth="9" defaultRowHeight="14.5" x14ac:dyDescent="0.3"/>
  <cols>
    <col min="1" max="1" width="3.3984375" style="664" customWidth="1"/>
    <col min="2" max="2" width="74.69921875" style="664" customWidth="1"/>
    <col min="3" max="3" width="30.69921875" style="664" customWidth="1"/>
    <col min="4" max="4" width="24" style="664" bestFit="1" customWidth="1"/>
    <col min="5" max="5" width="14.09765625" style="664" customWidth="1"/>
    <col min="6" max="6" width="5.69921875" style="664" customWidth="1"/>
    <col min="7" max="7" width="74.69921875" style="664" customWidth="1"/>
    <col min="8" max="8" width="30.69921875" style="664" customWidth="1"/>
    <col min="9" max="16384" width="9" style="664"/>
  </cols>
  <sheetData>
    <row r="1" spans="1:9" ht="21.5" thickBot="1" x14ac:dyDescent="0.4">
      <c r="A1" s="676"/>
      <c r="B1" s="1026" t="s">
        <v>1783</v>
      </c>
      <c r="C1" s="1026"/>
      <c r="D1" s="1027"/>
      <c r="E1" s="1027"/>
      <c r="F1" s="1026"/>
      <c r="G1" s="677"/>
      <c r="H1" s="678"/>
    </row>
    <row r="2" spans="1:9" ht="15" customHeight="1" x14ac:dyDescent="0.35">
      <c r="A2" s="679"/>
      <c r="B2" s="1042" t="s">
        <v>1156</v>
      </c>
      <c r="C2" s="1043"/>
      <c r="D2" s="680"/>
      <c r="E2" s="680"/>
      <c r="F2" s="681"/>
      <c r="G2" s="681"/>
      <c r="H2" s="675" t="str">
        <f>"Version: " &amp; CalcVersion</f>
        <v>Version: 10.5</v>
      </c>
    </row>
    <row r="3" spans="1:9" ht="15" customHeight="1" x14ac:dyDescent="0.35">
      <c r="A3" s="679"/>
      <c r="B3" s="1031" t="s">
        <v>1157</v>
      </c>
      <c r="C3" s="1040"/>
      <c r="D3" s="1040"/>
      <c r="E3" s="1040"/>
      <c r="F3" s="1040"/>
      <c r="G3" s="1040"/>
      <c r="H3" s="1041"/>
    </row>
    <row r="4" spans="1:9" ht="15" customHeight="1" x14ac:dyDescent="0.3">
      <c r="A4" s="679"/>
      <c r="B4" s="683" t="s">
        <v>56</v>
      </c>
      <c r="C4" s="684"/>
      <c r="D4" s="684"/>
      <c r="E4" s="684"/>
      <c r="F4" s="685"/>
      <c r="G4" s="684"/>
      <c r="H4" s="686"/>
    </row>
    <row r="5" spans="1:9" ht="15" customHeight="1" x14ac:dyDescent="0.3">
      <c r="A5" s="679"/>
      <c r="B5" s="1047" t="s">
        <v>2080</v>
      </c>
      <c r="C5" s="1048"/>
      <c r="D5" s="687"/>
      <c r="E5" s="687"/>
      <c r="F5" s="685"/>
      <c r="H5" s="686"/>
    </row>
    <row r="6" spans="1:9" ht="15" customHeight="1" x14ac:dyDescent="0.3">
      <c r="A6" s="679"/>
      <c r="B6" s="683"/>
      <c r="C6" s="684"/>
      <c r="D6" s="684"/>
      <c r="E6" s="684"/>
      <c r="F6" s="685"/>
      <c r="G6" s="684"/>
      <c r="H6" s="686"/>
    </row>
    <row r="7" spans="1:9" ht="15" customHeight="1" x14ac:dyDescent="0.3">
      <c r="A7" s="679"/>
      <c r="B7" s="1037" t="s">
        <v>2081</v>
      </c>
      <c r="C7" s="1032"/>
      <c r="D7" s="1032"/>
      <c r="E7" s="1032"/>
      <c r="F7" s="1032"/>
      <c r="G7" s="1032"/>
      <c r="H7" s="1033"/>
      <c r="I7" s="688"/>
    </row>
    <row r="8" spans="1:9" ht="15" customHeight="1" x14ac:dyDescent="0.3">
      <c r="A8" s="679"/>
      <c r="B8" s="1031"/>
      <c r="C8" s="1032"/>
      <c r="D8" s="1032"/>
      <c r="E8" s="1032"/>
      <c r="F8" s="1032"/>
      <c r="G8" s="1032"/>
      <c r="H8" s="1033"/>
    </row>
    <row r="9" spans="1:9" ht="15" customHeight="1" x14ac:dyDescent="0.3">
      <c r="A9" s="679"/>
      <c r="B9" s="1038" t="s">
        <v>2020</v>
      </c>
      <c r="C9" s="1039"/>
      <c r="D9" s="1039"/>
      <c r="E9" s="1039"/>
      <c r="F9" s="1039"/>
      <c r="G9" s="1039"/>
      <c r="H9" s="686"/>
    </row>
    <row r="10" spans="1:9" ht="15" customHeight="1" x14ac:dyDescent="0.3">
      <c r="A10" s="679"/>
      <c r="B10" s="1044" t="s">
        <v>1580</v>
      </c>
      <c r="C10" s="1045"/>
      <c r="D10" s="1045"/>
      <c r="E10" s="1045"/>
      <c r="F10" s="1045"/>
      <c r="G10" s="1045"/>
      <c r="H10" s="1046"/>
    </row>
    <row r="11" spans="1:9" ht="15" customHeight="1" x14ac:dyDescent="0.3">
      <c r="A11" s="679"/>
      <c r="B11" s="1044"/>
      <c r="C11" s="1045"/>
      <c r="D11" s="1045"/>
      <c r="E11" s="1045"/>
      <c r="F11" s="1045"/>
      <c r="G11" s="1045"/>
      <c r="H11" s="1046"/>
    </row>
    <row r="12" spans="1:9" ht="15" customHeight="1" x14ac:dyDescent="0.3">
      <c r="A12" s="679"/>
      <c r="B12" s="689"/>
      <c r="C12" s="690"/>
      <c r="D12" s="690"/>
      <c r="E12" s="690"/>
      <c r="F12" s="690"/>
      <c r="G12" s="690"/>
      <c r="H12" s="691"/>
    </row>
    <row r="13" spans="1:9" ht="15" customHeight="1" x14ac:dyDescent="0.3">
      <c r="A13" s="679"/>
      <c r="B13" s="1034" t="str">
        <f>VLOOKUP(54,strTable,2,FALSE)</f>
        <v>Note 1: This calculator distributes the different tiers of mailboxes across each database (in other words, mailbox tiers do not have dedicated databases).</v>
      </c>
      <c r="C13" s="1035"/>
      <c r="D13" s="1035"/>
      <c r="E13" s="1035"/>
      <c r="F13" s="1035"/>
      <c r="G13" s="1035"/>
      <c r="H13" s="1036"/>
    </row>
    <row r="14" spans="1:9" ht="15" customHeight="1" x14ac:dyDescent="0.3">
      <c r="A14" s="679"/>
      <c r="B14" s="1028" t="str">
        <f>VLOOKUP(49,strTable,2,FALSE)</f>
        <v>Note 2: The calculated IOPS/mbx value has an accuracy of +/- 20% accuracy and does not account for third-party products that may generate additional Database Reads and Writes.</v>
      </c>
      <c r="C14" s="1029"/>
      <c r="D14" s="1029"/>
      <c r="E14" s="1029"/>
      <c r="F14" s="1029"/>
      <c r="G14" s="1029"/>
      <c r="H14" s="1030"/>
    </row>
    <row r="15" spans="1:9" ht="15" customHeight="1" x14ac:dyDescent="0.3">
      <c r="A15" s="679"/>
      <c r="B15" s="1034" t="str">
        <f>VLOOKUP(50,strTable,2,FALSE)</f>
        <v>Note 3: If third-party applications/services will be utilized, please refer to the third-party manufacturer to determine if the application/service will have any I/O or capacity impacts on the solution.</v>
      </c>
      <c r="C15" s="1035"/>
      <c r="D15" s="1035"/>
      <c r="E15" s="1035"/>
      <c r="F15" s="1035"/>
      <c r="G15" s="1035"/>
      <c r="H15" s="1036"/>
    </row>
    <row r="16" spans="1:9" ht="15" customHeight="1" x14ac:dyDescent="0.3">
      <c r="A16" s="679"/>
      <c r="B16" s="1063"/>
      <c r="C16" s="1064"/>
      <c r="D16" s="1064"/>
      <c r="E16" s="1064"/>
      <c r="F16" s="1064"/>
      <c r="G16" s="1064"/>
      <c r="H16" s="1065"/>
    </row>
    <row r="17" spans="1:12" ht="15" customHeight="1" x14ac:dyDescent="0.3">
      <c r="A17" s="679"/>
      <c r="B17" s="1054" t="s">
        <v>500</v>
      </c>
      <c r="C17" s="1055"/>
      <c r="D17" s="1055"/>
      <c r="E17" s="1055"/>
      <c r="F17" s="1055"/>
      <c r="G17" s="1055"/>
      <c r="H17" s="1056"/>
    </row>
    <row r="18" spans="1:12" ht="15" customHeight="1" x14ac:dyDescent="0.3">
      <c r="A18" s="679"/>
      <c r="B18" s="1057" t="s">
        <v>1970</v>
      </c>
      <c r="C18" s="1058"/>
      <c r="D18" s="1058"/>
      <c r="E18" s="1058"/>
      <c r="F18" s="1058"/>
      <c r="G18" s="1058"/>
      <c r="H18" s="1059"/>
    </row>
    <row r="19" spans="1:12" ht="15" customHeight="1" x14ac:dyDescent="0.3">
      <c r="A19" s="679"/>
      <c r="B19" s="1057"/>
      <c r="C19" s="1058"/>
      <c r="D19" s="1058"/>
      <c r="E19" s="1058"/>
      <c r="F19" s="1058"/>
      <c r="G19" s="1058"/>
      <c r="H19" s="1059"/>
    </row>
    <row r="20" spans="1:12" ht="15" customHeight="1" x14ac:dyDescent="0.3">
      <c r="A20" s="679"/>
      <c r="B20" s="700"/>
      <c r="C20" s="684"/>
      <c r="D20" s="684"/>
      <c r="E20" s="684"/>
      <c r="F20" s="684"/>
      <c r="G20" s="701"/>
      <c r="H20" s="686"/>
    </row>
    <row r="21" spans="1:12" x14ac:dyDescent="0.35">
      <c r="A21" s="679"/>
      <c r="B21" s="702" t="s">
        <v>308</v>
      </c>
      <c r="C21" s="703" t="s">
        <v>244</v>
      </c>
      <c r="D21" s="703"/>
      <c r="E21" s="703"/>
      <c r="F21" s="684"/>
      <c r="G21" s="704" t="s">
        <v>672</v>
      </c>
      <c r="H21" s="705" t="s">
        <v>244</v>
      </c>
    </row>
    <row r="22" spans="1:12" x14ac:dyDescent="0.3">
      <c r="A22" s="679"/>
      <c r="B22" s="670" t="s">
        <v>1784</v>
      </c>
      <c r="C22" s="706">
        <v>2019</v>
      </c>
      <c r="D22" s="706"/>
      <c r="E22" s="706"/>
      <c r="F22" s="684"/>
      <c r="G22" s="707" t="s">
        <v>497</v>
      </c>
      <c r="H22" s="708" t="s">
        <v>2016</v>
      </c>
    </row>
    <row r="23" spans="1:12" x14ac:dyDescent="0.3">
      <c r="A23" s="679"/>
      <c r="B23" s="670" t="s">
        <v>724</v>
      </c>
      <c r="C23" s="709" t="s">
        <v>8</v>
      </c>
      <c r="D23" s="706"/>
      <c r="E23" s="706"/>
      <c r="F23" s="684"/>
      <c r="G23" s="710" t="s">
        <v>2047</v>
      </c>
      <c r="H23" s="708" t="s">
        <v>8</v>
      </c>
    </row>
    <row r="24" spans="1:12" x14ac:dyDescent="0.3">
      <c r="A24" s="679"/>
      <c r="B24" s="711" t="s">
        <v>303</v>
      </c>
      <c r="C24" s="712" t="s">
        <v>7</v>
      </c>
      <c r="D24" s="706"/>
      <c r="E24" s="706"/>
      <c r="F24" s="684"/>
      <c r="G24" s="707" t="s">
        <v>404</v>
      </c>
      <c r="H24" s="708">
        <v>24</v>
      </c>
    </row>
    <row r="25" spans="1:12" s="682" customFormat="1" x14ac:dyDescent="0.35">
      <c r="B25" s="711" t="s">
        <v>671</v>
      </c>
      <c r="C25" s="712" t="s">
        <v>7</v>
      </c>
      <c r="D25" s="706"/>
      <c r="E25" s="706"/>
      <c r="G25" s="707" t="s">
        <v>611</v>
      </c>
      <c r="H25" s="713" t="s">
        <v>8</v>
      </c>
    </row>
    <row r="26" spans="1:12" s="682" customFormat="1" ht="15" customHeight="1" x14ac:dyDescent="0.35">
      <c r="B26" s="221" t="s">
        <v>1978</v>
      </c>
      <c r="C26" s="709" t="s">
        <v>7</v>
      </c>
      <c r="D26" s="706"/>
      <c r="E26" s="706"/>
      <c r="G26" s="707" t="s">
        <v>669</v>
      </c>
      <c r="H26" s="713" t="s">
        <v>8</v>
      </c>
    </row>
    <row r="27" spans="1:12" s="682" customFormat="1" ht="15" customHeight="1" x14ac:dyDescent="0.35">
      <c r="B27" s="936"/>
      <c r="C27" s="937"/>
      <c r="D27" s="706"/>
      <c r="E27" s="706"/>
      <c r="G27" s="707"/>
      <c r="H27" s="713"/>
    </row>
    <row r="28" spans="1:12" s="682" customFormat="1" ht="15" customHeight="1" x14ac:dyDescent="0.35">
      <c r="B28" s="665" t="s">
        <v>426</v>
      </c>
      <c r="C28" s="666" t="s">
        <v>244</v>
      </c>
      <c r="D28" s="706"/>
      <c r="E28" s="706"/>
      <c r="G28" s="714" t="s">
        <v>515</v>
      </c>
      <c r="H28" s="715" t="s">
        <v>244</v>
      </c>
    </row>
    <row r="29" spans="1:12" s="682" customFormat="1" ht="15" customHeight="1" x14ac:dyDescent="0.35">
      <c r="B29" s="221" t="s">
        <v>2061</v>
      </c>
      <c r="C29" s="667">
        <v>3</v>
      </c>
      <c r="D29" s="706"/>
      <c r="E29" s="706"/>
      <c r="G29" s="707" t="s">
        <v>421</v>
      </c>
      <c r="H29" s="716">
        <v>192</v>
      </c>
    </row>
    <row r="30" spans="1:12" ht="15" customHeight="1" x14ac:dyDescent="0.3">
      <c r="A30" s="679"/>
      <c r="B30" s="221" t="s">
        <v>2062</v>
      </c>
      <c r="C30" s="668">
        <v>1</v>
      </c>
      <c r="D30" s="706"/>
      <c r="E30" s="706"/>
      <c r="F30" s="684"/>
      <c r="G30" s="920" t="s">
        <v>422</v>
      </c>
      <c r="H30" s="921">
        <v>0</v>
      </c>
      <c r="L30" s="2"/>
    </row>
    <row r="31" spans="1:12" x14ac:dyDescent="0.3">
      <c r="A31" s="679"/>
      <c r="B31" s="221" t="s">
        <v>2063</v>
      </c>
      <c r="C31" s="669">
        <v>1</v>
      </c>
      <c r="D31" s="666"/>
      <c r="E31" s="666"/>
      <c r="F31" s="666"/>
      <c r="G31" s="920" t="s">
        <v>1575</v>
      </c>
      <c r="H31" s="922" t="s">
        <v>8</v>
      </c>
    </row>
    <row r="32" spans="1:12" x14ac:dyDescent="0.3">
      <c r="A32" s="679"/>
      <c r="B32" s="221" t="s">
        <v>2064</v>
      </c>
      <c r="C32" s="669">
        <v>1</v>
      </c>
      <c r="D32" s="666"/>
      <c r="E32" s="666"/>
      <c r="F32" s="717"/>
      <c r="G32" s="920" t="s">
        <v>1946</v>
      </c>
      <c r="H32" s="923">
        <v>24</v>
      </c>
    </row>
    <row r="33" spans="1:12" x14ac:dyDescent="0.3">
      <c r="A33" s="679"/>
      <c r="B33" s="941"/>
      <c r="C33" s="974"/>
      <c r="D33" s="666"/>
      <c r="E33" s="666"/>
      <c r="F33" s="717"/>
      <c r="G33" s="920"/>
      <c r="H33" s="924"/>
      <c r="I33" s="719"/>
    </row>
    <row r="34" spans="1:12" x14ac:dyDescent="0.3">
      <c r="A34" s="679"/>
      <c r="B34" s="720" t="s">
        <v>5</v>
      </c>
      <c r="C34" s="714" t="s">
        <v>244</v>
      </c>
      <c r="D34" s="666"/>
      <c r="E34" s="666"/>
      <c r="F34" s="684"/>
      <c r="G34" s="666" t="s">
        <v>28</v>
      </c>
      <c r="H34" s="723" t="s">
        <v>244</v>
      </c>
      <c r="I34" s="719"/>
      <c r="L34" s="721"/>
    </row>
    <row r="35" spans="1:12" x14ac:dyDescent="0.3">
      <c r="A35" s="679"/>
      <c r="B35" s="670" t="s">
        <v>44</v>
      </c>
      <c r="C35" s="722">
        <v>0</v>
      </c>
      <c r="D35" s="666"/>
      <c r="E35" s="666"/>
      <c r="F35" s="684"/>
      <c r="G35" s="707" t="s">
        <v>292</v>
      </c>
      <c r="H35" s="724" t="s">
        <v>293</v>
      </c>
    </row>
    <row r="36" spans="1:12" x14ac:dyDescent="0.3">
      <c r="A36" s="679"/>
      <c r="B36" s="670" t="s">
        <v>32</v>
      </c>
      <c r="C36" s="722">
        <v>0.25</v>
      </c>
      <c r="D36" s="666"/>
      <c r="E36" s="666"/>
      <c r="F36" s="684"/>
      <c r="G36" s="707" t="s">
        <v>98</v>
      </c>
      <c r="H36" s="725">
        <v>500</v>
      </c>
    </row>
    <row r="37" spans="1:12" x14ac:dyDescent="0.3">
      <c r="A37" s="679"/>
      <c r="B37" s="670" t="s">
        <v>787</v>
      </c>
      <c r="C37" s="706" t="s">
        <v>7</v>
      </c>
      <c r="D37" s="666"/>
      <c r="E37" s="666"/>
      <c r="G37" s="664" t="str">
        <f>"Automatically Calculate Number of Unique Databases" &amp; IF(calcHAOption," / DAG","")</f>
        <v>Automatically Calculate Number of Unique Databases / DAG</v>
      </c>
      <c r="H37" s="727" t="s">
        <v>7</v>
      </c>
    </row>
    <row r="38" spans="1:12" x14ac:dyDescent="0.3">
      <c r="A38" s="679"/>
      <c r="B38" s="670" t="s">
        <v>788</v>
      </c>
      <c r="C38" s="726">
        <v>0.05</v>
      </c>
      <c r="D38" s="666"/>
      <c r="E38" s="666"/>
      <c r="F38" s="684"/>
      <c r="G38" s="664" t="str">
        <f>"Custom Number of Databases" &amp; IF(calcHAOption," / DAG"," / Server")</f>
        <v>Custom Number of Databases / DAG</v>
      </c>
      <c r="H38" s="728">
        <v>48</v>
      </c>
    </row>
    <row r="39" spans="1:12" x14ac:dyDescent="0.3">
      <c r="A39" s="679"/>
      <c r="B39" s="719" t="s">
        <v>439</v>
      </c>
      <c r="C39" s="669" t="s">
        <v>31</v>
      </c>
      <c r="D39" s="666"/>
      <c r="E39" s="666"/>
      <c r="F39" s="684"/>
      <c r="G39" s="707" t="s">
        <v>707</v>
      </c>
      <c r="H39" s="708" t="s">
        <v>7</v>
      </c>
    </row>
    <row r="40" spans="1:12" x14ac:dyDescent="0.35">
      <c r="A40" s="679"/>
      <c r="B40" s="670" t="s">
        <v>526</v>
      </c>
      <c r="C40" s="729">
        <v>0.3</v>
      </c>
      <c r="D40" s="666"/>
      <c r="E40" s="666"/>
      <c r="F40" s="684"/>
    </row>
    <row r="41" spans="1:12" x14ac:dyDescent="0.3">
      <c r="A41" s="679"/>
      <c r="B41" s="221"/>
      <c r="D41" s="666"/>
      <c r="E41" s="666"/>
      <c r="F41" s="684"/>
      <c r="G41" s="666" t="s">
        <v>1269</v>
      </c>
      <c r="H41" s="723" t="s">
        <v>244</v>
      </c>
      <c r="I41" s="719"/>
    </row>
    <row r="42" spans="1:12" x14ac:dyDescent="0.35">
      <c r="A42" s="679"/>
      <c r="B42" s="665" t="s">
        <v>274</v>
      </c>
      <c r="C42" s="666" t="s">
        <v>244</v>
      </c>
      <c r="D42" s="666"/>
      <c r="E42" s="666"/>
      <c r="F42" s="684"/>
      <c r="G42" s="707" t="s">
        <v>1266</v>
      </c>
      <c r="H42" s="730">
        <v>2</v>
      </c>
    </row>
    <row r="43" spans="1:12" x14ac:dyDescent="0.35">
      <c r="A43" s="679"/>
      <c r="B43" s="670" t="s">
        <v>43</v>
      </c>
      <c r="C43" s="722">
        <v>0.2</v>
      </c>
      <c r="D43" s="666"/>
      <c r="E43" s="666"/>
      <c r="F43" s="684"/>
      <c r="G43" s="732" t="s">
        <v>1270</v>
      </c>
      <c r="H43" s="730">
        <v>8</v>
      </c>
    </row>
    <row r="44" spans="1:12" x14ac:dyDescent="0.3">
      <c r="A44" s="679"/>
      <c r="B44" s="670" t="s">
        <v>1429</v>
      </c>
      <c r="C44" s="731">
        <v>0</v>
      </c>
      <c r="D44" s="666"/>
      <c r="E44" s="666"/>
      <c r="F44" s="684"/>
      <c r="H44" s="733"/>
    </row>
    <row r="45" spans="1:12" x14ac:dyDescent="0.3">
      <c r="A45" s="679"/>
      <c r="B45" s="221"/>
      <c r="D45" s="666"/>
      <c r="E45" s="666"/>
      <c r="H45" s="733"/>
      <c r="K45" s="714"/>
      <c r="L45" s="704"/>
    </row>
    <row r="46" spans="1:12" x14ac:dyDescent="0.3">
      <c r="A46" s="679"/>
      <c r="B46" s="1054" t="s">
        <v>516</v>
      </c>
      <c r="C46" s="1055"/>
      <c r="D46" s="1055"/>
      <c r="E46" s="1055"/>
      <c r="F46" s="1055"/>
      <c r="G46" s="1055"/>
      <c r="H46" s="1056"/>
    </row>
    <row r="47" spans="1:12" x14ac:dyDescent="0.3">
      <c r="A47" s="679"/>
      <c r="B47" s="1057" t="s">
        <v>1971</v>
      </c>
      <c r="C47" s="1058"/>
      <c r="D47" s="1058"/>
      <c r="E47" s="1058"/>
      <c r="F47" s="1058"/>
      <c r="G47" s="1058"/>
      <c r="H47" s="1059"/>
    </row>
    <row r="48" spans="1:12" x14ac:dyDescent="0.3">
      <c r="A48" s="679"/>
      <c r="B48" s="1057"/>
      <c r="C48" s="1058"/>
      <c r="D48" s="1058"/>
      <c r="E48" s="1058"/>
      <c r="F48" s="1058"/>
      <c r="G48" s="1058"/>
      <c r="H48" s="1059"/>
    </row>
    <row r="49" spans="1:9" x14ac:dyDescent="0.3">
      <c r="A49" s="679"/>
      <c r="B49" s="697"/>
      <c r="C49" s="698"/>
      <c r="D49" s="666"/>
      <c r="E49" s="666"/>
      <c r="F49" s="698"/>
      <c r="G49" s="698"/>
      <c r="H49" s="699"/>
    </row>
    <row r="50" spans="1:9" x14ac:dyDescent="0.3">
      <c r="A50" s="679"/>
      <c r="B50" s="734" t="s">
        <v>1493</v>
      </c>
      <c r="C50" s="734" t="s">
        <v>244</v>
      </c>
      <c r="D50" s="666"/>
      <c r="E50" s="666"/>
      <c r="F50" s="698"/>
      <c r="G50" s="698"/>
      <c r="H50" s="699"/>
    </row>
    <row r="51" spans="1:9" x14ac:dyDescent="0.3">
      <c r="A51" s="679"/>
      <c r="B51" s="698" t="s">
        <v>1496</v>
      </c>
      <c r="C51" s="735">
        <v>7</v>
      </c>
      <c r="D51" s="666"/>
      <c r="E51" s="666"/>
      <c r="F51" s="698"/>
      <c r="G51" s="698"/>
      <c r="H51" s="699"/>
    </row>
    <row r="52" spans="1:9" x14ac:dyDescent="0.3">
      <c r="A52" s="679"/>
      <c r="B52" s="692"/>
      <c r="C52" s="693"/>
      <c r="D52" s="666"/>
      <c r="E52" s="666"/>
      <c r="F52" s="693"/>
      <c r="G52" s="693"/>
      <c r="H52" s="694"/>
    </row>
    <row r="53" spans="1:9" x14ac:dyDescent="0.3">
      <c r="A53" s="736"/>
      <c r="B53" s="720" t="s">
        <v>103</v>
      </c>
      <c r="C53" s="714" t="s">
        <v>244</v>
      </c>
      <c r="D53" s="666"/>
      <c r="E53" s="666"/>
      <c r="F53" s="714"/>
      <c r="G53" s="714" t="s">
        <v>106</v>
      </c>
      <c r="H53" s="715" t="s">
        <v>244</v>
      </c>
      <c r="I53" s="719"/>
    </row>
    <row r="54" spans="1:9" x14ac:dyDescent="0.3">
      <c r="A54" s="679"/>
      <c r="B54" s="670" t="s">
        <v>649</v>
      </c>
      <c r="C54" s="737">
        <v>0</v>
      </c>
      <c r="D54" s="666"/>
      <c r="E54" s="666"/>
      <c r="F54" s="684"/>
      <c r="G54" s="707" t="s">
        <v>651</v>
      </c>
      <c r="H54" s="728">
        <v>0</v>
      </c>
    </row>
    <row r="55" spans="1:9" ht="15" thickBot="1" x14ac:dyDescent="0.35">
      <c r="A55" s="679"/>
      <c r="B55" s="670" t="s">
        <v>445</v>
      </c>
      <c r="C55" s="738">
        <v>0</v>
      </c>
      <c r="D55" s="666"/>
      <c r="E55" s="666"/>
      <c r="F55" s="684"/>
      <c r="G55" s="707" t="s">
        <v>445</v>
      </c>
      <c r="H55" s="739">
        <v>0</v>
      </c>
    </row>
    <row r="56" spans="1:9" x14ac:dyDescent="0.3">
      <c r="A56" s="736"/>
      <c r="B56" s="740" t="s">
        <v>565</v>
      </c>
      <c r="C56" s="706" t="s">
        <v>575</v>
      </c>
      <c r="D56" s="666"/>
      <c r="E56" s="666"/>
      <c r="F56" s="684"/>
      <c r="G56" s="741" t="s">
        <v>565</v>
      </c>
      <c r="H56" s="742" t="s">
        <v>569</v>
      </c>
    </row>
    <row r="57" spans="1:9" ht="15" thickBot="1" x14ac:dyDescent="0.35">
      <c r="A57" s="679"/>
      <c r="B57" s="743" t="s">
        <v>36</v>
      </c>
      <c r="C57" s="737">
        <v>75</v>
      </c>
      <c r="D57" s="666"/>
      <c r="E57" s="666"/>
      <c r="F57" s="684"/>
      <c r="G57" s="707" t="s">
        <v>36</v>
      </c>
      <c r="H57" s="728">
        <v>75</v>
      </c>
    </row>
    <row r="58" spans="1:9" x14ac:dyDescent="0.3">
      <c r="A58" s="679"/>
      <c r="B58" s="740" t="s">
        <v>1511</v>
      </c>
      <c r="C58" s="744">
        <v>10000</v>
      </c>
      <c r="D58" s="666"/>
      <c r="E58" s="666"/>
      <c r="F58" s="684"/>
      <c r="G58" s="741" t="s">
        <v>1511</v>
      </c>
      <c r="H58" s="744">
        <v>0</v>
      </c>
      <c r="I58" s="719"/>
    </row>
    <row r="59" spans="1:9" x14ac:dyDescent="0.3">
      <c r="A59" s="679"/>
      <c r="B59" s="670" t="s">
        <v>353</v>
      </c>
      <c r="C59" s="794">
        <v>50000</v>
      </c>
      <c r="D59" s="666"/>
      <c r="E59" s="666"/>
      <c r="F59" s="684"/>
      <c r="G59" s="7" t="s">
        <v>353</v>
      </c>
      <c r="H59" s="745">
        <v>1024</v>
      </c>
      <c r="I59" s="719"/>
    </row>
    <row r="60" spans="1:9" ht="15" thickBot="1" x14ac:dyDescent="0.35">
      <c r="A60" s="679"/>
      <c r="B60" s="743" t="s">
        <v>379</v>
      </c>
      <c r="C60" s="746">
        <v>0</v>
      </c>
      <c r="D60" s="666"/>
      <c r="E60" s="666"/>
      <c r="F60" s="684"/>
      <c r="G60" s="907" t="s">
        <v>379</v>
      </c>
      <c r="H60" s="748">
        <v>0</v>
      </c>
    </row>
    <row r="61" spans="1:9" x14ac:dyDescent="0.3">
      <c r="A61" s="679"/>
      <c r="B61" s="670" t="s">
        <v>14</v>
      </c>
      <c r="C61" s="749">
        <v>14</v>
      </c>
      <c r="D61" s="666"/>
      <c r="E61" s="666"/>
      <c r="F61" s="684"/>
      <c r="G61" s="741" t="s">
        <v>14</v>
      </c>
      <c r="H61" s="750">
        <v>14</v>
      </c>
    </row>
    <row r="62" spans="1:9" x14ac:dyDescent="0.3">
      <c r="A62" s="679"/>
      <c r="B62" s="751" t="s">
        <v>359</v>
      </c>
      <c r="C62" s="752" t="s">
        <v>30</v>
      </c>
      <c r="D62" s="666"/>
      <c r="E62" s="666"/>
      <c r="F62" s="684"/>
      <c r="G62" s="753" t="s">
        <v>359</v>
      </c>
      <c r="H62" s="754" t="s">
        <v>30</v>
      </c>
    </row>
    <row r="63" spans="1:9" ht="15" thickBot="1" x14ac:dyDescent="0.35">
      <c r="A63" s="679"/>
      <c r="B63" s="755" t="s">
        <v>438</v>
      </c>
      <c r="C63" s="756" t="s">
        <v>30</v>
      </c>
      <c r="D63" s="666"/>
      <c r="E63" s="666"/>
      <c r="F63" s="684"/>
      <c r="G63" s="757" t="s">
        <v>438</v>
      </c>
      <c r="H63" s="758" t="s">
        <v>30</v>
      </c>
    </row>
    <row r="64" spans="1:9" x14ac:dyDescent="0.3">
      <c r="A64" s="679"/>
      <c r="B64" s="740" t="s">
        <v>1162</v>
      </c>
      <c r="C64" s="759">
        <v>1</v>
      </c>
      <c r="D64" s="666"/>
      <c r="E64" s="666"/>
      <c r="F64" s="684"/>
      <c r="G64" s="741" t="s">
        <v>1162</v>
      </c>
      <c r="H64" s="759">
        <v>1</v>
      </c>
    </row>
    <row r="65" spans="1:9" x14ac:dyDescent="0.3">
      <c r="A65" s="679"/>
      <c r="B65" s="751" t="s">
        <v>261</v>
      </c>
      <c r="C65" s="760">
        <v>1</v>
      </c>
      <c r="D65" s="666"/>
      <c r="E65" s="666"/>
      <c r="F65" s="684"/>
      <c r="G65" s="753" t="s">
        <v>261</v>
      </c>
      <c r="H65" s="761">
        <v>1</v>
      </c>
    </row>
    <row r="66" spans="1:9" ht="15" thickBot="1" x14ac:dyDescent="0.35">
      <c r="A66" s="679"/>
      <c r="B66" s="755" t="s">
        <v>612</v>
      </c>
      <c r="C66" s="760">
        <v>1</v>
      </c>
      <c r="D66" s="666"/>
      <c r="E66" s="666"/>
      <c r="F66" s="684"/>
      <c r="G66" s="762" t="s">
        <v>612</v>
      </c>
      <c r="H66" s="763">
        <v>1</v>
      </c>
    </row>
    <row r="67" spans="1:9" ht="15" hidden="1" thickBot="1" x14ac:dyDescent="0.35">
      <c r="A67" s="679"/>
      <c r="B67" s="764" t="s">
        <v>1991</v>
      </c>
      <c r="C67" s="664">
        <v>2019</v>
      </c>
      <c r="D67" s="666"/>
      <c r="E67" s="666"/>
      <c r="F67" s="684"/>
      <c r="G67" s="765" t="s">
        <v>1991</v>
      </c>
      <c r="H67" s="664">
        <v>2019</v>
      </c>
    </row>
    <row r="68" spans="1:9" ht="15" hidden="1" thickBot="1" x14ac:dyDescent="0.35">
      <c r="A68" s="679"/>
      <c r="B68" s="764" t="s">
        <v>1999</v>
      </c>
      <c r="C68" s="667" t="s">
        <v>66</v>
      </c>
      <c r="D68" s="666"/>
      <c r="E68" s="666"/>
      <c r="F68" s="684"/>
      <c r="G68" s="764" t="s">
        <v>1999</v>
      </c>
      <c r="H68" s="667" t="s">
        <v>66</v>
      </c>
    </row>
    <row r="69" spans="1:9" ht="15" hidden="1" thickBot="1" x14ac:dyDescent="0.35">
      <c r="A69" s="679"/>
      <c r="B69" s="766" t="s">
        <v>354</v>
      </c>
      <c r="C69" s="767" t="s">
        <v>8</v>
      </c>
      <c r="D69" s="666"/>
      <c r="E69" s="666"/>
      <c r="F69" s="684"/>
      <c r="G69" s="768" t="s">
        <v>354</v>
      </c>
      <c r="H69" s="769" t="s">
        <v>8</v>
      </c>
    </row>
    <row r="70" spans="1:9" x14ac:dyDescent="0.3">
      <c r="A70" s="679"/>
      <c r="B70" s="670" t="s">
        <v>70</v>
      </c>
      <c r="C70" s="770" t="s">
        <v>7</v>
      </c>
      <c r="D70" s="666"/>
      <c r="E70" s="666"/>
      <c r="F70" s="684"/>
      <c r="G70" s="771" t="s">
        <v>70</v>
      </c>
      <c r="H70" s="772" t="s">
        <v>7</v>
      </c>
    </row>
    <row r="71" spans="1:9" x14ac:dyDescent="0.3">
      <c r="A71" s="679"/>
      <c r="B71" s="670" t="s">
        <v>104</v>
      </c>
      <c r="C71" s="773">
        <v>0</v>
      </c>
      <c r="D71" s="666"/>
      <c r="E71" s="666"/>
      <c r="F71" s="684"/>
      <c r="G71" s="707" t="s">
        <v>107</v>
      </c>
      <c r="H71" s="774">
        <v>0</v>
      </c>
    </row>
    <row r="72" spans="1:9" x14ac:dyDescent="0.3">
      <c r="A72" s="679"/>
      <c r="B72" s="670" t="s">
        <v>134</v>
      </c>
      <c r="C72" s="775" t="s">
        <v>367</v>
      </c>
      <c r="D72" s="666"/>
      <c r="E72" s="666"/>
      <c r="F72" s="684"/>
      <c r="G72" s="707" t="s">
        <v>135</v>
      </c>
      <c r="H72" s="724" t="s">
        <v>367</v>
      </c>
    </row>
    <row r="73" spans="1:9" x14ac:dyDescent="0.3">
      <c r="A73" s="679"/>
      <c r="B73" s="692"/>
      <c r="C73" s="776"/>
      <c r="D73" s="666"/>
      <c r="E73" s="666"/>
      <c r="F73" s="717"/>
      <c r="G73" s="777"/>
      <c r="H73" s="778"/>
    </row>
    <row r="74" spans="1:9" x14ac:dyDescent="0.3">
      <c r="A74" s="679"/>
      <c r="B74" s="720" t="s">
        <v>105</v>
      </c>
      <c r="C74" s="714" t="s">
        <v>244</v>
      </c>
      <c r="D74" s="666"/>
      <c r="E74" s="666"/>
      <c r="F74" s="684"/>
      <c r="G74" s="714" t="s">
        <v>596</v>
      </c>
      <c r="H74" s="715" t="s">
        <v>244</v>
      </c>
      <c r="I74" s="719"/>
    </row>
    <row r="75" spans="1:9" x14ac:dyDescent="0.3">
      <c r="A75" s="679"/>
      <c r="B75" s="670" t="s">
        <v>650</v>
      </c>
      <c r="C75" s="737">
        <v>0</v>
      </c>
      <c r="D75" s="666"/>
      <c r="E75" s="666"/>
      <c r="F75" s="684"/>
      <c r="G75" s="707" t="s">
        <v>652</v>
      </c>
      <c r="H75" s="728">
        <v>0</v>
      </c>
    </row>
    <row r="76" spans="1:9" ht="15" thickBot="1" x14ac:dyDescent="0.35">
      <c r="A76" s="679"/>
      <c r="B76" s="743" t="s">
        <v>445</v>
      </c>
      <c r="C76" s="779">
        <v>0</v>
      </c>
      <c r="D76" s="666"/>
      <c r="E76" s="666"/>
      <c r="F76" s="684"/>
      <c r="G76" s="707" t="s">
        <v>445</v>
      </c>
      <c r="H76" s="739">
        <v>0</v>
      </c>
    </row>
    <row r="77" spans="1:9" x14ac:dyDescent="0.3">
      <c r="A77" s="679"/>
      <c r="B77" s="670" t="s">
        <v>565</v>
      </c>
      <c r="C77" s="780" t="s">
        <v>568</v>
      </c>
      <c r="D77" s="666"/>
      <c r="E77" s="666"/>
      <c r="F77" s="684"/>
      <c r="G77" s="741" t="s">
        <v>565</v>
      </c>
      <c r="H77" s="742" t="s">
        <v>569</v>
      </c>
    </row>
    <row r="78" spans="1:9" ht="15" thickBot="1" x14ac:dyDescent="0.35">
      <c r="A78" s="679"/>
      <c r="B78" s="670" t="s">
        <v>36</v>
      </c>
      <c r="C78" s="737">
        <v>75</v>
      </c>
      <c r="D78" s="666"/>
      <c r="E78" s="666"/>
      <c r="F78" s="684"/>
      <c r="G78" s="747" t="s">
        <v>36</v>
      </c>
      <c r="H78" s="728">
        <v>75</v>
      </c>
    </row>
    <row r="79" spans="1:9" x14ac:dyDescent="0.3">
      <c r="A79" s="679"/>
      <c r="B79" s="740" t="s">
        <v>1511</v>
      </c>
      <c r="C79" s="744">
        <v>0</v>
      </c>
      <c r="D79" s="666"/>
      <c r="E79" s="666"/>
      <c r="F79" s="684"/>
      <c r="G79" s="741" t="s">
        <v>1511</v>
      </c>
      <c r="H79" s="744">
        <v>0</v>
      </c>
    </row>
    <row r="80" spans="1:9" x14ac:dyDescent="0.3">
      <c r="A80" s="679"/>
      <c r="B80" s="670" t="s">
        <v>353</v>
      </c>
      <c r="C80" s="794">
        <v>50000</v>
      </c>
      <c r="D80" s="666"/>
      <c r="E80" s="666"/>
      <c r="F80" s="684"/>
      <c r="G80" s="707" t="s">
        <v>353</v>
      </c>
      <c r="H80" s="745">
        <v>5120</v>
      </c>
    </row>
    <row r="81" spans="1:8" ht="15" thickBot="1" x14ac:dyDescent="0.35">
      <c r="A81" s="679"/>
      <c r="B81" s="743" t="s">
        <v>379</v>
      </c>
      <c r="C81" s="746">
        <v>0</v>
      </c>
      <c r="D81" s="666"/>
      <c r="E81" s="666"/>
      <c r="F81" s="684"/>
      <c r="G81" s="747" t="s">
        <v>379</v>
      </c>
      <c r="H81" s="748">
        <v>0</v>
      </c>
    </row>
    <row r="82" spans="1:8" x14ac:dyDescent="0.3">
      <c r="A82" s="679"/>
      <c r="B82" s="670" t="s">
        <v>14</v>
      </c>
      <c r="C82" s="749">
        <v>14</v>
      </c>
      <c r="D82" s="666"/>
      <c r="E82" s="666"/>
      <c r="F82" s="684"/>
      <c r="G82" s="741" t="s">
        <v>14</v>
      </c>
      <c r="H82" s="750">
        <v>14</v>
      </c>
    </row>
    <row r="83" spans="1:8" x14ac:dyDescent="0.3">
      <c r="A83" s="679"/>
      <c r="B83" s="751" t="s">
        <v>359</v>
      </c>
      <c r="C83" s="752" t="s">
        <v>30</v>
      </c>
      <c r="D83" s="666"/>
      <c r="E83" s="666"/>
      <c r="F83" s="684"/>
      <c r="G83" s="753" t="s">
        <v>359</v>
      </c>
      <c r="H83" s="754" t="s">
        <v>30</v>
      </c>
    </row>
    <row r="84" spans="1:8" ht="15" thickBot="1" x14ac:dyDescent="0.35">
      <c r="A84" s="679"/>
      <c r="B84" s="781" t="s">
        <v>438</v>
      </c>
      <c r="C84" s="782" t="s">
        <v>30</v>
      </c>
      <c r="D84" s="666"/>
      <c r="E84" s="666"/>
      <c r="F84" s="684"/>
      <c r="G84" s="757" t="s">
        <v>438</v>
      </c>
      <c r="H84" s="758" t="s">
        <v>30</v>
      </c>
    </row>
    <row r="85" spans="1:8" x14ac:dyDescent="0.3">
      <c r="A85" s="679"/>
      <c r="B85" s="740" t="s">
        <v>1162</v>
      </c>
      <c r="C85" s="759">
        <v>1</v>
      </c>
      <c r="D85" s="666"/>
      <c r="E85" s="666"/>
      <c r="F85" s="684"/>
      <c r="G85" s="741" t="s">
        <v>1162</v>
      </c>
      <c r="H85" s="783">
        <v>1</v>
      </c>
    </row>
    <row r="86" spans="1:8" x14ac:dyDescent="0.3">
      <c r="A86" s="679"/>
      <c r="B86" s="751" t="s">
        <v>261</v>
      </c>
      <c r="C86" s="784">
        <v>1</v>
      </c>
      <c r="D86" s="666"/>
      <c r="E86" s="666"/>
      <c r="F86" s="684"/>
      <c r="G86" s="753" t="s">
        <v>261</v>
      </c>
      <c r="H86" s="761">
        <v>1</v>
      </c>
    </row>
    <row r="87" spans="1:8" ht="15" thickBot="1" x14ac:dyDescent="0.35">
      <c r="A87" s="679"/>
      <c r="B87" s="755" t="s">
        <v>612</v>
      </c>
      <c r="C87" s="760">
        <v>1</v>
      </c>
      <c r="D87" s="666"/>
      <c r="E87" s="666"/>
      <c r="F87" s="684"/>
      <c r="G87" s="785" t="s">
        <v>612</v>
      </c>
      <c r="H87" s="763">
        <v>1</v>
      </c>
    </row>
    <row r="88" spans="1:8" ht="15" hidden="1" thickBot="1" x14ac:dyDescent="0.35">
      <c r="A88" s="679"/>
      <c r="B88" s="764" t="s">
        <v>1991</v>
      </c>
      <c r="C88" s="664">
        <v>2019</v>
      </c>
      <c r="D88" s="666"/>
      <c r="E88" s="666"/>
      <c r="F88" s="684"/>
      <c r="G88" s="765" t="s">
        <v>1991</v>
      </c>
      <c r="H88" s="664">
        <v>2019</v>
      </c>
    </row>
    <row r="89" spans="1:8" ht="15" hidden="1" customHeight="1" thickBot="1" x14ac:dyDescent="0.35">
      <c r="A89" s="679"/>
      <c r="B89" s="764" t="s">
        <v>1999</v>
      </c>
      <c r="C89" s="667" t="s">
        <v>66</v>
      </c>
      <c r="D89" s="666"/>
      <c r="E89" s="666"/>
      <c r="F89" s="684"/>
      <c r="G89" s="764" t="s">
        <v>1999</v>
      </c>
      <c r="H89" s="667" t="s">
        <v>66</v>
      </c>
    </row>
    <row r="90" spans="1:8" ht="15" hidden="1" thickBot="1" x14ac:dyDescent="0.35">
      <c r="A90" s="679"/>
      <c r="B90" s="786" t="s">
        <v>354</v>
      </c>
      <c r="C90" s="787" t="s">
        <v>8</v>
      </c>
      <c r="D90" s="666"/>
      <c r="E90" s="666"/>
      <c r="F90" s="684"/>
      <c r="G90" s="788" t="s">
        <v>354</v>
      </c>
      <c r="H90" s="769" t="s">
        <v>8</v>
      </c>
    </row>
    <row r="91" spans="1:8" x14ac:dyDescent="0.3">
      <c r="A91" s="679"/>
      <c r="B91" s="740" t="s">
        <v>70</v>
      </c>
      <c r="C91" s="789" t="s">
        <v>7</v>
      </c>
      <c r="D91" s="666"/>
      <c r="E91" s="666"/>
      <c r="F91" s="684"/>
      <c r="G91" s="741" t="s">
        <v>70</v>
      </c>
      <c r="H91" s="772" t="s">
        <v>7</v>
      </c>
    </row>
    <row r="92" spans="1:8" x14ac:dyDescent="0.3">
      <c r="A92" s="679"/>
      <c r="B92" s="670" t="s">
        <v>245</v>
      </c>
      <c r="C92" s="773">
        <v>0</v>
      </c>
      <c r="D92" s="666"/>
      <c r="E92" s="666"/>
      <c r="F92" s="684"/>
      <c r="G92" s="707" t="s">
        <v>1226</v>
      </c>
      <c r="H92" s="774">
        <v>0</v>
      </c>
    </row>
    <row r="93" spans="1:8" x14ac:dyDescent="0.3">
      <c r="A93" s="679"/>
      <c r="B93" s="670" t="s">
        <v>246</v>
      </c>
      <c r="C93" s="775" t="s">
        <v>367</v>
      </c>
      <c r="D93" s="666"/>
      <c r="E93" s="666"/>
      <c r="F93" s="684"/>
      <c r="G93" s="707" t="s">
        <v>1227</v>
      </c>
      <c r="H93" s="724" t="s">
        <v>367</v>
      </c>
    </row>
    <row r="94" spans="1:8" x14ac:dyDescent="0.3">
      <c r="A94" s="679"/>
      <c r="B94" s="790"/>
      <c r="C94" s="776"/>
      <c r="D94" s="666"/>
      <c r="E94" s="666"/>
      <c r="F94" s="717"/>
      <c r="G94" s="791"/>
      <c r="H94" s="792"/>
    </row>
    <row r="95" spans="1:8" x14ac:dyDescent="0.3">
      <c r="A95" s="679"/>
      <c r="B95" s="1054" t="s">
        <v>501</v>
      </c>
      <c r="C95" s="1055"/>
      <c r="D95" s="1055"/>
      <c r="E95" s="1055"/>
      <c r="F95" s="1055"/>
      <c r="G95" s="1055"/>
      <c r="H95" s="1056"/>
    </row>
    <row r="96" spans="1:8" x14ac:dyDescent="0.3">
      <c r="A96" s="679"/>
      <c r="B96" s="1069" t="s">
        <v>1972</v>
      </c>
      <c r="C96" s="1070"/>
      <c r="D96" s="1070"/>
      <c r="E96" s="1070"/>
      <c r="F96" s="1070"/>
      <c r="G96" s="1070"/>
      <c r="H96" s="1071"/>
    </row>
    <row r="97" spans="1:8" x14ac:dyDescent="0.3">
      <c r="A97" s="679"/>
      <c r="B97" s="1069"/>
      <c r="C97" s="1070"/>
      <c r="D97" s="1070"/>
      <c r="E97" s="1070"/>
      <c r="F97" s="1070"/>
      <c r="G97" s="1070"/>
      <c r="H97" s="1071"/>
    </row>
    <row r="98" spans="1:8" x14ac:dyDescent="0.3">
      <c r="A98" s="679"/>
      <c r="B98" s="692"/>
      <c r="C98" s="693"/>
      <c r="D98" s="693"/>
      <c r="E98" s="693"/>
      <c r="F98" s="693"/>
      <c r="G98" s="693"/>
      <c r="H98" s="694"/>
    </row>
    <row r="99" spans="1:8" x14ac:dyDescent="0.3">
      <c r="A99" s="679"/>
      <c r="B99" s="665" t="s">
        <v>12</v>
      </c>
      <c r="C99" s="666" t="s">
        <v>244</v>
      </c>
      <c r="D99" s="666"/>
      <c r="E99" s="666"/>
      <c r="F99" s="717"/>
      <c r="G99" s="717"/>
      <c r="H99" s="793"/>
    </row>
    <row r="100" spans="1:8" x14ac:dyDescent="0.3">
      <c r="A100" s="679"/>
      <c r="B100" s="670" t="s">
        <v>18</v>
      </c>
      <c r="C100" s="706" t="s">
        <v>344</v>
      </c>
      <c r="D100" s="666"/>
      <c r="E100" s="666"/>
      <c r="F100" s="717"/>
      <c r="G100" s="717"/>
      <c r="H100" s="793"/>
    </row>
    <row r="101" spans="1:8" ht="15" customHeight="1" x14ac:dyDescent="0.3">
      <c r="A101" s="679"/>
      <c r="B101" s="670" t="s">
        <v>23</v>
      </c>
      <c r="C101" s="706" t="s">
        <v>21</v>
      </c>
      <c r="D101" s="666"/>
      <c r="E101" s="666"/>
      <c r="F101" s="717"/>
      <c r="G101" s="717"/>
      <c r="H101" s="793"/>
    </row>
    <row r="102" spans="1:8" ht="15" customHeight="1" x14ac:dyDescent="0.3">
      <c r="A102" s="679"/>
      <c r="B102" s="670" t="s">
        <v>299</v>
      </c>
      <c r="C102" s="794">
        <v>5</v>
      </c>
      <c r="D102" s="666"/>
      <c r="E102" s="666"/>
      <c r="F102" s="717"/>
      <c r="G102" s="717"/>
      <c r="H102" s="793"/>
    </row>
    <row r="103" spans="1:8" ht="15" customHeight="1" x14ac:dyDescent="0.3">
      <c r="A103" s="679"/>
      <c r="B103" s="670" t="s">
        <v>204</v>
      </c>
      <c r="C103" s="794">
        <v>0</v>
      </c>
      <c r="D103" s="666"/>
      <c r="E103" s="666"/>
      <c r="F103" s="717"/>
      <c r="G103" s="717"/>
      <c r="H103" s="793"/>
    </row>
    <row r="104" spans="1:8" ht="15" customHeight="1" x14ac:dyDescent="0.3">
      <c r="A104" s="679"/>
      <c r="B104" s="941"/>
      <c r="C104" s="942"/>
      <c r="D104" s="666"/>
      <c r="E104" s="666"/>
      <c r="F104" s="717"/>
      <c r="G104" s="717"/>
      <c r="H104" s="793"/>
    </row>
    <row r="105" spans="1:8" ht="15" customHeight="1" x14ac:dyDescent="0.3">
      <c r="A105" s="679"/>
      <c r="B105" s="1066" t="s">
        <v>507</v>
      </c>
      <c r="C105" s="1067"/>
      <c r="D105" s="1067"/>
      <c r="E105" s="1067"/>
      <c r="F105" s="1067"/>
      <c r="G105" s="1067"/>
      <c r="H105" s="1068"/>
    </row>
    <row r="106" spans="1:8" ht="15" customHeight="1" x14ac:dyDescent="0.3">
      <c r="A106" s="679"/>
      <c r="B106" s="1060" t="s">
        <v>1973</v>
      </c>
      <c r="C106" s="1061"/>
      <c r="D106" s="1061"/>
      <c r="E106" s="1061"/>
      <c r="F106" s="1061"/>
      <c r="G106" s="1061"/>
      <c r="H106" s="1062"/>
    </row>
    <row r="107" spans="1:8" ht="15" customHeight="1" x14ac:dyDescent="0.3">
      <c r="A107" s="679"/>
      <c r="B107" s="1060"/>
      <c r="C107" s="1061"/>
      <c r="D107" s="1061"/>
      <c r="E107" s="1061"/>
      <c r="F107" s="1061"/>
      <c r="G107" s="1061"/>
      <c r="H107" s="1062"/>
    </row>
    <row r="108" spans="1:8" ht="15" customHeight="1" x14ac:dyDescent="0.3">
      <c r="A108" s="679"/>
      <c r="B108" s="795"/>
      <c r="C108" s="796"/>
      <c r="D108" s="796"/>
      <c r="E108" s="796"/>
      <c r="F108" s="796"/>
      <c r="G108" s="796"/>
      <c r="H108" s="797"/>
    </row>
    <row r="109" spans="1:8" ht="15" customHeight="1" x14ac:dyDescent="0.3">
      <c r="A109" s="679"/>
      <c r="B109" s="798" t="s">
        <v>505</v>
      </c>
      <c r="C109" s="799" t="s">
        <v>244</v>
      </c>
      <c r="D109" s="930"/>
      <c r="E109" s="666"/>
      <c r="F109" s="799"/>
      <c r="H109" s="797"/>
    </row>
    <row r="110" spans="1:8" ht="15" customHeight="1" x14ac:dyDescent="0.3">
      <c r="A110" s="679"/>
      <c r="B110" s="795" t="s">
        <v>508</v>
      </c>
      <c r="C110" s="800" t="s">
        <v>7</v>
      </c>
      <c r="D110" s="929"/>
      <c r="E110" s="666"/>
      <c r="F110" s="796"/>
      <c r="H110" s="797"/>
    </row>
    <row r="111" spans="1:8" ht="15" customHeight="1" x14ac:dyDescent="0.3">
      <c r="A111" s="736"/>
      <c r="B111" s="795" t="s">
        <v>1198</v>
      </c>
      <c r="C111" s="800" t="s">
        <v>7</v>
      </c>
      <c r="D111" s="929"/>
      <c r="E111" s="666"/>
      <c r="F111" s="796"/>
      <c r="G111" s="801"/>
      <c r="H111" s="797"/>
    </row>
    <row r="112" spans="1:8" ht="15" customHeight="1" x14ac:dyDescent="0.3">
      <c r="A112" s="736"/>
      <c r="B112" s="796" t="s">
        <v>1197</v>
      </c>
      <c r="C112" s="800" t="s">
        <v>7</v>
      </c>
      <c r="D112" s="929"/>
      <c r="E112" s="666"/>
      <c r="F112" s="796"/>
      <c r="G112" s="801"/>
      <c r="H112" s="797"/>
    </row>
    <row r="113" spans="1:8" ht="15" customHeight="1" x14ac:dyDescent="0.3">
      <c r="A113" s="736"/>
      <c r="B113" s="796" t="s">
        <v>1277</v>
      </c>
      <c r="C113" s="800" t="s">
        <v>7</v>
      </c>
      <c r="D113" s="929"/>
      <c r="E113" s="666"/>
      <c r="F113" s="796"/>
      <c r="G113" s="961" t="str">
        <f>IF(calcCustomDiskCountCheck,VLOOKUP(43,strTable,2,FALSE),"")</f>
        <v/>
      </c>
      <c r="H113" s="797"/>
    </row>
    <row r="114" spans="1:8" ht="15" customHeight="1" x14ac:dyDescent="0.3">
      <c r="A114" s="736"/>
      <c r="B114" s="796" t="s">
        <v>1207</v>
      </c>
      <c r="C114" s="794">
        <v>1</v>
      </c>
      <c r="D114" s="929"/>
      <c r="E114" s="666"/>
      <c r="F114" s="796"/>
      <c r="G114" s="801"/>
      <c r="H114" s="797"/>
    </row>
    <row r="115" spans="1:8" x14ac:dyDescent="0.3">
      <c r="A115" s="736"/>
      <c r="B115" s="796" t="s">
        <v>1521</v>
      </c>
      <c r="C115" s="800">
        <v>1</v>
      </c>
      <c r="D115" s="929"/>
      <c r="E115" s="666"/>
      <c r="F115" s="796"/>
      <c r="G115" s="801"/>
      <c r="H115" s="797"/>
    </row>
    <row r="116" spans="1:8" ht="15" thickBot="1" x14ac:dyDescent="0.35">
      <c r="A116" s="679"/>
      <c r="B116" s="802"/>
      <c r="C116" s="802"/>
      <c r="D116" s="666"/>
      <c r="E116" s="666"/>
      <c r="F116" s="802"/>
      <c r="G116" s="663"/>
      <c r="H116" s="803"/>
    </row>
    <row r="117" spans="1:8" ht="15" customHeight="1" thickBot="1" x14ac:dyDescent="0.35">
      <c r="A117" s="679"/>
      <c r="B117" s="804" t="str">
        <f>IF(AND(calcSiteResilienceEnabled,SRModel=INDEX(varSRModel,1)),"Datacenter 1 ","Primary Datacenter ") &amp; "Server Disk Configuration"</f>
        <v>Datacenter 1 Server Disk Configuration</v>
      </c>
      <c r="C117" s="805" t="str">
        <f>IF(numPDCStorageUtil&lt;&gt;strEmpty,_xlfn.CONCAT("Disk Capacity (",TEXT(numPDCStorageUtil,"0.00%"),")",IF(NOT(IOPSBound),"*","")),"Disk Capacity")</f>
        <v>Disk Capacity</v>
      </c>
      <c r="D117" s="805" t="str">
        <f>_xlfn.CONCAT("Disk Type",IF(IOPSBound,"*",""))</f>
        <v>Disk Type</v>
      </c>
      <c r="E117" s="806"/>
      <c r="G117" s="674" t="str">
        <f>IF(OR(JBODValidationCheck,InvalidDBPerVolume,VirtDiskCheck,SRDiskMismatch),VLOOKUP(36,strTable,2,FALSE),"")</f>
        <v/>
      </c>
      <c r="H117" s="807"/>
    </row>
    <row r="118" spans="1:8" ht="14.5" customHeight="1" x14ac:dyDescent="0.3">
      <c r="A118" s="679"/>
      <c r="B118" s="808" t="s">
        <v>1264</v>
      </c>
      <c r="C118" s="673" t="s">
        <v>419</v>
      </c>
      <c r="D118" s="673" t="s">
        <v>262</v>
      </c>
      <c r="E118" s="673"/>
      <c r="G118" s="1073" t="str" cm="1">
        <f t="array" ref="G118">IF(OR(JBODDBCapCheckPDC,JBODRLCapCheckPDC,JBODDBCapCheckSDC,JBODRLCapCheckSDC),
       VLOOKUP(4,strTable,2,FALSE)&amp;CHAR(10)&amp;CHAR(10),"")&amp;
       IF(OR(JBODDBIOCheckPDC,JBODDBIOCheckSDC),
          VLOOKUP(5,strTable,2,FALSE)&amp;CHAR(10)&amp;CHAR(10),"")&amp;
          IF(AND(COUNTIF(ComputedDiskTypes,INDEX(varStorageArchitecture,1))&gt;0,COUNTIF(ComputedDiskTypes,INDEX(varStorageArchitecture,2))&gt;0),
             VLOOKUP(6,strTable,2,FALSE)&amp;"   "&amp;VLOOKUP(7,strTable,2,FALSE)&amp;CHAR(10)&amp;CHAR(10),"")&amp;
             IF(OR(JBODCheckPDC,JBODCheckSDC),
                VLOOKUP(7,strTable,2,FALSE)&amp;CHAR(10)&amp;CHAR(10),"")&amp;
                IF(OR(VirtDiskCheckPDC,VirtDiskCheckSDC),
                   VLOOKUP(58,strTable,2,FALSE)&amp;CHAR(10)&amp;CHAR(10),"")&amp;
                   IF(InvalidDBPerVolume,
                      VLOOKUP(55,strTable,2,FALSE)&amp;CHAR(10)&amp;CHAR(10),"")&amp;
                      IF(SRDiskMismatch,VLOOKUP(60,strTable,2,FALSE),"")</f>
        <v/>
      </c>
      <c r="H118" s="807"/>
    </row>
    <row r="119" spans="1:8" x14ac:dyDescent="0.3">
      <c r="A119" s="679"/>
      <c r="B119" s="809" t="str">
        <f>IF(OR(VolArchitecture="Multiple DBs / Volume",VolArchitecture="1 Volume / DB"),"Database + Log","Database")</f>
        <v>Database + Log</v>
      </c>
      <c r="C119" s="673" t="s">
        <v>1581</v>
      </c>
      <c r="D119" s="166" t="s">
        <v>262</v>
      </c>
      <c r="E119" s="673"/>
      <c r="G119" s="1073"/>
      <c r="H119" s="807"/>
    </row>
    <row r="120" spans="1:8" x14ac:dyDescent="0.3">
      <c r="A120" s="679"/>
      <c r="B120" s="809" t="s">
        <v>199</v>
      </c>
      <c r="C120" s="673" t="s">
        <v>747</v>
      </c>
      <c r="D120" s="673" t="s">
        <v>262</v>
      </c>
      <c r="E120" s="673"/>
      <c r="G120" s="1073"/>
      <c r="H120" s="807"/>
    </row>
    <row r="121" spans="1:8" x14ac:dyDescent="0.3">
      <c r="A121" s="679"/>
      <c r="B121" s="810" t="s">
        <v>786</v>
      </c>
      <c r="C121" s="673" t="s">
        <v>1581</v>
      </c>
      <c r="D121" s="673" t="s">
        <v>262</v>
      </c>
      <c r="E121" s="673"/>
      <c r="G121" s="1073"/>
      <c r="H121" s="807"/>
    </row>
    <row r="122" spans="1:8" x14ac:dyDescent="0.3">
      <c r="A122" s="679"/>
      <c r="B122" s="963" t="s">
        <v>2102</v>
      </c>
      <c r="C122" s="964"/>
      <c r="D122" s="964"/>
      <c r="E122" s="673"/>
      <c r="G122" s="1073"/>
      <c r="H122" s="807"/>
    </row>
    <row r="123" spans="1:8" ht="15" thickBot="1" x14ac:dyDescent="0.35">
      <c r="A123" s="679"/>
      <c r="B123" s="810"/>
      <c r="C123" s="673"/>
      <c r="D123" s="673"/>
      <c r="E123" s="673"/>
      <c r="F123" s="673"/>
      <c r="G123" s="1073"/>
      <c r="H123" s="807"/>
    </row>
    <row r="124" spans="1:8" ht="15" thickBot="1" x14ac:dyDescent="0.35">
      <c r="A124" s="679"/>
      <c r="B124" s="804" t="str">
        <f>IF(AND(calcSiteResilienceEnabled,SRModel=INDEX(varSRModel,1)),"Datacenter 2 ","Secondary Datacenter ") &amp; "Server Disk Configuration"</f>
        <v>Datacenter 2 Server Disk Configuration</v>
      </c>
      <c r="C124" s="805" t="str">
        <f>IF(numSDCStorageUtil&lt;&gt;strEmpty,_xlfn.CONCAT("Disk Capacity (",TEXT(numSDCStorageUtil,"0.00%"),")",IF(NOT(IOPSBound),"*","")),"Disk Capacity")</f>
        <v>Disk Capacity</v>
      </c>
      <c r="D124" s="805" t="str">
        <f>_xlfn.CONCAT("Disk Type",IF(IOPSBound,"*",""))</f>
        <v>Disk Type</v>
      </c>
      <c r="E124" s="806"/>
      <c r="G124" s="1073"/>
      <c r="H124" s="807"/>
    </row>
    <row r="125" spans="1:8" x14ac:dyDescent="0.3">
      <c r="A125" s="679"/>
      <c r="B125" s="811" t="s">
        <v>1264</v>
      </c>
      <c r="C125" s="673" t="s">
        <v>419</v>
      </c>
      <c r="D125" s="673" t="s">
        <v>262</v>
      </c>
      <c r="E125" s="673"/>
      <c r="G125" s="1073"/>
      <c r="H125" s="807"/>
    </row>
    <row r="126" spans="1:8" x14ac:dyDescent="0.3">
      <c r="A126" s="679"/>
      <c r="B126" s="812" t="str">
        <f>IF(OR(VolArchitecture="Multiple DBs / Volume",VolArchitecture="1 Volume / DB"),"Database + Log","Database")</f>
        <v>Database + Log</v>
      </c>
      <c r="C126" s="673" t="s">
        <v>1581</v>
      </c>
      <c r="D126" s="673" t="s">
        <v>262</v>
      </c>
      <c r="E126" s="673"/>
      <c r="G126" s="1073"/>
      <c r="H126" s="807"/>
    </row>
    <row r="127" spans="1:8" x14ac:dyDescent="0.3">
      <c r="A127" s="679"/>
      <c r="B127" s="812" t="s">
        <v>199</v>
      </c>
      <c r="C127" s="673" t="s">
        <v>747</v>
      </c>
      <c r="D127" s="673" t="s">
        <v>262</v>
      </c>
      <c r="E127" s="673"/>
      <c r="G127" s="1073"/>
      <c r="H127" s="807"/>
    </row>
    <row r="128" spans="1:8" x14ac:dyDescent="0.3">
      <c r="A128" s="679"/>
      <c r="B128" s="810" t="s">
        <v>786</v>
      </c>
      <c r="C128" s="673" t="s">
        <v>1581</v>
      </c>
      <c r="D128" s="673" t="s">
        <v>262</v>
      </c>
      <c r="E128" s="673"/>
      <c r="G128" s="1073"/>
      <c r="H128" s="807"/>
    </row>
    <row r="129" spans="1:8" x14ac:dyDescent="0.3">
      <c r="A129" s="679"/>
      <c r="B129" s="965" t="s">
        <v>2102</v>
      </c>
      <c r="C129" s="964"/>
      <c r="D129" s="964"/>
      <c r="E129" s="673"/>
      <c r="G129" s="960"/>
      <c r="H129" s="807"/>
    </row>
    <row r="130" spans="1:8" x14ac:dyDescent="0.3">
      <c r="A130" s="679"/>
      <c r="B130" s="810"/>
      <c r="C130" s="673"/>
      <c r="D130" s="673"/>
      <c r="E130" s="673"/>
      <c r="F130" s="673"/>
      <c r="G130" s="673"/>
      <c r="H130" s="807"/>
    </row>
    <row r="131" spans="1:8" x14ac:dyDescent="0.3">
      <c r="A131" s="679"/>
      <c r="B131" s="1054" t="s">
        <v>1934</v>
      </c>
      <c r="C131" s="1055"/>
      <c r="D131" s="1055"/>
      <c r="E131" s="1055"/>
      <c r="F131" s="1055"/>
      <c r="G131" s="1055"/>
      <c r="H131" s="1056"/>
    </row>
    <row r="132" spans="1:8" x14ac:dyDescent="0.3">
      <c r="A132" s="679"/>
      <c r="B132" s="1072" t="s">
        <v>2093</v>
      </c>
      <c r="C132" s="1058"/>
      <c r="D132" s="1058"/>
      <c r="E132" s="1058"/>
      <c r="F132" s="1058"/>
      <c r="G132" s="1058"/>
      <c r="H132" s="1059"/>
    </row>
    <row r="133" spans="1:8" x14ac:dyDescent="0.3">
      <c r="A133" s="679"/>
      <c r="B133" s="1057"/>
      <c r="C133" s="1058"/>
      <c r="D133" s="1058"/>
      <c r="E133" s="1058"/>
      <c r="F133" s="1058"/>
      <c r="G133" s="1058"/>
      <c r="H133" s="1059"/>
    </row>
    <row r="134" spans="1:8" ht="15" thickBot="1" x14ac:dyDescent="0.35">
      <c r="A134" s="679"/>
      <c r="B134" s="670"/>
      <c r="C134" s="813"/>
      <c r="D134" s="813"/>
      <c r="E134" s="813"/>
      <c r="F134" s="684"/>
      <c r="G134" s="707"/>
      <c r="H134" s="814"/>
    </row>
    <row r="135" spans="1:8" ht="30" customHeight="1" thickBot="1" x14ac:dyDescent="0.35">
      <c r="A135" s="679"/>
      <c r="B135" s="815" t="s">
        <v>727</v>
      </c>
      <c r="C135" s="816" t="str">
        <f>_xlfn.CONCAT(IF(calcVirtualizationEnabled,"VM Host","Server"), " SPECint2017 Rate Value")</f>
        <v>Server SPECint2017 Rate Value</v>
      </c>
      <c r="D135" s="816" t="str">
        <f>IF(calcVirtualizationEnabled,"Physical Cores/VM Host","Physical Cores/Server")</f>
        <v>Physical Cores/Server</v>
      </c>
      <c r="E135" s="816" t="str">
        <f>IF(calcVirtualizationEnabled,"Cores/VM","Cores/Server")</f>
        <v>Cores/Server</v>
      </c>
      <c r="G135" s="672"/>
      <c r="H135" s="817"/>
    </row>
    <row r="136" spans="1:8" ht="15" hidden="1" thickBot="1" x14ac:dyDescent="0.35">
      <c r="A136" s="679"/>
      <c r="B136"/>
      <c r="C136"/>
      <c r="D136"/>
      <c r="E136"/>
      <c r="H136" s="818"/>
    </row>
    <row r="137" spans="1:8" x14ac:dyDescent="0.3">
      <c r="A137" s="679"/>
      <c r="B137" s="7" t="str">
        <f>IF(calcVirtualizationEnabled,IF(calcSiteResilienceEnabled,"Primary Datacenter Mailbox Server Guest Machines","Mailbox Server Guest Machines"),IF(calcSiteResilienceEnabled,"Primary Datacenter Mailbox Servers","Mailbox Servers"))</f>
        <v>Primary Datacenter Mailbox Servers</v>
      </c>
      <c r="C137" s="819">
        <v>144</v>
      </c>
      <c r="D137" s="820">
        <v>12</v>
      </c>
      <c r="E137" s="819">
        <v>12</v>
      </c>
      <c r="G137" s="663" t="b">
        <f>IF(numProcCoresPDC=0,VLOOKUP(12,strTable,2,FALSE),IF(numProcCoresPDC&gt;VLOOKUP(ServerVersion,tblServerMax,3,FALSE),VLOOKUP(9,strTable,2,FALSE),IF(AND(NOT(calcVirtualizationEnabled),numProcCoresPDC&lt;numPhysicalCoresPDC),VLOOKUP(10,strTable,2,FALSE),IF(numProcCoresPDC&gt;numPhysicalCoresPDC,VLOOKUP(11,strTable,2,FALSE)))))</f>
        <v>0</v>
      </c>
      <c r="H137" s="818"/>
    </row>
    <row r="138" spans="1:8" x14ac:dyDescent="0.3">
      <c r="A138" s="679"/>
      <c r="B138" s="7" t="str">
        <f>IF(calcVirtualizationEnabled,"Secondary Datacenter Mailbox Server Guest Machines","Secondary Datacenter Mailbox Servers")</f>
        <v>Secondary Datacenter Mailbox Servers</v>
      </c>
      <c r="C138" s="821">
        <v>144</v>
      </c>
      <c r="D138" s="822">
        <v>12</v>
      </c>
      <c r="E138" s="821">
        <v>12</v>
      </c>
      <c r="G138" s="663" t="b">
        <f>IF(numProcCoresSDC=0,VLOOKUP(12,strTable,2,FALSE),IF(numProcCoresSDC&gt;VLOOKUP(ServerVersion,tblServerMax,3,FALSE),VLOOKUP(9,strTable,2,FALSE),IF(AND(NOT(calcVirtualizationEnabled),numProcCoresSDC&lt;numPhysicalCoresSDC),VLOOKUP(10,strTable,2,FALSE),IF(numProcCoresSDC&gt;numPhysicalCoresSDC,VLOOKUP(11,strTable,2,FALSE)))))</f>
        <v>0</v>
      </c>
      <c r="H138" s="818"/>
    </row>
    <row r="139" spans="1:8" ht="15" thickBot="1" x14ac:dyDescent="0.35">
      <c r="A139" s="679"/>
      <c r="B139" s="7" t="str">
        <f>IF(calcVirtualizationEnabled,"Lagged Copy Server Guest Machines","Lagged Copy Servers")</f>
        <v>Lagged Copy Servers</v>
      </c>
      <c r="C139" s="823">
        <v>144</v>
      </c>
      <c r="D139" s="824">
        <v>12</v>
      </c>
      <c r="E139" s="997">
        <v>12</v>
      </c>
      <c r="H139" s="818"/>
    </row>
    <row r="140" spans="1:8" x14ac:dyDescent="0.3">
      <c r="A140" s="679"/>
      <c r="B140" s="719"/>
      <c r="C140" s="737"/>
      <c r="D140" s="825"/>
      <c r="E140" s="998"/>
      <c r="H140" s="818"/>
    </row>
    <row r="141" spans="1:8" x14ac:dyDescent="0.3">
      <c r="A141" s="679"/>
      <c r="B141" s="826" t="s">
        <v>2009</v>
      </c>
      <c r="C141" s="827" t="s">
        <v>244</v>
      </c>
      <c r="D141" s="827"/>
      <c r="E141" s="827"/>
      <c r="F141" s="825"/>
      <c r="H141" s="818"/>
    </row>
    <row r="142" spans="1:8" x14ac:dyDescent="0.3">
      <c r="A142" s="679"/>
      <c r="B142" s="719" t="s">
        <v>728</v>
      </c>
      <c r="C142" s="828">
        <v>0.1</v>
      </c>
      <c r="D142" s="828"/>
      <c r="F142" s="825"/>
      <c r="H142" s="818"/>
    </row>
    <row r="143" spans="1:8" x14ac:dyDescent="0.3">
      <c r="A143" s="679"/>
      <c r="B143" s="9" t="s">
        <v>1980</v>
      </c>
      <c r="C143" s="829" t="s">
        <v>368</v>
      </c>
      <c r="D143" s="828"/>
      <c r="F143" s="825"/>
      <c r="H143" s="818"/>
    </row>
    <row r="144" spans="1:8" x14ac:dyDescent="0.3">
      <c r="A144" s="679"/>
      <c r="B144" s="719"/>
      <c r="C144" s="828"/>
      <c r="D144" s="828"/>
      <c r="E144" s="828"/>
      <c r="F144" s="825"/>
      <c r="H144" s="818"/>
    </row>
    <row r="145" spans="1:12" x14ac:dyDescent="0.3">
      <c r="A145" s="679"/>
      <c r="B145" s="799" t="s">
        <v>1927</v>
      </c>
      <c r="C145" s="799" t="s">
        <v>244</v>
      </c>
      <c r="D145" s="828"/>
      <c r="E145" s="828"/>
      <c r="F145" s="825"/>
      <c r="H145" s="818"/>
    </row>
    <row r="146" spans="1:12" ht="15" customHeight="1" x14ac:dyDescent="0.3">
      <c r="A146" s="679"/>
      <c r="B146" s="796" t="s">
        <v>1938</v>
      </c>
      <c r="C146" s="800" t="s">
        <v>7</v>
      </c>
      <c r="D146" s="828"/>
      <c r="E146" s="828"/>
      <c r="F146" s="825"/>
      <c r="H146" s="818"/>
    </row>
    <row r="147" spans="1:12" ht="14.5" customHeight="1" x14ac:dyDescent="0.3">
      <c r="A147" s="679"/>
      <c r="B147" s="796" t="s">
        <v>1928</v>
      </c>
      <c r="C147" s="800">
        <v>256</v>
      </c>
      <c r="D147" s="828"/>
      <c r="E147" s="828"/>
      <c r="F147" s="825"/>
      <c r="G147" s="1053" t="b">
        <f>IF(AND(AutomaticDAGCalc="Yes",LimitServerMemory="No",NumRamPerServer&gt;VLOOKUP(ServerVersion,tblServerMax,2,FALSE)),VLOOKUP(35,strTable,2))</f>
        <v>0</v>
      </c>
      <c r="H147" s="818"/>
    </row>
    <row r="148" spans="1:12" x14ac:dyDescent="0.3">
      <c r="A148" s="679"/>
      <c r="B148" s="795"/>
      <c r="C148" s="800"/>
      <c r="D148" s="717"/>
      <c r="E148" s="717"/>
      <c r="F148" s="825"/>
      <c r="G148" s="1053"/>
      <c r="H148" s="818"/>
    </row>
    <row r="149" spans="1:12" x14ac:dyDescent="0.35">
      <c r="B149" s="843" t="s">
        <v>2011</v>
      </c>
      <c r="C149" s="703" t="s">
        <v>244</v>
      </c>
      <c r="D149" s="841"/>
      <c r="E149" s="841"/>
      <c r="F149" s="836"/>
      <c r="G149" s="671" t="str">
        <f>IF(TransportDBCheck,VLOOKUP(61,strTable,2,FALSE),"")</f>
        <v/>
      </c>
      <c r="H149" s="793"/>
      <c r="L149" s="842"/>
    </row>
    <row r="150" spans="1:12" hidden="1" x14ac:dyDescent="0.3">
      <c r="B150" s="934" t="s">
        <v>1930</v>
      </c>
      <c r="C150" s="933" t="s">
        <v>8</v>
      </c>
      <c r="D150" s="841"/>
      <c r="E150" s="841"/>
      <c r="F150" s="836"/>
      <c r="G150" s="671"/>
      <c r="H150" s="793"/>
      <c r="L150" s="842"/>
    </row>
    <row r="151" spans="1:12" hidden="1" x14ac:dyDescent="0.3">
      <c r="B151" s="845" t="s">
        <v>1929</v>
      </c>
      <c r="C151" s="800" t="s">
        <v>1923</v>
      </c>
      <c r="D151" s="841"/>
      <c r="E151" s="841"/>
      <c r="F151" s="836"/>
      <c r="G151" s="671"/>
      <c r="H151" s="793"/>
      <c r="L151" s="842"/>
    </row>
    <row r="152" spans="1:12" x14ac:dyDescent="0.3">
      <c r="B152" s="844" t="str">
        <f>IF(calcHAOption,IF(calcSiteResilienceEnabled,"Number of Mailbox Servers Hosting Active Mailboxes / DAG (Primary Datacenter)","Number of Mailbox Servers Hosting Active Mailboxes / DAG"),"Number of Mailbox Servers")</f>
        <v>Number of Mailbox Servers Hosting Active Mailboxes / DAG (Primary Datacenter)</v>
      </c>
      <c r="C152" s="718">
        <v>8</v>
      </c>
      <c r="D152" s="841"/>
      <c r="F152" s="672"/>
      <c r="G152" s="672" t="str">
        <f>IF(AND(NOT(calcHAOption),MailboxCountCheck),VLOOKUP(33,strTable,2,FALSE),"")</f>
        <v/>
      </c>
      <c r="H152" s="793"/>
      <c r="L152" s="842"/>
    </row>
    <row r="153" spans="1:12" x14ac:dyDescent="0.3">
      <c r="B153" s="221" t="s">
        <v>550</v>
      </c>
      <c r="C153" s="718">
        <v>1</v>
      </c>
      <c r="D153" s="841"/>
      <c r="E153" s="841"/>
      <c r="F153" s="836"/>
      <c r="G153" s="431" t="str">
        <f>IF(calcHAOption,IF(TotalMBX&gt;(RecNumDBs*MBXPerDB*numDAGs),VLOOKUP(34,strTable,2),""),IF(numDBCopies&gt;numMBXServers,VLOOKUP(39,strTable,2),""))</f>
        <v/>
      </c>
      <c r="H153" s="793"/>
      <c r="L153" s="842"/>
    </row>
    <row r="154" spans="1:12" ht="15" thickBot="1" x14ac:dyDescent="0.35">
      <c r="B154" s="931"/>
      <c r="C154" s="932"/>
      <c r="D154" s="846"/>
      <c r="E154" s="846"/>
      <c r="F154" s="836"/>
      <c r="G154" s="671"/>
      <c r="H154" s="793"/>
      <c r="L154" s="842"/>
    </row>
    <row r="155" spans="1:12" x14ac:dyDescent="0.3">
      <c r="B155" s="847" t="s">
        <v>758</v>
      </c>
      <c r="C155" s="848"/>
      <c r="D155" s="848"/>
      <c r="E155" s="848"/>
      <c r="F155" s="848"/>
      <c r="G155" s="848"/>
      <c r="H155" s="848"/>
      <c r="L155" s="842"/>
    </row>
    <row r="156" spans="1:12" x14ac:dyDescent="0.3">
      <c r="B156" s="996" t="s">
        <v>2149</v>
      </c>
      <c r="C156" s="849"/>
      <c r="D156" s="849"/>
      <c r="E156" s="849"/>
      <c r="F156" s="846"/>
      <c r="G156" s="846"/>
      <c r="H156" s="793"/>
      <c r="L156" s="842"/>
    </row>
    <row r="157" spans="1:12" ht="15" thickBot="1" x14ac:dyDescent="0.35">
      <c r="B157" s="850"/>
      <c r="C157" s="851"/>
      <c r="D157" s="851"/>
      <c r="E157" s="851"/>
      <c r="F157" s="849"/>
      <c r="G157" s="849"/>
      <c r="H157" s="852"/>
      <c r="L157" s="842"/>
    </row>
    <row r="158" spans="1:12" ht="15" thickBot="1" x14ac:dyDescent="0.35">
      <c r="B158" s="665" t="s">
        <v>759</v>
      </c>
      <c r="C158" s="723" t="s">
        <v>760</v>
      </c>
      <c r="D158" s="666"/>
      <c r="E158" s="666"/>
      <c r="F158" s="853"/>
      <c r="G158" s="855" t="s">
        <v>1884</v>
      </c>
      <c r="H158" s="856" t="s">
        <v>763</v>
      </c>
      <c r="L158" s="842"/>
    </row>
    <row r="159" spans="1:12" x14ac:dyDescent="0.3">
      <c r="B159" s="854" t="str">
        <f>GetFailureDomain(1)</f>
        <v>Server 1</v>
      </c>
      <c r="C159" s="716" t="s">
        <v>1411</v>
      </c>
      <c r="D159" s="718"/>
      <c r="E159" s="718"/>
      <c r="F159" s="853"/>
      <c r="G159" s="859" t="s">
        <v>765</v>
      </c>
      <c r="H159" s="860" t="s">
        <v>1786</v>
      </c>
      <c r="L159" s="842"/>
    </row>
    <row r="160" spans="1:12" ht="15" thickBot="1" x14ac:dyDescent="0.35">
      <c r="B160" s="854" t="str">
        <f>GetFailureDomain(2)</f>
        <v>Server 2</v>
      </c>
      <c r="C160" s="857" t="s">
        <v>1412</v>
      </c>
      <c r="D160" s="858"/>
      <c r="E160" s="858"/>
      <c r="F160" s="853"/>
      <c r="G160" s="861" t="s">
        <v>766</v>
      </c>
      <c r="H160" s="862" t="s">
        <v>1172</v>
      </c>
      <c r="L160" s="842"/>
    </row>
    <row r="161" spans="1:12" x14ac:dyDescent="0.3">
      <c r="B161" s="854" t="str">
        <f>GetFailureDomain(3)</f>
        <v>Server 3</v>
      </c>
      <c r="C161" s="716" t="s">
        <v>1413</v>
      </c>
      <c r="D161" s="718"/>
      <c r="E161" s="718"/>
      <c r="F161" s="853"/>
      <c r="H161" s="793"/>
      <c r="L161" s="842"/>
    </row>
    <row r="162" spans="1:12" x14ac:dyDescent="0.3">
      <c r="B162" s="854" t="str">
        <f>GetFailureDomain(4)</f>
        <v>Server 4</v>
      </c>
      <c r="C162" s="716" t="s">
        <v>1414</v>
      </c>
      <c r="D162" s="718"/>
      <c r="E162" s="718"/>
      <c r="F162" s="853"/>
      <c r="G162" s="671"/>
      <c r="H162" s="793"/>
    </row>
    <row r="163" spans="1:12" x14ac:dyDescent="0.3">
      <c r="B163" s="854" t="str">
        <f>GetFailureDomain(5)</f>
        <v>Server 5</v>
      </c>
      <c r="C163" s="857" t="s">
        <v>1415</v>
      </c>
      <c r="D163" s="858"/>
      <c r="E163" s="858"/>
      <c r="F163" s="853"/>
      <c r="H163" s="863"/>
    </row>
    <row r="164" spans="1:12" x14ac:dyDescent="0.3">
      <c r="B164" s="854" t="str">
        <f>GetFailureDomain(6)</f>
        <v>Server 6</v>
      </c>
      <c r="C164" s="716" t="s">
        <v>1416</v>
      </c>
      <c r="D164" s="718"/>
      <c r="E164" s="718"/>
      <c r="F164" s="853"/>
      <c r="H164" s="863"/>
    </row>
    <row r="165" spans="1:12" x14ac:dyDescent="0.3">
      <c r="B165" s="854" t="str">
        <f>GetFailureDomain(7)</f>
        <v>Server 7</v>
      </c>
      <c r="C165" s="716" t="s">
        <v>1417</v>
      </c>
      <c r="D165" s="718"/>
      <c r="E165" s="718"/>
      <c r="F165" s="853"/>
      <c r="H165" s="863"/>
    </row>
    <row r="166" spans="1:12" x14ac:dyDescent="0.3">
      <c r="B166" s="854" t="str">
        <f>GetFailureDomain(8)</f>
        <v>Server 8</v>
      </c>
      <c r="C166" s="857" t="s">
        <v>1418</v>
      </c>
      <c r="D166" s="858"/>
      <c r="E166" s="858"/>
      <c r="F166" s="853"/>
      <c r="H166" s="733"/>
    </row>
    <row r="167" spans="1:12" x14ac:dyDescent="0.3">
      <c r="B167" s="854" t="str">
        <f>GetFailureDomain(9)</f>
        <v>Server 9</v>
      </c>
      <c r="C167" s="716" t="s">
        <v>1419</v>
      </c>
      <c r="D167" s="718"/>
      <c r="E167" s="718"/>
      <c r="F167" s="853"/>
      <c r="H167" s="733"/>
    </row>
    <row r="168" spans="1:12" x14ac:dyDescent="0.3">
      <c r="B168" s="854" t="str">
        <f>GetFailureDomain(10)</f>
        <v>Server 10</v>
      </c>
      <c r="C168" s="716" t="s">
        <v>1420</v>
      </c>
      <c r="D168" s="718"/>
      <c r="E168" s="718"/>
      <c r="F168" s="853"/>
      <c r="H168" s="733"/>
    </row>
    <row r="169" spans="1:12" x14ac:dyDescent="0.3">
      <c r="B169" s="854" t="str">
        <f>GetFailureDomain(11)</f>
        <v>Server 11</v>
      </c>
      <c r="C169" s="857" t="s">
        <v>1421</v>
      </c>
      <c r="D169" s="858"/>
      <c r="E169" s="858"/>
      <c r="F169" s="853"/>
      <c r="H169" s="733"/>
    </row>
    <row r="170" spans="1:12" x14ac:dyDescent="0.3">
      <c r="B170" s="854" t="str">
        <f>GetFailureDomain(12)</f>
        <v>Server 12</v>
      </c>
      <c r="C170" s="716" t="s">
        <v>1422</v>
      </c>
      <c r="D170" s="718"/>
      <c r="E170" s="718"/>
      <c r="F170" s="853"/>
      <c r="H170" s="733"/>
    </row>
    <row r="171" spans="1:12" x14ac:dyDescent="0.3">
      <c r="A171" s="733"/>
      <c r="B171" s="854" t="str">
        <f>GetFailureDomain(13)</f>
        <v>Server 13</v>
      </c>
      <c r="C171" s="716" t="s">
        <v>1423</v>
      </c>
      <c r="D171" s="718"/>
      <c r="E171" s="718"/>
      <c r="F171" s="853"/>
      <c r="H171" s="733"/>
    </row>
    <row r="172" spans="1:12" x14ac:dyDescent="0.3">
      <c r="A172" s="733"/>
      <c r="B172" s="854" t="str">
        <f>GetFailureDomain(14)</f>
        <v>Server 14</v>
      </c>
      <c r="C172" s="857" t="s">
        <v>1424</v>
      </c>
      <c r="D172" s="858"/>
      <c r="E172" s="858"/>
      <c r="F172" s="853"/>
      <c r="H172" s="733"/>
    </row>
    <row r="173" spans="1:12" x14ac:dyDescent="0.3">
      <c r="A173" s="733"/>
      <c r="B173" s="854" t="str">
        <f>GetFailureDomain(15)</f>
        <v>Server 15</v>
      </c>
      <c r="C173" s="716" t="s">
        <v>1425</v>
      </c>
      <c r="D173" s="718"/>
      <c r="E173" s="718"/>
      <c r="F173" s="853"/>
      <c r="H173" s="733"/>
    </row>
    <row r="174" spans="1:12" x14ac:dyDescent="0.3">
      <c r="A174" s="733"/>
      <c r="B174" s="854" t="str">
        <f>GetFailureDomain(16)</f>
        <v>Server 16</v>
      </c>
      <c r="C174" s="716" t="s">
        <v>1426</v>
      </c>
      <c r="D174" s="718"/>
      <c r="E174" s="718"/>
      <c r="F174" s="853"/>
      <c r="H174" s="733"/>
    </row>
    <row r="175" spans="1:12" x14ac:dyDescent="0.3">
      <c r="A175" s="999"/>
      <c r="B175" s="854"/>
      <c r="C175" s="1000"/>
      <c r="D175" s="718"/>
      <c r="E175" s="718"/>
      <c r="F175" s="853"/>
      <c r="H175" s="999"/>
    </row>
    <row r="176" spans="1:12" x14ac:dyDescent="0.3">
      <c r="A176" s="679"/>
      <c r="B176" s="695" t="s">
        <v>502</v>
      </c>
      <c r="C176" s="696"/>
      <c r="D176" s="696"/>
      <c r="E176" s="696"/>
      <c r="F176" s="696"/>
      <c r="G176" s="696"/>
      <c r="H176" s="696"/>
    </row>
    <row r="177" spans="1:9" ht="46" customHeight="1" x14ac:dyDescent="0.3">
      <c r="A177" s="679"/>
      <c r="B177" s="1051" t="s">
        <v>2150</v>
      </c>
      <c r="C177" s="1052"/>
      <c r="D177" s="1052"/>
      <c r="E177" s="1052"/>
      <c r="F177" s="1052"/>
      <c r="G177" s="1052"/>
      <c r="H177" s="830"/>
    </row>
    <row r="178" spans="1:9" ht="14.5" customHeight="1" thickBot="1" x14ac:dyDescent="0.35">
      <c r="A178" s="679"/>
      <c r="B178" s="831"/>
      <c r="C178" s="832"/>
      <c r="D178" s="832"/>
      <c r="E178" s="832"/>
      <c r="F178" s="832"/>
      <c r="G178" s="832"/>
      <c r="H178" s="833"/>
    </row>
    <row r="179" spans="1:9" ht="15" thickBot="1" x14ac:dyDescent="0.35">
      <c r="A179" s="679"/>
      <c r="B179" s="1049" t="s">
        <v>101</v>
      </c>
      <c r="C179" s="1050"/>
      <c r="D179" s="834"/>
      <c r="E179" s="834"/>
      <c r="F179" s="717"/>
      <c r="G179" s="717"/>
      <c r="H179" s="793"/>
    </row>
    <row r="180" spans="1:9" x14ac:dyDescent="0.3">
      <c r="A180" s="679"/>
      <c r="B180" s="720" t="s">
        <v>102</v>
      </c>
      <c r="C180" s="714" t="s">
        <v>451</v>
      </c>
      <c r="D180" s="714"/>
      <c r="E180" s="714"/>
      <c r="F180" s="717"/>
      <c r="G180" s="666" t="s">
        <v>153</v>
      </c>
      <c r="H180" s="723" t="s">
        <v>244</v>
      </c>
    </row>
    <row r="181" spans="1:9" x14ac:dyDescent="0.3">
      <c r="A181" s="679"/>
      <c r="B181" s="670">
        <v>1</v>
      </c>
      <c r="C181" s="835">
        <v>0</v>
      </c>
      <c r="D181" s="835"/>
      <c r="E181" s="835"/>
      <c r="F181" s="717"/>
      <c r="G181" s="707" t="s">
        <v>154</v>
      </c>
      <c r="H181" s="713" t="s">
        <v>150</v>
      </c>
    </row>
    <row r="182" spans="1:9" x14ac:dyDescent="0.3">
      <c r="A182" s="679"/>
      <c r="B182" s="670">
        <v>2</v>
      </c>
      <c r="C182" s="835">
        <v>0</v>
      </c>
      <c r="D182" s="835"/>
      <c r="E182" s="835"/>
      <c r="F182" s="836"/>
      <c r="G182" s="707" t="s">
        <v>155</v>
      </c>
      <c r="H182" s="774">
        <v>50</v>
      </c>
    </row>
    <row r="183" spans="1:9" x14ac:dyDescent="0.3">
      <c r="A183" s="679"/>
      <c r="B183" s="670">
        <v>3</v>
      </c>
      <c r="C183" s="835">
        <v>0</v>
      </c>
      <c r="D183" s="835"/>
      <c r="E183" s="835"/>
      <c r="F183" s="836"/>
      <c r="G183" s="707"/>
      <c r="H183" s="733"/>
    </row>
    <row r="184" spans="1:9" x14ac:dyDescent="0.3">
      <c r="A184" s="679"/>
      <c r="B184" s="670">
        <v>4</v>
      </c>
      <c r="C184" s="835">
        <v>0</v>
      </c>
      <c r="D184" s="835"/>
      <c r="E184" s="835"/>
      <c r="F184" s="836"/>
      <c r="G184" s="671"/>
      <c r="H184" s="793"/>
    </row>
    <row r="185" spans="1:9" x14ac:dyDescent="0.3">
      <c r="A185" s="679"/>
      <c r="B185" s="670">
        <v>5</v>
      </c>
      <c r="C185" s="835">
        <v>0</v>
      </c>
      <c r="D185" s="835"/>
      <c r="E185" s="835"/>
      <c r="F185" s="836"/>
      <c r="G185" s="837"/>
      <c r="H185" s="793"/>
      <c r="I185" s="838"/>
    </row>
    <row r="186" spans="1:9" x14ac:dyDescent="0.3">
      <c r="A186" s="679"/>
      <c r="B186" s="670">
        <v>6</v>
      </c>
      <c r="C186" s="835">
        <v>0</v>
      </c>
      <c r="D186" s="835"/>
      <c r="E186" s="835"/>
      <c r="F186" s="836"/>
      <c r="G186" s="717"/>
      <c r="H186" s="793"/>
    </row>
    <row r="187" spans="1:9" x14ac:dyDescent="0.3">
      <c r="A187" s="679"/>
      <c r="B187" s="670">
        <v>7</v>
      </c>
      <c r="C187" s="835">
        <v>0</v>
      </c>
      <c r="D187" s="835"/>
      <c r="E187" s="835"/>
      <c r="F187" s="836"/>
      <c r="G187" s="839"/>
      <c r="H187" s="733"/>
    </row>
    <row r="188" spans="1:9" x14ac:dyDescent="0.3">
      <c r="A188" s="679"/>
      <c r="B188" s="670">
        <v>8</v>
      </c>
      <c r="C188" s="835">
        <v>0</v>
      </c>
      <c r="D188" s="835"/>
      <c r="E188" s="835"/>
      <c r="F188" s="836"/>
      <c r="H188" s="733"/>
    </row>
    <row r="189" spans="1:9" x14ac:dyDescent="0.3">
      <c r="A189" s="679"/>
      <c r="B189" s="670">
        <v>9</v>
      </c>
      <c r="C189" s="835">
        <v>0</v>
      </c>
      <c r="D189" s="835"/>
      <c r="E189" s="835"/>
      <c r="F189" s="836"/>
      <c r="H189" s="733"/>
    </row>
    <row r="190" spans="1:9" x14ac:dyDescent="0.3">
      <c r="A190" s="679"/>
      <c r="B190" s="670">
        <v>10</v>
      </c>
      <c r="C190" s="835">
        <v>0</v>
      </c>
      <c r="D190" s="835"/>
      <c r="E190" s="835"/>
      <c r="F190" s="836"/>
      <c r="G190" s="671"/>
      <c r="H190" s="793"/>
    </row>
    <row r="191" spans="1:9" x14ac:dyDescent="0.3">
      <c r="A191" s="679"/>
      <c r="B191" s="670">
        <v>11</v>
      </c>
      <c r="C191" s="835">
        <v>0</v>
      </c>
      <c r="D191" s="835"/>
      <c r="E191" s="835"/>
      <c r="F191" s="836"/>
      <c r="G191" s="671"/>
      <c r="H191" s="793"/>
    </row>
    <row r="192" spans="1:9" x14ac:dyDescent="0.3">
      <c r="A192" s="679"/>
      <c r="B192" s="670">
        <v>12</v>
      </c>
      <c r="C192" s="835">
        <v>0</v>
      </c>
      <c r="D192" s="835"/>
      <c r="E192" s="835"/>
      <c r="F192" s="836"/>
      <c r="G192" s="671"/>
      <c r="H192" s="793"/>
    </row>
    <row r="193" spans="1:12" x14ac:dyDescent="0.3">
      <c r="A193" s="679"/>
      <c r="B193" s="670">
        <v>13</v>
      </c>
      <c r="C193" s="835">
        <v>0</v>
      </c>
      <c r="D193" s="835"/>
      <c r="E193" s="835"/>
      <c r="F193" s="836"/>
      <c r="G193" s="671"/>
      <c r="H193" s="793"/>
    </row>
    <row r="194" spans="1:12" x14ac:dyDescent="0.3">
      <c r="A194" s="679"/>
      <c r="B194" s="670">
        <v>14</v>
      </c>
      <c r="C194" s="835">
        <v>0</v>
      </c>
      <c r="D194" s="835"/>
      <c r="E194" s="835"/>
      <c r="F194" s="836"/>
      <c r="G194" s="671"/>
      <c r="H194" s="793"/>
    </row>
    <row r="195" spans="1:12" x14ac:dyDescent="0.3">
      <c r="A195" s="679"/>
      <c r="B195" s="670">
        <v>15</v>
      </c>
      <c r="C195" s="835">
        <v>0</v>
      </c>
      <c r="D195" s="835"/>
      <c r="E195" s="835"/>
      <c r="F195" s="836"/>
      <c r="G195" s="671"/>
      <c r="H195" s="793"/>
    </row>
    <row r="196" spans="1:12" x14ac:dyDescent="0.3">
      <c r="A196" s="679"/>
      <c r="B196" s="670">
        <v>16</v>
      </c>
      <c r="C196" s="835">
        <v>0</v>
      </c>
      <c r="D196" s="835"/>
      <c r="E196" s="835"/>
      <c r="F196" s="836"/>
      <c r="G196" s="671"/>
      <c r="H196" s="793"/>
    </row>
    <row r="197" spans="1:12" x14ac:dyDescent="0.3">
      <c r="A197" s="679"/>
      <c r="B197" s="670">
        <v>17</v>
      </c>
      <c r="C197" s="835">
        <v>0</v>
      </c>
      <c r="D197" s="835"/>
      <c r="E197" s="835"/>
      <c r="F197" s="836"/>
      <c r="G197" s="671"/>
      <c r="H197" s="793"/>
    </row>
    <row r="198" spans="1:12" x14ac:dyDescent="0.3">
      <c r="A198" s="679"/>
      <c r="B198" s="670">
        <v>18</v>
      </c>
      <c r="C198" s="835">
        <v>0</v>
      </c>
      <c r="D198" s="835"/>
      <c r="E198" s="835"/>
      <c r="F198" s="836"/>
      <c r="G198" s="671"/>
      <c r="H198" s="793"/>
    </row>
    <row r="199" spans="1:12" x14ac:dyDescent="0.3">
      <c r="A199" s="679"/>
      <c r="B199" s="670">
        <v>19</v>
      </c>
      <c r="C199" s="835">
        <v>0</v>
      </c>
      <c r="D199" s="835"/>
      <c r="E199" s="835"/>
      <c r="F199" s="836"/>
      <c r="G199" s="671"/>
      <c r="H199" s="793"/>
    </row>
    <row r="200" spans="1:12" x14ac:dyDescent="0.3">
      <c r="A200" s="679"/>
      <c r="B200" s="670">
        <v>20</v>
      </c>
      <c r="C200" s="835">
        <v>0</v>
      </c>
      <c r="D200" s="835"/>
      <c r="E200" s="835"/>
      <c r="F200" s="836"/>
      <c r="G200" s="671"/>
      <c r="H200" s="793"/>
    </row>
    <row r="201" spans="1:12" x14ac:dyDescent="0.3">
      <c r="A201" s="679"/>
      <c r="B201" s="670">
        <v>21</v>
      </c>
      <c r="C201" s="835">
        <v>0</v>
      </c>
      <c r="D201" s="835"/>
      <c r="E201" s="835"/>
      <c r="F201" s="836"/>
      <c r="G201" s="671"/>
      <c r="H201" s="793"/>
    </row>
    <row r="202" spans="1:12" x14ac:dyDescent="0.3">
      <c r="A202" s="679"/>
      <c r="B202" s="670">
        <v>22</v>
      </c>
      <c r="C202" s="835">
        <v>0</v>
      </c>
      <c r="D202" s="835"/>
      <c r="E202" s="835"/>
      <c r="F202" s="836"/>
      <c r="G202" s="671"/>
      <c r="H202" s="793"/>
    </row>
    <row r="203" spans="1:12" x14ac:dyDescent="0.3">
      <c r="B203" s="670">
        <v>23</v>
      </c>
      <c r="C203" s="835">
        <v>0</v>
      </c>
      <c r="D203" s="835"/>
      <c r="E203" s="835"/>
      <c r="F203" s="836"/>
      <c r="G203" s="671"/>
      <c r="H203" s="793"/>
    </row>
    <row r="204" spans="1:12" x14ac:dyDescent="0.3">
      <c r="B204" s="670">
        <v>24</v>
      </c>
      <c r="C204" s="835">
        <v>0</v>
      </c>
      <c r="D204" s="835"/>
      <c r="E204" s="835"/>
      <c r="F204" s="836"/>
      <c r="G204" s="671"/>
      <c r="H204" s="793"/>
    </row>
    <row r="205" spans="1:12" x14ac:dyDescent="0.3">
      <c r="B205" s="840" t="s">
        <v>470</v>
      </c>
      <c r="C205" s="841">
        <f>SUBTOTAL(9,Table12[Logs Generated / Hour Percentage])</f>
        <v>0</v>
      </c>
      <c r="D205" s="841"/>
      <c r="E205" s="841"/>
      <c r="F205" s="836"/>
      <c r="G205" s="671"/>
      <c r="H205" s="793"/>
      <c r="L205" s="842"/>
    </row>
    <row r="206" spans="1:12" x14ac:dyDescent="0.3">
      <c r="B206" s="840"/>
      <c r="C206" s="841"/>
      <c r="D206" s="841"/>
      <c r="E206" s="841"/>
      <c r="F206" s="836"/>
      <c r="G206" s="671"/>
      <c r="H206" s="793"/>
      <c r="L206" s="842"/>
    </row>
    <row r="207" spans="1:12" ht="15" thickBot="1" x14ac:dyDescent="0.35">
      <c r="B207" s="994"/>
      <c r="C207" s="989"/>
      <c r="D207" s="989"/>
      <c r="E207" s="989"/>
      <c r="F207" s="989"/>
      <c r="G207" s="989"/>
      <c r="H207" s="995"/>
    </row>
    <row r="209" spans="1:8" hidden="1" x14ac:dyDescent="0.3"/>
    <row r="210" spans="1:8" hidden="1" x14ac:dyDescent="0.3">
      <c r="B210" s="117" t="s">
        <v>2142</v>
      </c>
      <c r="C210" s="985" t="s">
        <v>244</v>
      </c>
    </row>
    <row r="211" spans="1:8" hidden="1" x14ac:dyDescent="0.3">
      <c r="B211" s="2" t="s">
        <v>2143</v>
      </c>
      <c r="C211" s="987" t="b">
        <f>IF(HAOption="Yes",TRUE,FALSE)</f>
        <v>1</v>
      </c>
    </row>
    <row r="212" spans="1:8" hidden="1" x14ac:dyDescent="0.3">
      <c r="B212" s="2" t="s">
        <v>2144</v>
      </c>
      <c r="C212" s="987" t="b">
        <f>IF(SiteResilienceEnabled="Yes",TRUE,FALSE)</f>
        <v>1</v>
      </c>
    </row>
    <row r="213" spans="1:8" hidden="1" x14ac:dyDescent="0.3">
      <c r="B213" s="2" t="s">
        <v>2145</v>
      </c>
      <c r="C213" s="987" t="b">
        <f>IF(VirtualizationEnabled="Yes",TRUE,FALSE)</f>
        <v>0</v>
      </c>
    </row>
    <row r="214" spans="1:8" hidden="1" x14ac:dyDescent="0.3">
      <c r="B214" s="14" t="s">
        <v>2146</v>
      </c>
      <c r="C214" s="988" t="b">
        <f>IF(MCDBEnabled="Yes",TRUE,FALSE)</f>
        <v>1</v>
      </c>
    </row>
    <row r="215" spans="1:8" hidden="1" x14ac:dyDescent="0.3">
      <c r="B215" s="14"/>
      <c r="C215" s="988"/>
    </row>
    <row r="216" spans="1:8" hidden="1" x14ac:dyDescent="0.3"/>
    <row r="217" spans="1:8" ht="15" hidden="1" thickBot="1" x14ac:dyDescent="0.35">
      <c r="A217" s="733"/>
      <c r="B217" s="864"/>
      <c r="C217" s="718"/>
      <c r="D217" s="718"/>
      <c r="E217" s="718"/>
      <c r="F217" s="865"/>
      <c r="G217" s="865"/>
      <c r="H217" s="866"/>
    </row>
    <row r="218" spans="1:8" ht="15" hidden="1" thickBot="1" x14ac:dyDescent="0.35">
      <c r="A218" s="733"/>
      <c r="B218" s="867" t="s">
        <v>1174</v>
      </c>
      <c r="C218" s="868" t="s">
        <v>244</v>
      </c>
      <c r="D218" s="666"/>
      <c r="E218" s="666"/>
      <c r="F218" s="853"/>
      <c r="H218" s="733"/>
    </row>
    <row r="219" spans="1:8" hidden="1" x14ac:dyDescent="0.3">
      <c r="A219" s="733"/>
      <c r="B219" s="869" t="s">
        <v>1173</v>
      </c>
      <c r="C219" s="870" t="s">
        <v>8</v>
      </c>
      <c r="D219" s="871"/>
      <c r="E219" s="871"/>
      <c r="F219" s="853"/>
      <c r="H219" s="733"/>
    </row>
    <row r="220" spans="1:8" hidden="1" x14ac:dyDescent="0.3">
      <c r="A220" s="733"/>
      <c r="B220" s="872" t="s">
        <v>775</v>
      </c>
      <c r="C220" s="873">
        <v>1</v>
      </c>
      <c r="D220" s="874"/>
      <c r="E220" s="874"/>
      <c r="F220" s="853"/>
      <c r="H220" s="733"/>
    </row>
    <row r="221" spans="1:8" hidden="1" x14ac:dyDescent="0.3">
      <c r="A221" s="733"/>
      <c r="B221" s="869" t="s">
        <v>776</v>
      </c>
      <c r="C221" s="875">
        <v>1</v>
      </c>
      <c r="D221" s="874"/>
      <c r="E221" s="874"/>
      <c r="F221" s="853"/>
      <c r="H221" s="733"/>
    </row>
    <row r="222" spans="1:8" ht="15" hidden="1" thickBot="1" x14ac:dyDescent="0.35">
      <c r="A222" s="733"/>
      <c r="C222" s="876"/>
      <c r="D222" s="876"/>
      <c r="E222" s="876"/>
      <c r="F222" s="853"/>
      <c r="H222" s="733"/>
    </row>
    <row r="223" spans="1:8" ht="15" hidden="1" thickBot="1" x14ac:dyDescent="0.35">
      <c r="A223" s="733"/>
      <c r="B223" s="877" t="s">
        <v>761</v>
      </c>
      <c r="C223" s="856" t="s">
        <v>762</v>
      </c>
      <c r="D223" s="856"/>
      <c r="E223" s="878"/>
      <c r="F223" s="856" t="s">
        <v>781</v>
      </c>
      <c r="G223" s="671"/>
      <c r="H223" s="793"/>
    </row>
    <row r="224" spans="1:8" hidden="1" x14ac:dyDescent="0.3">
      <c r="B224" s="879" t="s">
        <v>767</v>
      </c>
      <c r="C224" s="880">
        <v>8</v>
      </c>
      <c r="D224" s="880"/>
      <c r="E224" s="881"/>
      <c r="F224" s="880">
        <v>2</v>
      </c>
      <c r="G224" s="671"/>
      <c r="H224" s="793"/>
    </row>
    <row r="225" spans="1:8" hidden="1" x14ac:dyDescent="0.3">
      <c r="B225" s="882" t="s">
        <v>768</v>
      </c>
      <c r="C225" s="883">
        <v>0</v>
      </c>
      <c r="D225" s="883"/>
      <c r="E225" s="883"/>
      <c r="F225" s="883">
        <v>0</v>
      </c>
      <c r="G225" s="671"/>
      <c r="H225" s="793"/>
    </row>
    <row r="226" spans="1:8" hidden="1" x14ac:dyDescent="0.3">
      <c r="B226" s="879" t="s">
        <v>769</v>
      </c>
      <c r="C226" s="880">
        <v>0</v>
      </c>
      <c r="D226" s="880"/>
      <c r="E226" s="880"/>
      <c r="F226" s="880">
        <v>0</v>
      </c>
      <c r="G226" s="671"/>
      <c r="H226" s="793"/>
    </row>
    <row r="227" spans="1:8" hidden="1" x14ac:dyDescent="0.3">
      <c r="B227" s="882" t="s">
        <v>770</v>
      </c>
      <c r="C227" s="883">
        <v>0</v>
      </c>
      <c r="D227" s="883"/>
      <c r="E227" s="883"/>
      <c r="F227" s="883">
        <v>0</v>
      </c>
      <c r="G227" s="671"/>
      <c r="H227" s="793"/>
    </row>
    <row r="228" spans="1:8" hidden="1" x14ac:dyDescent="0.3">
      <c r="B228" s="884" t="s">
        <v>771</v>
      </c>
      <c r="C228" s="880">
        <v>0</v>
      </c>
      <c r="D228" s="880"/>
      <c r="E228" s="880"/>
      <c r="F228" s="880">
        <v>0</v>
      </c>
      <c r="G228" s="671"/>
      <c r="H228" s="793"/>
    </row>
    <row r="229" spans="1:8" hidden="1" x14ac:dyDescent="0.3">
      <c r="A229" s="733"/>
      <c r="B229" s="885" t="s">
        <v>772</v>
      </c>
      <c r="C229" s="883">
        <v>0</v>
      </c>
      <c r="D229" s="883"/>
      <c r="E229" s="883"/>
      <c r="F229" s="883">
        <v>0</v>
      </c>
      <c r="G229" s="671"/>
      <c r="H229" s="793"/>
    </row>
    <row r="230" spans="1:8" hidden="1" x14ac:dyDescent="0.3">
      <c r="A230" s="733"/>
      <c r="B230" s="884" t="s">
        <v>773</v>
      </c>
      <c r="C230" s="880">
        <v>0</v>
      </c>
      <c r="D230" s="880"/>
      <c r="E230" s="880"/>
      <c r="F230" s="880">
        <v>0</v>
      </c>
      <c r="G230" s="671"/>
      <c r="H230" s="793"/>
    </row>
    <row r="231" spans="1:8" hidden="1" x14ac:dyDescent="0.3">
      <c r="A231" s="733"/>
      <c r="B231" s="885" t="s">
        <v>774</v>
      </c>
      <c r="C231" s="883">
        <v>0</v>
      </c>
      <c r="D231" s="883"/>
      <c r="E231" s="883"/>
      <c r="F231" s="883">
        <v>0</v>
      </c>
      <c r="G231" s="671"/>
      <c r="H231" s="793"/>
    </row>
    <row r="232" spans="1:8" ht="15" hidden="1" thickBot="1" x14ac:dyDescent="0.35">
      <c r="A232" s="733"/>
      <c r="B232" s="886" t="s">
        <v>470</v>
      </c>
      <c r="C232" s="887">
        <f>IF(NumFailureDomainsPri&gt;0,C224,0)+IF(NumFailureDomainsPri&gt;1,C225,0)+IF(NumFailureDomainsPri&gt;2,C226,0)+IF(NumFailureDomainsPri&gt;3,C227,0)+IF(NumFailureDomainsPri&gt;4,C228,0)+IF(NumFailureDomainsPri&gt;5,C229,0)+IF(NumFailureDomainsPri&gt;6,C230,0)+IF(NumFailureDomainsPri&gt;7,C231,0)</f>
        <v>8</v>
      </c>
      <c r="D232" s="887"/>
      <c r="E232" s="888"/>
      <c r="F232" s="887">
        <f>IF(NumFailureDomainsPri&gt;0,F224,0)+IF(NumFailureDomainsPri&gt;1,F225,0)+IF(NumFailureDomainsPri&gt;2,F226,0)+IF(NumFailureDomainsPri&gt;3,F227,0)+IF(NumFailureDomainsPri&gt;4,F228,0)+IF(NumFailureDomainsPri&gt;5,F229,0)+IF(NumFailureDomainsPri&gt;6,F230,0)+IF(NumFailureDomainsPri&gt;7,F231,0)</f>
        <v>2</v>
      </c>
      <c r="G232" s="671"/>
      <c r="H232" s="793"/>
    </row>
    <row r="233" spans="1:8" ht="15" hidden="1" thickBot="1" x14ac:dyDescent="0.35">
      <c r="A233" s="733"/>
      <c r="B233" s="889" t="s">
        <v>777</v>
      </c>
      <c r="C233" s="890">
        <f>numDAGServersPDC</f>
        <v>8</v>
      </c>
      <c r="D233" s="891"/>
      <c r="E233" s="892"/>
      <c r="F233" s="893">
        <f>IF(ValidationCheck=TRUE,strEmpty,IF(LOWER(calcDedLaggedCopyServer)="no",calcNumDBCopyInPDC+calcNumLagCopyInPDC,calcNumDBCopyInPDC))</f>
        <v>2</v>
      </c>
      <c r="G233" s="671"/>
      <c r="H233" s="793"/>
    </row>
    <row r="234" spans="1:8" hidden="1" x14ac:dyDescent="0.3">
      <c r="A234" s="733"/>
      <c r="B234" s="671"/>
      <c r="C234" s="717"/>
      <c r="D234" s="717"/>
      <c r="E234" s="717"/>
      <c r="F234" s="733"/>
      <c r="G234" s="671"/>
      <c r="H234" s="793"/>
    </row>
    <row r="235" spans="1:8" ht="15" hidden="1" thickBot="1" x14ac:dyDescent="0.35">
      <c r="A235" s="733"/>
      <c r="B235" s="671"/>
      <c r="C235" s="717"/>
      <c r="D235" s="717"/>
      <c r="E235" s="717"/>
      <c r="F235" s="733"/>
      <c r="G235" s="671"/>
      <c r="H235" s="793"/>
    </row>
    <row r="236" spans="1:8" ht="15" hidden="1" thickBot="1" x14ac:dyDescent="0.35">
      <c r="A236" s="733"/>
      <c r="B236" s="877" t="s">
        <v>764</v>
      </c>
      <c r="C236" s="856" t="s">
        <v>762</v>
      </c>
      <c r="D236" s="856"/>
      <c r="E236" s="894"/>
      <c r="F236" s="856" t="s">
        <v>781</v>
      </c>
      <c r="G236" s="671"/>
      <c r="H236" s="793"/>
    </row>
    <row r="237" spans="1:8" hidden="1" x14ac:dyDescent="0.3">
      <c r="A237" s="733"/>
      <c r="B237" s="879" t="s">
        <v>767</v>
      </c>
      <c r="C237" s="880">
        <v>8</v>
      </c>
      <c r="D237" s="880"/>
      <c r="E237" s="881"/>
      <c r="F237" s="880">
        <v>2</v>
      </c>
      <c r="G237" s="671"/>
      <c r="H237" s="793"/>
    </row>
    <row r="238" spans="1:8" hidden="1" x14ac:dyDescent="0.3">
      <c r="A238" s="733"/>
      <c r="B238" s="882" t="s">
        <v>768</v>
      </c>
      <c r="C238" s="883">
        <v>0</v>
      </c>
      <c r="D238" s="883"/>
      <c r="E238" s="883"/>
      <c r="F238" s="883">
        <v>0</v>
      </c>
      <c r="G238" s="671"/>
      <c r="H238" s="793"/>
    </row>
    <row r="239" spans="1:8" hidden="1" x14ac:dyDescent="0.3">
      <c r="A239" s="733"/>
      <c r="B239" s="879" t="s">
        <v>769</v>
      </c>
      <c r="C239" s="880">
        <v>0</v>
      </c>
      <c r="D239" s="880"/>
      <c r="E239" s="880"/>
      <c r="F239" s="880">
        <v>0</v>
      </c>
      <c r="G239" s="671"/>
      <c r="H239" s="793"/>
    </row>
    <row r="240" spans="1:8" hidden="1" x14ac:dyDescent="0.3">
      <c r="A240" s="733"/>
      <c r="B240" s="882" t="s">
        <v>770</v>
      </c>
      <c r="C240" s="883">
        <v>0</v>
      </c>
      <c r="D240" s="883"/>
      <c r="E240" s="883"/>
      <c r="F240" s="883">
        <v>0</v>
      </c>
      <c r="G240" s="671"/>
      <c r="H240" s="793"/>
    </row>
    <row r="241" spans="1:8" hidden="1" x14ac:dyDescent="0.3">
      <c r="A241" s="733"/>
      <c r="B241" s="879" t="s">
        <v>771</v>
      </c>
      <c r="C241" s="880">
        <v>0</v>
      </c>
      <c r="D241" s="880"/>
      <c r="E241" s="880"/>
      <c r="F241" s="880">
        <v>0</v>
      </c>
      <c r="G241" s="671"/>
      <c r="H241" s="793"/>
    </row>
    <row r="242" spans="1:8" hidden="1" x14ac:dyDescent="0.3">
      <c r="A242" s="733"/>
      <c r="B242" s="882" t="s">
        <v>772</v>
      </c>
      <c r="C242" s="883">
        <v>0</v>
      </c>
      <c r="D242" s="883"/>
      <c r="E242" s="883"/>
      <c r="F242" s="883">
        <v>0</v>
      </c>
      <c r="G242" s="671"/>
      <c r="H242" s="793"/>
    </row>
    <row r="243" spans="1:8" hidden="1" x14ac:dyDescent="0.3">
      <c r="A243" s="733"/>
      <c r="B243" s="879" t="s">
        <v>773</v>
      </c>
      <c r="C243" s="880">
        <v>0</v>
      </c>
      <c r="D243" s="880"/>
      <c r="E243" s="880"/>
      <c r="F243" s="880">
        <v>0</v>
      </c>
      <c r="G243" s="671"/>
      <c r="H243" s="793"/>
    </row>
    <row r="244" spans="1:8" hidden="1" x14ac:dyDescent="0.3">
      <c r="B244" s="882" t="s">
        <v>774</v>
      </c>
      <c r="C244" s="883">
        <v>0</v>
      </c>
      <c r="D244" s="883"/>
      <c r="E244" s="883"/>
      <c r="F244" s="883">
        <v>0</v>
      </c>
      <c r="G244" s="671"/>
      <c r="H244" s="793"/>
    </row>
    <row r="245" spans="1:8" ht="15" hidden="1" thickBot="1" x14ac:dyDescent="0.35">
      <c r="B245" s="895" t="s">
        <v>470</v>
      </c>
      <c r="C245" s="896">
        <f>IF(NumFailureDomainsSec&gt;0,C237,0)+IF(NumFailureDomainsSec&gt;1,C238,0)+IF(NumFailureDomainsSec&gt;2,C239,0)+IF(NumFailureDomainsSec&gt;3,C240,0)+IF(NumFailureDomainsSec&gt;4,C241,0)+IF(NumFailureDomainsSec&gt;5,C242,0)+IF(NumFailureDomainsSec&gt;6,C243,0)+IF(NumFailureDomainsSec&gt;7,C244,0)</f>
        <v>8</v>
      </c>
      <c r="D245" s="896"/>
      <c r="E245" s="888"/>
      <c r="F245" s="896">
        <f>IF(NumFailureDomainsSec&gt;0,F237,0)+IF(NumFailureDomainsSec&gt;1,F238,0)+IF(NumFailureDomainsSec&gt;2,F239,0)+IF(NumFailureDomainsSec&gt;3,F240,0)+IF(NumFailureDomainsSec&gt;4,F241,0)+IF(NumFailureDomainsSec&gt;5,F242,0)+IF(NumFailureDomainsSec&gt;6,F243,0)+IF(NumFailureDomainsSec&gt;7,F244,0)</f>
        <v>2</v>
      </c>
      <c r="G245" s="671"/>
      <c r="H245" s="793"/>
    </row>
    <row r="246" spans="1:8" ht="35.25" hidden="1" customHeight="1" thickBot="1" x14ac:dyDescent="0.35">
      <c r="B246" s="889" t="s">
        <v>777</v>
      </c>
      <c r="C246" s="897">
        <f>IF(numDAGServersSDC=strEmpty,0,numDAGServersSDC)</f>
        <v>0</v>
      </c>
      <c r="D246" s="898"/>
      <c r="E246" s="899"/>
      <c r="F246" s="900">
        <f>IF(ValidationCheck=TRUE,strEmpty,IF(LOWER(calcDedLaggedCopyServer)="no",calcNumDBCopyInSDC+calcNumLagCopyInSDC,calcNumDBCopyInSDC))</f>
        <v>2</v>
      </c>
      <c r="G246" s="671"/>
      <c r="H246" s="793"/>
    </row>
    <row r="247" spans="1:8" hidden="1" x14ac:dyDescent="0.3">
      <c r="C247" s="876"/>
      <c r="D247" s="876"/>
      <c r="E247" s="876"/>
      <c r="F247" s="853"/>
      <c r="G247" s="671"/>
      <c r="H247" s="793"/>
    </row>
    <row r="248" spans="1:8" hidden="1" x14ac:dyDescent="0.3">
      <c r="B248" s="901"/>
      <c r="C248" s="902"/>
      <c r="D248" s="902"/>
      <c r="E248" s="902"/>
      <c r="F248" s="853"/>
      <c r="G248" s="671"/>
      <c r="H248" s="793"/>
    </row>
    <row r="249" spans="1:8" hidden="1" x14ac:dyDescent="0.3">
      <c r="B249" s="903" t="s">
        <v>778</v>
      </c>
      <c r="C249" s="878"/>
      <c r="D249" s="878"/>
      <c r="E249" s="878"/>
      <c r="F249" s="878"/>
      <c r="G249" s="878"/>
      <c r="H249" s="894"/>
    </row>
    <row r="250" spans="1:8" ht="14.5" hidden="1" customHeight="1" x14ac:dyDescent="0.3">
      <c r="B250" s="904" t="s">
        <v>2147</v>
      </c>
      <c r="C250" s="905"/>
      <c r="D250" s="905"/>
      <c r="E250" s="905"/>
      <c r="F250" s="905"/>
      <c r="G250" s="905"/>
      <c r="H250" s="906"/>
    </row>
    <row r="251" spans="1:8" ht="14.5" hidden="1" customHeight="1" x14ac:dyDescent="0.3">
      <c r="B251" s="990"/>
      <c r="C251" s="991"/>
      <c r="D251" s="991"/>
      <c r="E251" s="991"/>
      <c r="F251" s="992"/>
      <c r="G251" s="991"/>
      <c r="H251" s="993"/>
    </row>
    <row r="252" spans="1:8" hidden="1" x14ac:dyDescent="0.3"/>
    <row r="253" spans="1:8" hidden="1" x14ac:dyDescent="0.3"/>
    <row r="254" spans="1:8" hidden="1" x14ac:dyDescent="0.3"/>
    <row r="255" spans="1:8" hidden="1" x14ac:dyDescent="0.3"/>
  </sheetData>
  <dataConsolidate/>
  <mergeCells count="26">
    <mergeCell ref="B179:C179"/>
    <mergeCell ref="B177:G177"/>
    <mergeCell ref="G147:G148"/>
    <mergeCell ref="B15:H15"/>
    <mergeCell ref="B46:H46"/>
    <mergeCell ref="B18:H19"/>
    <mergeCell ref="B47:H48"/>
    <mergeCell ref="B106:H107"/>
    <mergeCell ref="B95:H95"/>
    <mergeCell ref="B16:H16"/>
    <mergeCell ref="B17:H17"/>
    <mergeCell ref="B105:H105"/>
    <mergeCell ref="B96:H97"/>
    <mergeCell ref="B131:H131"/>
    <mergeCell ref="B132:H133"/>
    <mergeCell ref="G118:G128"/>
    <mergeCell ref="B1:F1"/>
    <mergeCell ref="B14:H14"/>
    <mergeCell ref="B8:H8"/>
    <mergeCell ref="B13:H13"/>
    <mergeCell ref="B7:H7"/>
    <mergeCell ref="B9:G9"/>
    <mergeCell ref="B3:H3"/>
    <mergeCell ref="B2:C2"/>
    <mergeCell ref="B10:H11"/>
    <mergeCell ref="B5:C5"/>
  </mergeCells>
  <phoneticPr fontId="24" type="noConversion"/>
  <conditionalFormatting sqref="G29:H32">
    <cfRule type="expression" dxfId="1267" priority="162" stopIfTrue="1">
      <formula>numLagCopies=0</formula>
    </cfRule>
  </conditionalFormatting>
  <conditionalFormatting sqref="G36:H36">
    <cfRule type="expression" dxfId="1266" priority="144">
      <formula>DBSizeOverride="Default"</formula>
    </cfRule>
  </conditionalFormatting>
  <conditionalFormatting sqref="G71:H72">
    <cfRule type="expression" dxfId="1265" priority="337">
      <formula>Tier3PredictIOPS="Yes"</formula>
    </cfRule>
  </conditionalFormatting>
  <conditionalFormatting sqref="B92:C93">
    <cfRule type="expression" dxfId="1264" priority="336">
      <formula>Tier2PredictIOPS="Yes"</formula>
    </cfRule>
  </conditionalFormatting>
  <conditionalFormatting sqref="B71:C72">
    <cfRule type="expression" dxfId="1263" priority="335">
      <formula>Tier1PredictIOPS="Yes"</formula>
    </cfRule>
  </conditionalFormatting>
  <conditionalFormatting sqref="H36">
    <cfRule type="expression" dxfId="1262" priority="321">
      <formula>AND(DBSizeOverride="Custom",CustomMaxDBSize=0)</formula>
    </cfRule>
  </conditionalFormatting>
  <conditionalFormatting sqref="B101:C101">
    <cfRule type="expression" dxfId="1261" priority="368">
      <formula>BackupMethod=BackupMethod_ExchangeNative</formula>
    </cfRule>
  </conditionalFormatting>
  <conditionalFormatting sqref="G22:H26">
    <cfRule type="expression" dxfId="1260" priority="17" stopIfTrue="1">
      <formula>SiteResilienceEnabled="No"</formula>
    </cfRule>
  </conditionalFormatting>
  <conditionalFormatting sqref="B120:D120">
    <cfRule type="expression" dxfId="1259" priority="4">
      <formula>AND(HAOption="Yes",DBLogIsolation="No")</formula>
    </cfRule>
  </conditionalFormatting>
  <conditionalFormatting sqref="C102">
    <cfRule type="expression" dxfId="1258" priority="420">
      <formula>AND(HAOption="Yes",BackupMethod=BackupMethod_ExchangeNative,BackupFailureTol&lt;varMinENPCopyCount)</formula>
    </cfRule>
  </conditionalFormatting>
  <conditionalFormatting sqref="C181:C204">
    <cfRule type="expression" dxfId="1257" priority="342">
      <formula>IF(AND(SiteResilienceEnabled="Yes",SUM($C$181:$C$204)&gt;0,SUM($C$181:$C$204)&lt;1),TRUE,FALSE)</formula>
    </cfRule>
  </conditionalFormatting>
  <conditionalFormatting sqref="G55:H72">
    <cfRule type="expression" dxfId="1256" priority="20" stopIfTrue="1">
      <formula>NumTier3MBX=0</formula>
    </cfRule>
  </conditionalFormatting>
  <conditionalFormatting sqref="B76:C93">
    <cfRule type="expression" dxfId="1255" priority="21" stopIfTrue="1">
      <formula>NumTier2MBX=0</formula>
    </cfRule>
  </conditionalFormatting>
  <conditionalFormatting sqref="B55:C72">
    <cfRule type="expression" dxfId="1254" priority="22" stopIfTrue="1">
      <formula>NumTier1MBX=0</formula>
    </cfRule>
  </conditionalFormatting>
  <conditionalFormatting sqref="B139:E139">
    <cfRule type="expression" dxfId="1253" priority="133">
      <formula>OR(calcDedLaggedCopyServer="No",numLagCopies=0)</formula>
    </cfRule>
  </conditionalFormatting>
  <conditionalFormatting sqref="B40:C40">
    <cfRule type="expression" dxfId="1252" priority="324">
      <formula>NetworkCompression="Disabled"</formula>
    </cfRule>
  </conditionalFormatting>
  <conditionalFormatting sqref="G38:H38">
    <cfRule type="expression" dxfId="1251" priority="278">
      <formula>NumDBsOverride="Yes"</formula>
    </cfRule>
  </conditionalFormatting>
  <conditionalFormatting sqref="H38">
    <cfRule type="expression" dxfId="1250" priority="322">
      <formula>AND(NumDBsOverride="No",CustomNumDBs&lt;&gt;0,MOD(CustomNumDBs,varDiskGroup)&lt;&gt;0)</formula>
    </cfRule>
    <cfRule type="expression" dxfId="1249" priority="423">
      <formula>AND(NumDBsOverride="No",CustomNumDBs=0)</formula>
    </cfRule>
    <cfRule type="expression" dxfId="1248" priority="428">
      <formula>IF(NumDBsOverride="No",IF(HAOption="Yes",IF(CustomNumDBs&gt;calcMaxNumDBDAG,TRUE,FALSE),IF(CustomNumDBs&gt;calcMaxNumDBs,TRUE,FALSE)))</formula>
    </cfRule>
  </conditionalFormatting>
  <conditionalFormatting sqref="D119">
    <cfRule type="expression" dxfId="1247" priority="165">
      <formula>OR(JBODDBIOCheckPDC,DBDiskRPMPDC=strEmpty)</formula>
    </cfRule>
    <cfRule type="expression" dxfId="1246" priority="315">
      <formula>VirtDiskCheckPDC</formula>
    </cfRule>
  </conditionalFormatting>
  <conditionalFormatting sqref="G92:H93">
    <cfRule type="expression" dxfId="1245" priority="310">
      <formula>Tier4PredictIOPS="Yes"</formula>
    </cfRule>
  </conditionalFormatting>
  <conditionalFormatting sqref="G76:H93">
    <cfRule type="expression" dxfId="1244" priority="19" stopIfTrue="1">
      <formula>NumTier4MBX=0</formula>
    </cfRule>
  </conditionalFormatting>
  <conditionalFormatting sqref="B138:E138">
    <cfRule type="expression" dxfId="1243" priority="132">
      <formula>SiteResilienceEnabled="No"</formula>
    </cfRule>
  </conditionalFormatting>
  <conditionalFormatting sqref="D140:E140">
    <cfRule type="expression" dxfId="1242" priority="301">
      <formula>IF(OR(calcDedLaggedCopyServer="No",numLagCopies=0),TRUE,FALSE)</formula>
    </cfRule>
  </conditionalFormatting>
  <conditionalFormatting sqref="D126">
    <cfRule type="expression" dxfId="1241" priority="46">
      <formula>AND(SiteResilienceEnabled="Yes",OR(JBODDBIOCheckSDC,DBDiskRPMSDC=strEmpty))</formula>
    </cfRule>
    <cfRule type="expression" dxfId="1240" priority="280">
      <formula>VirtDiskCheckSDC</formula>
    </cfRule>
  </conditionalFormatting>
  <conditionalFormatting sqref="G39:H39">
    <cfRule type="expression" dxfId="1239" priority="300">
      <formula>OR(HAOption="No",NumDBsOverride="No")</formula>
    </cfRule>
  </conditionalFormatting>
  <conditionalFormatting sqref="B142:D143">
    <cfRule type="expression" dxfId="1238" priority="277">
      <formula>VirtualizationEnabled="No"</formula>
    </cfRule>
  </conditionalFormatting>
  <conditionalFormatting sqref="B111:C112">
    <cfRule type="expression" dxfId="1237" priority="154">
      <formula>JBODEvaluation="No"</formula>
    </cfRule>
  </conditionalFormatting>
  <conditionalFormatting sqref="C224:E231">
    <cfRule type="expression" dxfId="1236" priority="245">
      <formula>IF(calcFailureDomainServersDC1&lt;&gt;numDAGServersPDC,1,0)</formula>
    </cfRule>
  </conditionalFormatting>
  <conditionalFormatting sqref="C237:E244">
    <cfRule type="expression" dxfId="1235" priority="244">
      <formula>IF(calcFailureDomainServersDC2&lt;&gt;numDAGServersSDC,1,0)</formula>
    </cfRule>
  </conditionalFormatting>
  <conditionalFormatting sqref="C220:E220">
    <cfRule type="expression" dxfId="1234" priority="243">
      <formula>IF(numDAGServersPDC/2+0.5&lt;$C$220,1,0)</formula>
    </cfRule>
  </conditionalFormatting>
  <conditionalFormatting sqref="B220:E221 B224:E232 F224:F233 C233:E233 B237:E245 F237:F246 C246:E246">
    <cfRule type="expression" dxfId="1233" priority="164" stopIfTrue="1">
      <formula>IF(FailureDomainsEnabled="Yes",FALSE,TRUE)</formula>
    </cfRule>
  </conditionalFormatting>
  <conditionalFormatting sqref="B237:E245">
    <cfRule type="expression" dxfId="1232" priority="224" stopIfTrue="1">
      <formula>IF(LOWER(SiteResilienceEnabled)&lt;&gt;"yes",1,0)</formula>
    </cfRule>
  </conditionalFormatting>
  <conditionalFormatting sqref="C224:E224">
    <cfRule type="expression" dxfId="1231" priority="239">
      <formula>IF(AND(NumFailureDomainsPri&gt;0,$C$224=0),1,0)</formula>
    </cfRule>
  </conditionalFormatting>
  <conditionalFormatting sqref="C225:E225">
    <cfRule type="expression" dxfId="1230" priority="238">
      <formula>IF(AND(NumFailureDomainsPri&gt;1,$C$225=0),1,0)</formula>
    </cfRule>
  </conditionalFormatting>
  <conditionalFormatting sqref="C226:E226">
    <cfRule type="expression" dxfId="1229" priority="237">
      <formula>IF(AND(NumFailureDomainsPri&gt;2,$C$226=0),1,0)</formula>
    </cfRule>
  </conditionalFormatting>
  <conditionalFormatting sqref="C227:E227">
    <cfRule type="expression" dxfId="1228" priority="236">
      <formula>IF(AND(NumFailureDomainsPri&gt;3,$C$227=0),1,0)</formula>
    </cfRule>
  </conditionalFormatting>
  <conditionalFormatting sqref="C228:E228">
    <cfRule type="expression" dxfId="1227" priority="235">
      <formula>IF(AND(NumFailureDomainsPri&gt;4,$C$228=0),1,0)</formula>
    </cfRule>
  </conditionalFormatting>
  <conditionalFormatting sqref="C229:E229">
    <cfRule type="expression" dxfId="1226" priority="234">
      <formula>IF(AND(NumFailureDomainsPri&gt;5,$C$229=0),1,0)</formula>
    </cfRule>
  </conditionalFormatting>
  <conditionalFormatting sqref="C230:E230">
    <cfRule type="expression" dxfId="1225" priority="233">
      <formula>IF(AND(NumFailureDomainsPri&gt;6,$C$230=0),1,0)</formula>
    </cfRule>
  </conditionalFormatting>
  <conditionalFormatting sqref="C231:E231">
    <cfRule type="expression" dxfId="1224" priority="232">
      <formula>IF(AND(NumFailureDomainsPri&gt;7,$C$231=0),1,0)</formula>
    </cfRule>
  </conditionalFormatting>
  <conditionalFormatting sqref="C237:E237">
    <cfRule type="expression" dxfId="1223" priority="241">
      <formula>IF(AND(NumFailureDomainsSec&gt;0,$C$237=0,FailureDomainsEnabled="Yes"),1,0)</formula>
    </cfRule>
  </conditionalFormatting>
  <conditionalFormatting sqref="C238:E238">
    <cfRule type="expression" dxfId="1222" priority="231">
      <formula>IF(AND(NumFailureDomainsSec&gt;1,$C$238=0),1,0)</formula>
    </cfRule>
  </conditionalFormatting>
  <conditionalFormatting sqref="C239:E239">
    <cfRule type="expression" dxfId="1221" priority="230">
      <formula>IF(AND(NumFailureDomainsSec&gt;2,$C$239=0),1,0)</formula>
    </cfRule>
  </conditionalFormatting>
  <conditionalFormatting sqref="C240:E240">
    <cfRule type="expression" dxfId="1220" priority="229">
      <formula>IF(AND(NumFailureDomainsSec&gt;3,$C$240=0),1,0)</formula>
    </cfRule>
  </conditionalFormatting>
  <conditionalFormatting sqref="C241:E241">
    <cfRule type="expression" dxfId="1219" priority="228">
      <formula>IF(AND(NumFailureDomainsSec&gt;4,$C$241=0),1,0)</formula>
    </cfRule>
  </conditionalFormatting>
  <conditionalFormatting sqref="C242:E242">
    <cfRule type="expression" dxfId="1218" priority="227">
      <formula>IF(AND(NumFailureDomainsSec&gt;5,$C$242=0),1,0)</formula>
    </cfRule>
  </conditionalFormatting>
  <conditionalFormatting sqref="C243:E243">
    <cfRule type="expression" dxfId="1217" priority="226">
      <formula>IF(AND(NumFailureDomainsSec&gt;6,$C$243=0),1,0)</formula>
    </cfRule>
  </conditionalFormatting>
  <conditionalFormatting sqref="C244:E244">
    <cfRule type="expression" dxfId="1216" priority="225">
      <formula>IF(AND(NumFailureDomainsSec&gt;7,$C$244=0),1,0)</formula>
    </cfRule>
  </conditionalFormatting>
  <conditionalFormatting sqref="B250">
    <cfRule type="expression" dxfId="1215" priority="223">
      <formula>IF(FailureDomainStatusField &lt;&gt; varStatusOK_FD,1,0)</formula>
    </cfRule>
  </conditionalFormatting>
  <conditionalFormatting sqref="B225:E225">
    <cfRule type="expression" dxfId="1214" priority="222" stopIfTrue="1">
      <formula>IF(NumFailureDomainsPri&lt;2,1,0)</formula>
    </cfRule>
  </conditionalFormatting>
  <conditionalFormatting sqref="B226:E226">
    <cfRule type="expression" dxfId="1213" priority="221" stopIfTrue="1">
      <formula>IF(NumFailureDomainsPri&lt;3,1,0)</formula>
    </cfRule>
  </conditionalFormatting>
  <conditionalFormatting sqref="B227:E227">
    <cfRule type="expression" dxfId="1212" priority="220" stopIfTrue="1">
      <formula>IF(NumFailureDomainsPri&lt;4,1,0)</formula>
    </cfRule>
  </conditionalFormatting>
  <conditionalFormatting sqref="B228:E228">
    <cfRule type="expression" dxfId="1211" priority="219" stopIfTrue="1">
      <formula>IF(NumFailureDomainsPri&lt;5,1,0)</formula>
    </cfRule>
  </conditionalFormatting>
  <conditionalFormatting sqref="B229:E229">
    <cfRule type="expression" dxfId="1210" priority="218" stopIfTrue="1">
      <formula>IF(NumFailureDomainsPri&lt;6,1,0)</formula>
    </cfRule>
  </conditionalFormatting>
  <conditionalFormatting sqref="B230:E230">
    <cfRule type="expression" dxfId="1209" priority="217" stopIfTrue="1">
      <formula>IF(NumFailureDomainsPri&lt;7,1,0)</formula>
    </cfRule>
  </conditionalFormatting>
  <conditionalFormatting sqref="B231:E231">
    <cfRule type="expression" dxfId="1208" priority="216" stopIfTrue="1">
      <formula>IF(NumFailureDomainsPri&lt;8,1,0)</formula>
    </cfRule>
  </conditionalFormatting>
  <conditionalFormatting sqref="B237:E237">
    <cfRule type="expression" dxfId="1207" priority="215" stopIfTrue="1">
      <formula>IF(NumFailureDomainsSec&lt;1,1,0)</formula>
    </cfRule>
  </conditionalFormatting>
  <conditionalFormatting sqref="B238:E238">
    <cfRule type="expression" dxfId="1206" priority="214" stopIfTrue="1">
      <formula>IF(NumFailureDomainsSec&lt;2,1,0)</formula>
    </cfRule>
  </conditionalFormatting>
  <conditionalFormatting sqref="B239:E239">
    <cfRule type="expression" dxfId="1205" priority="213" stopIfTrue="1">
      <formula>IF(NumFailureDomainsSec&lt;3,1,0)</formula>
    </cfRule>
  </conditionalFormatting>
  <conditionalFormatting sqref="B240:E240">
    <cfRule type="expression" dxfId="1204" priority="212" stopIfTrue="1">
      <formula>IF(NumFailureDomainsSec&lt;4,1,0)</formula>
    </cfRule>
  </conditionalFormatting>
  <conditionalFormatting sqref="B241:E241">
    <cfRule type="expression" dxfId="1203" priority="211" stopIfTrue="1">
      <formula>IF(NumFailureDomainsSec&lt;5,1,0)</formula>
    </cfRule>
  </conditionalFormatting>
  <conditionalFormatting sqref="B242:E242">
    <cfRule type="expression" dxfId="1202" priority="210" stopIfTrue="1">
      <formula>IF(NumFailureDomainsSec&lt;6,1,0)</formula>
    </cfRule>
  </conditionalFormatting>
  <conditionalFormatting sqref="B243:E243">
    <cfRule type="expression" dxfId="1201" priority="209" stopIfTrue="1">
      <formula>IF(NumFailureDomainsSec&lt;7,1,0)</formula>
    </cfRule>
  </conditionalFormatting>
  <conditionalFormatting sqref="B244:E244">
    <cfRule type="expression" dxfId="1200" priority="208" stopIfTrue="1">
      <formula>IF(NumFailureDomainsSec&lt;8,1,0)</formula>
    </cfRule>
  </conditionalFormatting>
  <conditionalFormatting sqref="B248:E248 D160:E175 B217:H217">
    <cfRule type="expression" dxfId="1199" priority="206" stopIfTrue="1">
      <formula>IF(numDAGServersPDC+numDAGServersSDC&lt;ROW(B160)-ROW($B$158),1,0)</formula>
    </cfRule>
  </conditionalFormatting>
  <conditionalFormatting sqref="F224:F231">
    <cfRule type="expression" dxfId="1198" priority="240">
      <formula>IF(calcFailureDomainCopiesDC1&lt;&gt;calcFailureDomainTargetCopiesDC1,1,0)</formula>
    </cfRule>
  </conditionalFormatting>
  <conditionalFormatting sqref="F224">
    <cfRule type="expression" dxfId="1197" priority="204">
      <formula>IF(AND(NumFailureDomainsPri&gt;0,$F$224=0),1,0)</formula>
    </cfRule>
  </conditionalFormatting>
  <conditionalFormatting sqref="F225">
    <cfRule type="expression" dxfId="1196" priority="203">
      <formula>IF(AND(NumFailureDomainsPri&gt;1,$F$225=0),1,0)</formula>
    </cfRule>
  </conditionalFormatting>
  <conditionalFormatting sqref="F226">
    <cfRule type="expression" dxfId="1195" priority="202">
      <formula>IF(AND(NumFailureDomainsPri&gt;2,$F$226=0),1,0)</formula>
    </cfRule>
  </conditionalFormatting>
  <conditionalFormatting sqref="F227">
    <cfRule type="expression" dxfId="1194" priority="201">
      <formula>IF(AND(NumFailureDomainsPri&gt;3,$F$227=0),1,0)</formula>
    </cfRule>
  </conditionalFormatting>
  <conditionalFormatting sqref="F228">
    <cfRule type="expression" dxfId="1193" priority="200">
      <formula>IF(AND(NumFailureDomainsPri&gt;4,$F$228=0),1,0)</formula>
    </cfRule>
  </conditionalFormatting>
  <conditionalFormatting sqref="F229">
    <cfRule type="expression" dxfId="1192" priority="199">
      <formula>IF(AND(NumFailureDomainsPri&gt;5,$F$229=0),1,0)</formula>
    </cfRule>
  </conditionalFormatting>
  <conditionalFormatting sqref="F230">
    <cfRule type="expression" dxfId="1191" priority="198">
      <formula>IF(AND(NumFailureDomainsPri&gt;6,$F$230=0),1,0)</formula>
    </cfRule>
  </conditionalFormatting>
  <conditionalFormatting sqref="F231">
    <cfRule type="expression" dxfId="1190" priority="197">
      <formula>IF(AND(NumFailureDomainsPri&gt;7,$F$231=0),1,0)</formula>
    </cfRule>
  </conditionalFormatting>
  <conditionalFormatting sqref="F225">
    <cfRule type="expression" dxfId="1189" priority="195" stopIfTrue="1">
      <formula>IF(NumFailureDomainsPri&lt;2,1,0)</formula>
    </cfRule>
  </conditionalFormatting>
  <conditionalFormatting sqref="F226">
    <cfRule type="expression" dxfId="1188" priority="194" stopIfTrue="1">
      <formula>IF(NumFailureDomainsPri&lt;3,1,0)</formula>
    </cfRule>
  </conditionalFormatting>
  <conditionalFormatting sqref="F227">
    <cfRule type="expression" dxfId="1187" priority="193" stopIfTrue="1">
      <formula>IF(NumFailureDomainsPri&lt;4,1,0)</formula>
    </cfRule>
  </conditionalFormatting>
  <conditionalFormatting sqref="F228">
    <cfRule type="expression" dxfId="1186" priority="192" stopIfTrue="1">
      <formula>IF(NumFailureDomainsPri&lt;5,1,0)</formula>
    </cfRule>
  </conditionalFormatting>
  <conditionalFormatting sqref="F229">
    <cfRule type="expression" dxfId="1185" priority="191" stopIfTrue="1">
      <formula>IF(NumFailureDomainsPri&lt;6,1,0)</formula>
    </cfRule>
  </conditionalFormatting>
  <conditionalFormatting sqref="F230">
    <cfRule type="expression" dxfId="1184" priority="190" stopIfTrue="1">
      <formula>IF(NumFailureDomainsPri&lt;7,1,0)</formula>
    </cfRule>
  </conditionalFormatting>
  <conditionalFormatting sqref="F231">
    <cfRule type="expression" dxfId="1183" priority="189" stopIfTrue="1">
      <formula>IF(NumFailureDomainsPri&lt;8,1,0)</formula>
    </cfRule>
  </conditionalFormatting>
  <conditionalFormatting sqref="F237:F244">
    <cfRule type="expression" dxfId="1182" priority="196">
      <formula>IF(calcFailureDomainCopiesDC2&lt;&gt;calcFailureDomainTargetCopiesDC2,1,0)</formula>
    </cfRule>
  </conditionalFormatting>
  <conditionalFormatting sqref="F237:F245">
    <cfRule type="expression" dxfId="1181" priority="179" stopIfTrue="1">
      <formula>IF(LOWER(SiteResilienceEnabled)&lt;&gt;"yes",1,0)</formula>
    </cfRule>
  </conditionalFormatting>
  <conditionalFormatting sqref="F237">
    <cfRule type="expression" dxfId="1180" priority="188">
      <formula>IF(AND(NumFailureDomainsSec&gt;0,$F$237=0),1,0)</formula>
    </cfRule>
  </conditionalFormatting>
  <conditionalFormatting sqref="F238">
    <cfRule type="expression" dxfId="1179" priority="187">
      <formula>IF(AND(NumFailureDomainsSec&gt;1,$F$238=0),1,0)</formula>
    </cfRule>
  </conditionalFormatting>
  <conditionalFormatting sqref="F239">
    <cfRule type="expression" dxfId="1178" priority="186">
      <formula>IF(AND(NumFailureDomainsSec&gt;2,$F$239=0),1,0)</formula>
    </cfRule>
  </conditionalFormatting>
  <conditionalFormatting sqref="F240">
    <cfRule type="expression" dxfId="1177" priority="185">
      <formula>IF(AND(NumFailureDomainsSec&gt;3,$F$240=0),1,0)</formula>
    </cfRule>
  </conditionalFormatting>
  <conditionalFormatting sqref="F241">
    <cfRule type="expression" dxfId="1176" priority="184">
      <formula>IF(AND(NumFailureDomainsSec&gt;4,$F$241=0),1,0)</formula>
    </cfRule>
  </conditionalFormatting>
  <conditionalFormatting sqref="F242">
    <cfRule type="expression" dxfId="1175" priority="183">
      <formula>IF(AND(NumFailureDomainsSec&gt;5,$F$242=0),1,0)</formula>
    </cfRule>
  </conditionalFormatting>
  <conditionalFormatting sqref="F243">
    <cfRule type="expression" dxfId="1174" priority="182">
      <formula>IF(AND(NumFailureDomainsSec&gt;6,$F$243=0),1,0)</formula>
    </cfRule>
  </conditionalFormatting>
  <conditionalFormatting sqref="F244">
    <cfRule type="expression" dxfId="1173" priority="181">
      <formula>IF(AND(NumFailureDomainsSec&gt;7,$F$244=0),1,0)</formula>
    </cfRule>
  </conditionalFormatting>
  <conditionalFormatting sqref="F237">
    <cfRule type="expression" dxfId="1172" priority="178" stopIfTrue="1">
      <formula>IF(NumFailureDomainsSec&lt;1,1,0)</formula>
    </cfRule>
  </conditionalFormatting>
  <conditionalFormatting sqref="F238">
    <cfRule type="expression" dxfId="1171" priority="177" stopIfTrue="1">
      <formula>IF(NumFailureDomainsSec&lt;2,1,0)</formula>
    </cfRule>
  </conditionalFormatting>
  <conditionalFormatting sqref="F239">
    <cfRule type="expression" dxfId="1170" priority="176" stopIfTrue="1">
      <formula>IF(NumFailureDomainsSec&lt;3,1,0)</formula>
    </cfRule>
  </conditionalFormatting>
  <conditionalFormatting sqref="F240">
    <cfRule type="expression" dxfId="1169" priority="175" stopIfTrue="1">
      <formula>IF(NumFailureDomainsSec&lt;4,1,0)</formula>
    </cfRule>
  </conditionalFormatting>
  <conditionalFormatting sqref="F241">
    <cfRule type="expression" dxfId="1168" priority="174" stopIfTrue="1">
      <formula>IF(NumFailureDomainsSec&lt;5,1,0)</formula>
    </cfRule>
  </conditionalFormatting>
  <conditionalFormatting sqref="F242">
    <cfRule type="expression" dxfId="1167" priority="173" stopIfTrue="1">
      <formula>IF(NumFailureDomainsSec&lt;6,1,0)</formula>
    </cfRule>
  </conditionalFormatting>
  <conditionalFormatting sqref="F243">
    <cfRule type="expression" dxfId="1166" priority="172" stopIfTrue="1">
      <formula>IF(NumFailureDomainsSec&lt;7,1,0)</formula>
    </cfRule>
  </conditionalFormatting>
  <conditionalFormatting sqref="F244">
    <cfRule type="expression" dxfId="1165" priority="171" stopIfTrue="1">
      <formula>IF(NumFailureDomainsSec&lt;8,1,0)</formula>
    </cfRule>
  </conditionalFormatting>
  <conditionalFormatting sqref="C221:E221 C247:E247">
    <cfRule type="expression" dxfId="1164" priority="500">
      <formula>IF(numDAGServersSDC/2+0.5&lt;$C$221,1,0)</formula>
    </cfRule>
  </conditionalFormatting>
  <conditionalFormatting sqref="B219:E219">
    <cfRule type="expression" dxfId="1163" priority="163" stopIfTrue="1">
      <formula>IF(LOWER(HAOption)&lt;&gt;"yes",1,0)</formula>
    </cfRule>
  </conditionalFormatting>
  <conditionalFormatting sqref="C219:E219">
    <cfRule type="expression" dxfId="1162" priority="180">
      <formula>IF(numDAGServersSDC/2+0.5&lt;$C$221,1,0)</formula>
    </cfRule>
  </conditionalFormatting>
  <conditionalFormatting sqref="B128:D128">
    <cfRule type="expression" dxfId="1161" priority="41">
      <formula>RestoreVol="No"</formula>
    </cfRule>
  </conditionalFormatting>
  <conditionalFormatting sqref="B114:C114">
    <cfRule type="expression" dxfId="1160" priority="274">
      <formula>calcDiskLimitOverride="Yes"</formula>
    </cfRule>
  </conditionalFormatting>
  <conditionalFormatting sqref="G20">
    <cfRule type="expression" dxfId="1159" priority="152">
      <formula>IF(AND(LOWER(varWizardConfiguration)="yes",LOWER(varWizardTamperLock)="secure"),1,0)</formula>
    </cfRule>
    <cfRule type="expression" dxfId="1158" priority="153">
      <formula>IF(AND(LOWER(varWizardConfiguration)="yes",LOWER(varWizardTamperLock)&lt;&gt;"secure"),1,0)</formula>
    </cfRule>
  </conditionalFormatting>
  <conditionalFormatting sqref="G43:H43">
    <cfRule type="expression" dxfId="1157" priority="128" stopIfTrue="1">
      <formula>HAOption="No"</formula>
    </cfRule>
  </conditionalFormatting>
  <conditionalFormatting sqref="H43">
    <cfRule type="expression" dxfId="1156" priority="145">
      <formula>AND(HAOption="Yes",numLagCopies&gt;=1,(ReplayLagHours/24)&lt;SafetyNetTimeout)</formula>
    </cfRule>
    <cfRule type="expression" dxfId="1155" priority="149">
      <formula>AND(OR(calcNumLagCopyInPDC&gt;0,calcNumLagCopyInSDC&gt;0),SafetyNetTimeout&lt;ReplayLagTime)</formula>
    </cfRule>
  </conditionalFormatting>
  <conditionalFormatting sqref="B110:C113">
    <cfRule type="expression" dxfId="1154" priority="136">
      <formula>OR(HAOption="No",numDBCopies+numLagCopies&lt;varMinENPCopyCount,DBLogIsolation="Yes")</formula>
    </cfRule>
  </conditionalFormatting>
  <conditionalFormatting sqref="B112:C112">
    <cfRule type="expression" dxfId="1153" priority="166">
      <formula>calcMultipleDBVolume="No"</formula>
    </cfRule>
  </conditionalFormatting>
  <conditionalFormatting sqref="B221:E221">
    <cfRule type="expression" dxfId="1152" priority="143" stopIfTrue="1">
      <formula>IF(SiteResilienceEnabled="No",1,0)</formula>
    </cfRule>
  </conditionalFormatting>
  <conditionalFormatting sqref="B218:E250 F219:H250">
    <cfRule type="expression" dxfId="1151" priority="142">
      <formula>IF(TRUE,1,0)</formula>
    </cfRule>
  </conditionalFormatting>
  <conditionalFormatting sqref="C119">
    <cfRule type="expression" dxfId="1150" priority="57">
      <formula>OR(JBODDBCapCheckPDC,DBDiskSizePDC=strEmpty)</formula>
    </cfRule>
    <cfRule type="expression" dxfId="1149" priority="141">
      <formula>InvalidDBPerVolume</formula>
    </cfRule>
  </conditionalFormatting>
  <conditionalFormatting sqref="C126">
    <cfRule type="expression" dxfId="1148" priority="44">
      <formula>AND(SiteResilienceEnabled="Yes",OR(JBODDBCapCheckSDC,DBDiskSizeSDC=strEmpty))</formula>
    </cfRule>
  </conditionalFormatting>
  <conditionalFormatting sqref="B115:C115">
    <cfRule type="expression" dxfId="1147" priority="329">
      <formula>MultipleDBVolume &lt;&gt; "Yes"</formula>
    </cfRule>
  </conditionalFormatting>
  <conditionalFormatting sqref="G31:H31">
    <cfRule type="expression" dxfId="1146" priority="58">
      <formula>OR(VolArchitecture&lt;&gt;INDEX(varVolumeArchitecture,4),numDBCopies&lt;varMinENPCopyCount)</formula>
    </cfRule>
  </conditionalFormatting>
  <conditionalFormatting sqref="G152">
    <cfRule type="expression" dxfId="1145" priority="134">
      <formula>AND(HAOption="No",MailboxCountCheck)</formula>
    </cfRule>
  </conditionalFormatting>
  <conditionalFormatting sqref="E137">
    <cfRule type="expression" dxfId="1144" priority="302">
      <formula>OR(numProcCoresPDC=0,numProcCoresPDC&gt;VLOOKUP(ServerVersion,tblServerMax,3,FALSE),AND(VirtualizationEnabled="No",numProcCoresPDC&lt;numPhysicalCoresPDC),numProcCoresPDC&gt;numPhysicalCoresPDC)</formula>
    </cfRule>
  </conditionalFormatting>
  <conditionalFormatting sqref="E138">
    <cfRule type="expression" dxfId="1143" priority="325">
      <formula>AND(SiteResilienceEnabled="Yes",OR(numProcCoresSDC=0,numProcCoresSDC&gt;VLOOKUP(ServerVersion,tblServerMax,3,FALSE),AND(VirtualizationEnabled="No",numProcCoresSDC&lt;numPhysicalCoresSDC),numProcCoresSDC&gt;numPhysicalCoresSDC))</formula>
    </cfRule>
  </conditionalFormatting>
  <conditionalFormatting sqref="C100">
    <cfRule type="expression" dxfId="1142" priority="402">
      <formula>AND(BackupMethod=BackupMethod_ExchangeNative,OR(AND(NumTier3MBX&lt;&gt;0,Tier3SIREnabled="Disabled"),AND(NumTier2MBX&lt;&gt;0,Tier2SIREnabled="Disabled"),AND(NumTier1MBX&lt;&gt;0,Tier1SIREnabled="Disabled")))</formula>
    </cfRule>
    <cfRule type="expression" dxfId="1141" priority="403">
      <formula>AND(HAOption="Yes",numDBCopies&lt;varMinENPCopyCount,BackupMethod=BackupMethod_ExchangeNative)</formula>
    </cfRule>
    <cfRule type="expression" dxfId="1140" priority="413">
      <formula>AND(HAOption="No",BackupMethod=BackupMethod_ExchangeNative)</formula>
    </cfRule>
  </conditionalFormatting>
  <conditionalFormatting sqref="H22">
    <cfRule type="expression" dxfId="1139" priority="305">
      <formula>OR(InvalidActiveActive,AND(SiteResilienceEnabled="Yes",SRModel=strEmpty))</formula>
    </cfRule>
  </conditionalFormatting>
  <conditionalFormatting sqref="B147:C147">
    <cfRule type="expression" dxfId="1138" priority="121">
      <formula>LimitServerMemory="Yes"</formula>
    </cfRule>
  </conditionalFormatting>
  <conditionalFormatting sqref="B146:C147">
    <cfRule type="expression" dxfId="1137" priority="120">
      <formula>AutomaticDAGCalc="Yes"</formula>
    </cfRule>
  </conditionalFormatting>
  <conditionalFormatting sqref="G147">
    <cfRule type="expression" dxfId="1136" priority="116">
      <formula>(AND(AutomaticDAGCalc="Yes",LimitServerMemory="No",NumRamPerServer&gt;VLOOKUP(ServerVersion,tblServerMax,2,FALSE)))</formula>
    </cfRule>
  </conditionalFormatting>
  <conditionalFormatting sqref="B152:C153">
    <cfRule type="expression" dxfId="1135" priority="60" stopIfTrue="1">
      <formula>AutomaticDAGCalc="Yes"</formula>
    </cfRule>
  </conditionalFormatting>
  <conditionalFormatting sqref="B159:C175">
    <cfRule type="expression" dxfId="1134" priority="106" stopIfTrue="1">
      <formula>HAOption="No"</formula>
    </cfRule>
  </conditionalFormatting>
  <conditionalFormatting sqref="B160:C175">
    <cfRule type="expression" dxfId="1133" priority="107">
      <formula>IF(numDAGServersPDC+numDAGServersSDC&lt;ROW(B160)-ROW($B$158),1,0)</formula>
    </cfRule>
  </conditionalFormatting>
  <conditionalFormatting sqref="C71">
    <cfRule type="expression" dxfId="1132" priority="507">
      <formula>AND($C$70="No",$C$71=0)</formula>
    </cfRule>
  </conditionalFormatting>
  <conditionalFormatting sqref="H71">
    <cfRule type="expression" dxfId="1131" priority="508">
      <formula>AND($H$70="No",$H$71=0)</formula>
    </cfRule>
  </conditionalFormatting>
  <conditionalFormatting sqref="H92">
    <cfRule type="expression" dxfId="1130" priority="509">
      <formula>AND($H$91="No",$H$92=0)</formula>
    </cfRule>
  </conditionalFormatting>
  <conditionalFormatting sqref="C92">
    <cfRule type="expression" dxfId="1129" priority="510">
      <formula>AND($C$91="No",$C$92=0)</formula>
    </cfRule>
  </conditionalFormatting>
  <conditionalFormatting sqref="B69:C69">
    <cfRule type="expression" dxfId="1128" priority="94">
      <formula>Tier1OnlineOL=INDEX(varOutlookMode,1)</formula>
    </cfRule>
  </conditionalFormatting>
  <conditionalFormatting sqref="G69:H69">
    <cfRule type="expression" dxfId="1127" priority="93">
      <formula>Tier3OnlineOL=INDEX(varOutlookMode,1)</formula>
    </cfRule>
  </conditionalFormatting>
  <conditionalFormatting sqref="G90:H90">
    <cfRule type="expression" dxfId="1126" priority="92">
      <formula>Tier4OnlineOL=INDEX(varOutlookMode,1)</formula>
    </cfRule>
  </conditionalFormatting>
  <conditionalFormatting sqref="B90:C90">
    <cfRule type="expression" dxfId="1125" priority="91">
      <formula>Tier2OnlineOL=INDEX(varOutlookMode,1)</formula>
    </cfRule>
  </conditionalFormatting>
  <conditionalFormatting sqref="G42">
    <cfRule type="expression" dxfId="1124" priority="73">
      <formula>NumDBsOverride="No"</formula>
    </cfRule>
  </conditionalFormatting>
  <conditionalFormatting sqref="B26:C26">
    <cfRule type="expression" dxfId="1123" priority="71">
      <formula>VirtualizationEnabled="Yes"</formula>
    </cfRule>
  </conditionalFormatting>
  <conditionalFormatting sqref="C152">
    <cfRule type="expression" dxfId="1122" priority="63">
      <formula>OR(DBCopyValCheck,AND(HAOption="No",TotalMBX&gt;(numMBXServers*RecNumDBs*RecDBperVolume*MBXPerDB)))</formula>
    </cfRule>
  </conditionalFormatting>
  <conditionalFormatting sqref="G153">
    <cfRule type="expression" dxfId="1121" priority="24">
      <formula>IF(HAOption="No",numDBCopies&gt;numMBXServers,FALSE)</formula>
    </cfRule>
    <cfRule type="expression" dxfId="1120" priority="62">
      <formula>IF(HAOption="Yes",TotalMBX&gt;(RecNumDBs*MBXPerDB*numDAGs),FALSE)</formula>
    </cfRule>
  </conditionalFormatting>
  <conditionalFormatting sqref="C153">
    <cfRule type="expression" dxfId="1119" priority="113">
      <formula>AND(HAOption="Yes",TotalMBX&gt;(RecNumDBs*MBXPerDB*numDAGs))</formula>
    </cfRule>
  </conditionalFormatting>
  <conditionalFormatting sqref="H29">
    <cfRule type="expression" dxfId="1118" priority="338">
      <formula>AND(HAOption="Yes",numLagCopies&gt;=1,(ReplayLagHours/24)&lt;SafetyNetTimeout)</formula>
    </cfRule>
  </conditionalFormatting>
  <conditionalFormatting sqref="B121:D121">
    <cfRule type="expression" dxfId="1117" priority="7" stopIfTrue="1">
      <formula>RestoreVol="No"</formula>
    </cfRule>
  </conditionalFormatting>
  <conditionalFormatting sqref="B127:D127">
    <cfRule type="expression" dxfId="1116" priority="8" stopIfTrue="1">
      <formula>AND(HAOption="Yes",DBLogIsolation="No")</formula>
    </cfRule>
  </conditionalFormatting>
  <conditionalFormatting sqref="G137">
    <cfRule type="expression" dxfId="1115" priority="54">
      <formula>AND(OR(numProcCoresPDC=0,numProcCoresPDC&gt;VLOOKUP(ServerVersion,tblServerMax,3,FALSE),AND(VirtualizationEnabled="No",numProcCoresPDC&lt;numPhysicalCoresPDC),numProcCoresPDC&gt;numPhysicalCoresPDC))</formula>
    </cfRule>
  </conditionalFormatting>
  <conditionalFormatting sqref="G138">
    <cfRule type="expression" dxfId="1114" priority="50">
      <formula>AND(SiteResilienceEnabled="Yes",OR(numProcCoresSDC=0,numProcCoresSDC&gt;VLOOKUP(ServerVersion,tblServerMax,3,FALSE),AND(VirtualizationEnabled="No",numProcCoresSDC&lt;numPhysicalCoresSDC),numProcCoresSDC&gt;numPhysicalCoresSDC))</formula>
    </cfRule>
  </conditionalFormatting>
  <conditionalFormatting sqref="B125:E128">
    <cfRule type="expression" dxfId="1113" priority="3">
      <formula>SiteResilienceEnabled="No"</formula>
    </cfRule>
  </conditionalFormatting>
  <conditionalFormatting sqref="C128">
    <cfRule type="expression" dxfId="1112" priority="156">
      <formula>AND(JBODCheckSDC,JBODRLCapCheckSDC)</formula>
    </cfRule>
  </conditionalFormatting>
  <conditionalFormatting sqref="B29:C32">
    <cfRule type="expression" dxfId="1111" priority="2" stopIfTrue="1">
      <formula>HAOption="No"</formula>
    </cfRule>
  </conditionalFormatting>
  <conditionalFormatting sqref="G26:H26">
    <cfRule type="expression" dxfId="1110" priority="59">
      <formula>OR(SRModel&lt;&gt;INDEX(varSRModel,1),VolArchitecture=INDEX(varVolumeArchitecture,4))</formula>
    </cfRule>
  </conditionalFormatting>
  <conditionalFormatting sqref="G23:H23">
    <cfRule type="expression" dxfId="1109" priority="37">
      <formula>SRModel&lt;&gt;INDEX(varSRModel,2)</formula>
    </cfRule>
  </conditionalFormatting>
  <conditionalFormatting sqref="B25:C25">
    <cfRule type="expression" dxfId="1108" priority="36">
      <formula>HAOption="No"</formula>
    </cfRule>
  </conditionalFormatting>
  <conditionalFormatting sqref="B31:C32">
    <cfRule type="expression" dxfId="1107" priority="28">
      <formula>SiteResilienceEnabled="No"</formula>
    </cfRule>
  </conditionalFormatting>
  <conditionalFormatting sqref="C29:C30">
    <cfRule type="expression" dxfId="1106" priority="29" stopIfTrue="1">
      <formula>AND(HAOption="Yes",OR(((numDBCopies+numLagCopies)&lt;varMinHACopyCount),(numDBCopies+numLagCopies)&gt;TotNumMBXServersinDAG,(numDBCopies+numLagCopies)&gt;varMaxServerCount))</formula>
    </cfRule>
    <cfRule type="expression" dxfId="1105" priority="47">
      <formula>OR(DBCopyValCheck,InvalidDBPerVolume)</formula>
    </cfRule>
  </conditionalFormatting>
  <conditionalFormatting sqref="C29:C31">
    <cfRule type="expression" dxfId="1104" priority="30" stopIfTrue="1">
      <formula>AND(SiteResilienceEnabled="Yes",(numDBCopiesSDC-numDBCopies)=0)</formula>
    </cfRule>
  </conditionalFormatting>
  <conditionalFormatting sqref="C30:C32">
    <cfRule type="expression" dxfId="1103" priority="33">
      <formula>LagCopyCountCheck</formula>
    </cfRule>
  </conditionalFormatting>
  <conditionalFormatting sqref="G117">
    <cfRule type="expression" dxfId="1102" priority="14">
      <formula>OR(JBODValidationCheck,InvalidDBPerVolume,VirtDiskCheck,SRDiskMismatch)</formula>
    </cfRule>
  </conditionalFormatting>
  <conditionalFormatting sqref="G118:G128">
    <cfRule type="expression" dxfId="1101" priority="26">
      <formula>OR(JBODValidationCheck,InvalidDBPerVolume,VirtDiskCheck,SRDiskMismatch)</formula>
    </cfRule>
  </conditionalFormatting>
  <conditionalFormatting sqref="C29:C32">
    <cfRule type="expression" dxfId="1100" priority="15" stopIfTrue="1">
      <formula>InvalidActiveActive</formula>
    </cfRule>
  </conditionalFormatting>
  <conditionalFormatting sqref="C31:C32">
    <cfRule type="expression" dxfId="1099" priority="31" stopIfTrue="1">
      <formula>AND(SiteResilienceEnabled="Yes",(numDBCopiesSDC+numLagCopiesSDC)=0)</formula>
    </cfRule>
  </conditionalFormatting>
  <conditionalFormatting sqref="C121">
    <cfRule type="expression" dxfId="1098" priority="23">
      <formula>JBODRLCapCheckPDC</formula>
    </cfRule>
  </conditionalFormatting>
  <conditionalFormatting sqref="C59">
    <cfRule type="expression" dxfId="1097" priority="425">
      <formula>$C$59&gt;varMaxMailboxSize</formula>
    </cfRule>
  </conditionalFormatting>
  <conditionalFormatting sqref="C80">
    <cfRule type="expression" dxfId="1096" priority="426">
      <formula>$C$80&gt;varMaxMailboxSize</formula>
    </cfRule>
  </conditionalFormatting>
  <conditionalFormatting sqref="H59">
    <cfRule type="expression" dxfId="1095" priority="427">
      <formula>$H$59&gt;varMaxMailboxSize</formula>
    </cfRule>
  </conditionalFormatting>
  <conditionalFormatting sqref="H80">
    <cfRule type="expression" dxfId="1094" priority="311">
      <formula>$H$80&gt;varMaxMailboxSize</formula>
    </cfRule>
  </conditionalFormatting>
  <conditionalFormatting sqref="B153:C153">
    <cfRule type="expression" dxfId="1093" priority="18">
      <formula>HAOption="No"</formula>
    </cfRule>
  </conditionalFormatting>
  <conditionalFormatting sqref="H23">
    <cfRule type="expression" dxfId="1092" priority="330">
      <formula>AND(OptimizeforAP="Yes",OR(JBODDBCapCheckPDC,JBODDBCapCheckSDC))</formula>
    </cfRule>
  </conditionalFormatting>
  <conditionalFormatting sqref="C119 C126">
    <cfRule type="expression" dxfId="1091" priority="9">
      <formula>SRDiskSizeMatch</formula>
    </cfRule>
  </conditionalFormatting>
  <conditionalFormatting sqref="D119 D126">
    <cfRule type="expression" dxfId="1090" priority="16">
      <formula>SRDiskTypeMatch</formula>
    </cfRule>
  </conditionalFormatting>
  <conditionalFormatting sqref="G113">
    <cfRule type="expression" dxfId="1089" priority="5">
      <formula>calcCustomDiskCountCheck</formula>
    </cfRule>
  </conditionalFormatting>
  <conditionalFormatting sqref="G149">
    <cfRule type="expression" dxfId="1088" priority="1">
      <formula>TransportDBCheck</formula>
    </cfRule>
  </conditionalFormatting>
  <dataValidations count="38">
    <dataValidation type="list" allowBlank="1" showInputMessage="1" showErrorMessage="1" sqref="H56 C56 H77 C77" xr:uid="{00000000-0002-0000-0100-000000000000}">
      <formula1>varUserProfile</formula1>
    </dataValidation>
    <dataValidation type="list" allowBlank="1" showInputMessage="1" showErrorMessage="1" sqref="C37 H37 H39 C110:C113 C150 H31 C69:C70 H69:H70 C90:C91 H90:H91 H25:H27 C23:C26 H23" xr:uid="{00000000-0002-0000-0100-000001000000}">
      <formula1>varYNQuestion</formula1>
    </dataValidation>
    <dataValidation type="list" allowBlank="1" showInputMessage="1" showErrorMessage="1" sqref="H94 H24" xr:uid="{00000000-0002-0000-0100-000002000000}">
      <formula1>varHours</formula1>
    </dataValidation>
    <dataValidation type="decimal" operator="greaterThanOrEqual" allowBlank="1" showInputMessage="1" showErrorMessage="1" errorTitle="Input Error" error="The number entered must be greater than or equal to zero." sqref="H134 H76 C55 H92 H71 C71 C76 H55 C35:C36 C43:C44 H182 C38 C92 C181:E204" xr:uid="{00000000-0002-0000-0100-000003000000}">
      <formula1>0</formula1>
    </dataValidation>
    <dataValidation type="list" allowBlank="1" showInputMessage="1" showErrorMessage="1" sqref="H181" xr:uid="{00000000-0002-0000-0100-000005000000}">
      <formula1>varNetLinkType</formula1>
    </dataValidation>
    <dataValidation type="list" allowBlank="1" showInputMessage="1" showErrorMessage="1" sqref="D118:D121 D125:D128" xr:uid="{00000000-0002-0000-0100-000006000000}">
      <formula1>IF(VirtualizationEnabled="Yes",varDiskType,varPhysicalDiskOnly)</formula1>
    </dataValidation>
    <dataValidation type="list" allowBlank="1" showInputMessage="1" showErrorMessage="1" sqref="C118:C121 C125:C128" xr:uid="{00000000-0002-0000-0100-000007000000}">
      <formula1>varDiskSize</formula1>
    </dataValidation>
    <dataValidation type="list" allowBlank="1" showInputMessage="1" showErrorMessage="1" sqref="C62:C63 C39 H62:H63 H83:H84 C83:C84" xr:uid="{00000000-0002-0000-0100-000008000000}">
      <formula1>varEnabledQuestion</formula1>
    </dataValidation>
    <dataValidation type="whole" operator="greaterThanOrEqual" allowBlank="1" showInputMessage="1" showErrorMessage="1" errorTitle="Input Error" error="The number entered must be greater than or equal to zero." sqref="C75 H54 C54 C59:C61 H75 C57 C80:C82 H59:H61 H57 C78 H78 H80:H82 C103" xr:uid="{00000000-0002-0000-0100-000009000000}">
      <formula1>0</formula1>
    </dataValidation>
    <dataValidation type="list" operator="greaterThan" allowBlank="1" showInputMessage="1" showErrorMessage="1" sqref="C72 H72 H93 C93" xr:uid="{00000000-0002-0000-0100-00000A000000}">
      <formula1>varRWRatio</formula1>
    </dataValidation>
    <dataValidation type="list" allowBlank="1" showInputMessage="1" showErrorMessage="1" sqref="C100" xr:uid="{00000000-0002-0000-0100-00000B000000}">
      <formula1>varBackupMethod</formula1>
    </dataValidation>
    <dataValidation type="list" allowBlank="1" showInputMessage="1" showErrorMessage="1" sqref="C101" xr:uid="{00000000-0002-0000-0100-00000C000000}">
      <formula1>varBackupFreq</formula1>
    </dataValidation>
    <dataValidation type="whole" operator="greaterThanOrEqual" allowBlank="1" showInputMessage="1" showErrorMessage="1" errorTitle="Input Error" error="You must enter a value of 1 or greater for the backup / truncation failure tolerance field." sqref="C102" xr:uid="{00000000-0002-0000-0100-00000D000000}">
      <formula1>1</formula1>
    </dataValidation>
    <dataValidation type="list" allowBlank="1" showInputMessage="1" showErrorMessage="1" sqref="H22" xr:uid="{00000000-0002-0000-0100-00000E000000}">
      <formula1>varSRModel</formula1>
    </dataValidation>
    <dataValidation type="list" allowBlank="1" showInputMessage="1" showErrorMessage="1" sqref="H35" xr:uid="{00000000-0002-0000-0100-00000F000000}">
      <formula1>varDefault</formula1>
    </dataValidation>
    <dataValidation type="list" allowBlank="1" showInputMessage="1" showErrorMessage="1" sqref="C29" xr:uid="{00000000-0002-0000-0100-000010000000}">
      <formula1>varNumDBCopyIn</formula1>
    </dataValidation>
    <dataValidation type="list" showInputMessage="1" showErrorMessage="1" sqref="C31" xr:uid="{00000000-0002-0000-0100-000012000000}">
      <formula1>varNumDBCopyInSDC</formula1>
    </dataValidation>
    <dataValidation type="decimal" operator="greaterThanOrEqual" allowBlank="1" showInputMessage="1" showErrorMessage="1" errorTitle="Input Error" error="The number entered must be greater than or equal to 1." sqref="C86:C87 H65:H66 H86:H87 C65:C66" xr:uid="{00000000-0002-0000-0100-000013000000}">
      <formula1>1</formula1>
    </dataValidation>
    <dataValidation type="whole" allowBlank="1" showInputMessage="1" showErrorMessage="1" errorTitle="Lag Time Error" error="Supported lag times are between 0 seconds and 336 hours (14 days)." sqref="H29:H30" xr:uid="{00000000-0002-0000-0100-000014000000}">
      <formula1>0</formula1>
      <formula2>336</formula2>
    </dataValidation>
    <dataValidation type="whole" operator="greaterThanOrEqual" allowBlank="1" showInputMessage="1" showErrorMessage="1" sqref="C140 D137:D139" xr:uid="{00000000-0002-0000-0100-000016000000}">
      <formula1>1</formula1>
    </dataValidation>
    <dataValidation type="whole" showInputMessage="1" showErrorMessage="1" errorTitle="Number of Failure Domains" error="The number must be greater than or equal to 1 and less than or equal to half the number of mailbox servers in the site." sqref="C220:E220" xr:uid="{00000000-0002-0000-0100-000017000000}">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47:E247 C221:E222" xr:uid="{00000000-0002-0000-0100-000018000000}">
      <formula1>1</formula1>
      <formula2>numDAGServersSDC / 2 +1</formula2>
    </dataValidation>
    <dataValidation showInputMessage="1" showErrorMessage="1" sqref="H159 C219:E219" xr:uid="{00000000-0002-0000-0100-000019000000}"/>
    <dataValidation type="whole" allowBlank="1" showInputMessage="1" showErrorMessage="1" errorTitle="Input Error" error="You must enter a value of 1 or greater for the backup / truncation failure tolerance field." sqref="C114" xr:uid="{00000000-0002-0000-0100-00001A000000}">
      <formula1>1</formula1>
      <formula2>100</formula2>
    </dataValidation>
    <dataValidation type="decimal" operator="greaterThan" showInputMessage="1" showErrorMessage="1" sqref="H36" xr:uid="{00000000-0002-0000-0100-00001B000000}">
      <formula1>0</formula1>
    </dataValidation>
    <dataValidation type="list" allowBlank="1" showInputMessage="1" showErrorMessage="1" sqref="C51" xr:uid="{00000000-0002-0000-0100-00001C000000}">
      <formula1>varWorkWeek</formula1>
    </dataValidation>
    <dataValidation type="list" showInputMessage="1" showErrorMessage="1" sqref="C115" xr:uid="{00000000-0002-0000-0100-00001D000000}">
      <formula1>TblAutoReseedVolumes</formula1>
    </dataValidation>
    <dataValidation type="decimal" operator="greaterThanOrEqual" allowBlank="1" showInputMessage="1" showErrorMessage="1" sqref="D140:E140 C137:C139 E137:E139 F141:F156" xr:uid="{00000000-0002-0000-0100-00001E000000}">
      <formula1>0</formula1>
    </dataValidation>
    <dataValidation type="list" allowBlank="1" showInputMessage="1" showErrorMessage="1" errorTitle="Server Count" error="Choose a number between 1 and 16." sqref="C152" xr:uid="{00000000-0002-0000-0100-00001F000000}">
      <formula1>IF(SiteResilienceEnabled="No",varNumDBCopyIn,varNumDBCopies2)</formula1>
    </dataValidation>
    <dataValidation type="list" allowBlank="1" showInputMessage="1" showErrorMessage="1" sqref="C22" xr:uid="{00000000-0002-0000-0100-000021000000}">
      <formula1>varServerVersion</formula1>
    </dataValidation>
    <dataValidation type="list" showInputMessage="1" showErrorMessage="1" sqref="C146" xr:uid="{00000000-0002-0000-0100-000022000000}">
      <formula1>varYNQuestion</formula1>
    </dataValidation>
    <dataValidation type="list" showInputMessage="1" showErrorMessage="1" sqref="C147" xr:uid="{00000000-0002-0000-0100-000023000000}">
      <formula1>TblOptimizeMemory</formula1>
    </dataValidation>
    <dataValidation type="list" showInputMessage="1" showErrorMessage="1" sqref="C151" xr:uid="{00000000-0002-0000-0100-000024000000}">
      <formula1>TblOptimizeChoice</formula1>
    </dataValidation>
    <dataValidation type="list" allowBlank="1" showInputMessage="1" showErrorMessage="1" sqref="C67 H67 C88 H88" xr:uid="{18FFA9FD-B126-44A0-99B3-5F770E01CA0E}">
      <formula1>varClientVersion</formula1>
    </dataValidation>
    <dataValidation type="list" allowBlank="1" showInputMessage="1" showErrorMessage="1" sqref="C68 H68 C89 H89" xr:uid="{B1A157D4-BC7B-41C1-B61E-72A41B873FFB}">
      <formula1>varOutlookMode</formula1>
    </dataValidation>
    <dataValidation type="list" operator="greaterThanOrEqual" allowBlank="1" showInputMessage="1" showErrorMessage="1" sqref="C153" xr:uid="{D84A2E19-03C7-4A68-B17C-715AF7BB5FE7}">
      <formula1>varNumDBCopyIn</formula1>
    </dataValidation>
    <dataValidation type="list" allowBlank="1" showInputMessage="1" showErrorMessage="1" sqref="C32 C30" xr:uid="{B44222B9-5B89-46C4-A988-23F84623C345}">
      <formula1>varNumLagDBCopy</formula1>
    </dataValidation>
    <dataValidation operator="greaterThanOrEqual" allowBlank="1" showInputMessage="1" showErrorMessage="1" errorTitle="Input Error" error="The number entered must be greater than or equal to zero." sqref="H135:H156" xr:uid="{00000000-0002-0000-0100-000004000000}"/>
  </dataValidations>
  <pageMargins left="0.75" right="0.75" top="1" bottom="1" header="0.5" footer="0.5"/>
  <pageSetup scale="21"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13" r:id="rId4" name="Button 889">
              <controlPr defaultSize="0" print="0" autoFill="0" autoPict="0" macro="[0]!performCalc2">
                <anchor moveWithCells="1" sizeWithCells="1">
                  <from>
                    <xdr:col>3</xdr:col>
                    <xdr:colOff>552450</xdr:colOff>
                    <xdr:row>148</xdr:row>
                    <xdr:rowOff>0</xdr:rowOff>
                  </from>
                  <to>
                    <xdr:col>5</xdr:col>
                    <xdr:colOff>317500</xdr:colOff>
                    <xdr:row>148</xdr:row>
                    <xdr:rowOff>0</xdr:rowOff>
                  </to>
                </anchor>
              </controlPr>
            </control>
          </mc:Choice>
        </mc:AlternateContent>
      </controls>
    </mc:Choice>
  </mc:AlternateContent>
  <tableParts count="26">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s>
  <extLst>
    <ext xmlns:x14="http://schemas.microsoft.com/office/spreadsheetml/2009/9/main" uri="{CCE6A557-97BC-4b89-ADB6-D9C93CAAB3DF}">
      <x14:dataValidations xmlns:xm="http://schemas.microsoft.com/office/excel/2006/main" count="1">
        <x14:dataValidation type="list" allowBlank="1" showInputMessage="1" showErrorMessage="1" xr:uid="{16F99F21-B755-45FA-AE0D-AB2D76ECBF83}">
          <x14:formula1>
            <xm:f>Tables!$A$165:$A$166</xm:f>
          </x14:formula1>
          <xm:sqref>C143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321"/>
  <sheetViews>
    <sheetView showGridLines="0" showRowColHeaders="0" zoomScale="85" zoomScaleNormal="85" workbookViewId="0"/>
  </sheetViews>
  <sheetFormatPr defaultColWidth="9" defaultRowHeight="14.5" outlineLevelRow="1" x14ac:dyDescent="0.3"/>
  <cols>
    <col min="1" max="1" width="3.3984375" style="2" customWidth="1"/>
    <col min="2" max="2" width="77.59765625" style="2" customWidth="1"/>
    <col min="3" max="3" width="25.59765625" style="2" customWidth="1"/>
    <col min="4" max="4" width="28.3984375" style="2" bestFit="1" customWidth="1"/>
    <col min="5" max="5" width="25.8984375" style="2" bestFit="1" customWidth="1"/>
    <col min="6" max="7" width="19" style="2" bestFit="1" customWidth="1"/>
    <col min="8" max="8" width="49" style="2" customWidth="1"/>
    <col min="9" max="9" width="13.09765625" style="2" customWidth="1"/>
    <col min="10" max="10" width="19.8984375" style="2" bestFit="1" customWidth="1"/>
    <col min="11" max="11" width="16.8984375" style="2" customWidth="1"/>
    <col min="12" max="12" width="9.8984375" style="2" customWidth="1"/>
    <col min="13" max="16384" width="9" style="2"/>
  </cols>
  <sheetData>
    <row r="1" spans="1:9" x14ac:dyDescent="0.3">
      <c r="B1" s="1081" t="str">
        <f>VLOOKUP(47,strTable,2,FALSE)</f>
        <v>Note 1: Do not make any changes to this sheet.  This sheet is only used for calculation purposes.</v>
      </c>
      <c r="C1" s="1082"/>
      <c r="D1" s="1082"/>
      <c r="E1" s="1082"/>
      <c r="F1" s="1082"/>
      <c r="G1" s="1082"/>
      <c r="H1" s="1082"/>
      <c r="I1" s="1083"/>
    </row>
    <row r="2" spans="1:9" ht="15" customHeight="1" x14ac:dyDescent="0.3">
      <c r="B2" s="1034" t="str">
        <f>VLOOKUP(49,strTable,2,FALSE)</f>
        <v>Note 2: The calculated IOPS/mbx value has an accuracy of +/- 20% accuracy and does not account for third-party products that may generate additional Database Reads and Writes.</v>
      </c>
      <c r="C2" s="1035"/>
      <c r="D2" s="1035"/>
      <c r="E2" s="1035"/>
      <c r="F2" s="1035"/>
      <c r="G2" s="1035"/>
      <c r="H2" s="1035"/>
      <c r="I2" s="1036"/>
    </row>
    <row r="3" spans="1:9" ht="15" customHeight="1" x14ac:dyDescent="0.3">
      <c r="B3" s="1084" t="str">
        <f>VLOOKUP(51,strTable,2,FALSE)</f>
        <v>Note 3: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v>
      </c>
      <c r="C3" s="1085"/>
      <c r="D3" s="1085"/>
      <c r="E3" s="1085"/>
      <c r="F3" s="1085"/>
      <c r="G3" s="1085"/>
      <c r="H3" s="1085"/>
      <c r="I3" s="1086"/>
    </row>
    <row r="4" spans="1:9" x14ac:dyDescent="0.3">
      <c r="B4" s="1084"/>
      <c r="C4" s="1085"/>
      <c r="D4" s="1085"/>
      <c r="E4" s="1085"/>
      <c r="F4" s="1085"/>
      <c r="G4" s="1085"/>
      <c r="H4" s="1085"/>
      <c r="I4" s="1086"/>
    </row>
    <row r="5" spans="1:9" ht="30.75" customHeight="1" x14ac:dyDescent="0.3">
      <c r="B5" s="1084" t="str">
        <f>VLOOKUP(53,strTable,2,FALSE)</f>
        <v>Note 4: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v>
      </c>
      <c r="C5" s="1085"/>
      <c r="D5" s="1085"/>
      <c r="E5" s="1085"/>
      <c r="F5" s="1085"/>
      <c r="G5" s="1085"/>
      <c r="H5" s="1085"/>
      <c r="I5" s="1086"/>
    </row>
    <row r="6" spans="1:9" x14ac:dyDescent="0.3">
      <c r="B6" s="9"/>
      <c r="I6" s="10"/>
    </row>
    <row r="7" spans="1:9" x14ac:dyDescent="0.3">
      <c r="B7" s="120" t="s">
        <v>469</v>
      </c>
      <c r="C7" s="119"/>
      <c r="D7" s="119"/>
      <c r="E7" s="119"/>
      <c r="F7" s="119"/>
      <c r="G7" s="119"/>
      <c r="H7" s="119"/>
      <c r="I7" s="121"/>
    </row>
    <row r="8" spans="1:9" ht="15" hidden="1" customHeight="1" outlineLevel="1" x14ac:dyDescent="0.3">
      <c r="B8" s="8"/>
      <c r="C8" s="4"/>
      <c r="D8" s="4"/>
      <c r="E8" s="4"/>
      <c r="F8" s="4"/>
      <c r="G8" s="4"/>
      <c r="H8" s="4"/>
      <c r="I8" s="3"/>
    </row>
    <row r="9" spans="1:9" ht="15" hidden="1" customHeight="1" outlineLevel="1" x14ac:dyDescent="0.3">
      <c r="B9" s="122" t="s">
        <v>109</v>
      </c>
      <c r="C9" s="117" t="s">
        <v>244</v>
      </c>
      <c r="D9" s="4"/>
      <c r="E9" s="4"/>
      <c r="F9" s="4"/>
      <c r="G9" s="4"/>
      <c r="H9" s="112" t="s">
        <v>110</v>
      </c>
      <c r="I9" s="123" t="s">
        <v>244</v>
      </c>
    </row>
    <row r="10" spans="1:9" ht="15" hidden="1" customHeight="1" outlineLevel="1" x14ac:dyDescent="0.3">
      <c r="B10" s="9" t="s">
        <v>201</v>
      </c>
      <c r="C10" s="115">
        <f>NumTier1MBX+(NumTier1MBX*Tier1NumGrowth)</f>
        <v>0</v>
      </c>
      <c r="D10" s="4"/>
      <c r="E10" s="4"/>
      <c r="F10" s="4"/>
      <c r="G10" s="4"/>
      <c r="H10" s="2" t="s">
        <v>203</v>
      </c>
      <c r="I10" s="113">
        <f>NumTier2MBX+(NumTier2MBX*Tier2NumGrowth)</f>
        <v>0</v>
      </c>
    </row>
    <row r="11" spans="1:9" ht="15" hidden="1" customHeight="1" outlineLevel="1" x14ac:dyDescent="0.3">
      <c r="B11" s="9" t="s">
        <v>16</v>
      </c>
      <c r="C11" s="115">
        <f>IF(calcTier1MBX&lt;&gt;0,VLOOKUP(Tier1SendReceive,TblSendReceive,3,FALSE),0)</f>
        <v>0</v>
      </c>
      <c r="D11" s="4"/>
      <c r="E11" s="4"/>
      <c r="F11" s="4"/>
      <c r="G11" s="4"/>
      <c r="H11" s="2" t="s">
        <v>16</v>
      </c>
      <c r="I11" s="113">
        <f>IF(calcTier2MBX&lt;&gt;0,VLOOKUP(Tier2SendReceive,TblSendReceive,3,FALSE),0)</f>
        <v>0</v>
      </c>
    </row>
    <row r="12" spans="1:9" ht="15" hidden="1" customHeight="1" outlineLevel="1" x14ac:dyDescent="0.3">
      <c r="A12" s="10"/>
      <c r="B12" s="2" t="s">
        <v>1163</v>
      </c>
      <c r="C12" s="461">
        <f>IFERROR((IF(Tier1OnlineOL=INDEX(varOutlookMode,2),
     calcTier1MBX*IF(Tier1PredictIOPS="Yes",Tier1BaseIOPS,Tier1IOPS),
     calcTier1MBX*varOnlineIOMultiplier*IF(Tier1PredictIOPS="Yes",Tier1BaseIOPS,Tier1IOPS)
    )
  +MAX(calcTier1MBX*Tier1UserMFPercentage*(Tier1IOFactor-1)*IF(Tier1PredictIOPS="Yes",Tier1BaseIOPS,Tier1IOPS),0)
 )/calcTier1MBX/IF(Tier1PredictIOPS="Yes",Tier1BaseIOPS,Tier1IOPS),1)</f>
        <v>1</v>
      </c>
      <c r="D12" s="4"/>
      <c r="E12" s="4"/>
      <c r="F12" s="4"/>
      <c r="G12" s="4"/>
      <c r="H12" s="2" t="s">
        <v>1163</v>
      </c>
      <c r="I12" s="462">
        <f>IFERROR((IF(Tier2OnlineOL=INDEX(varOutlookMode,2),
     calcTier2MBX*IF(Tier2PredictIOPS="Yes",Tier2BaseIOPS,Tier2IOPS),
     calcTier2MBX*varOnlineIOMultiplier*IF(Tier2PredictIOPS="Yes",Tier2BaseIOPS,Tier2IOPS)
    )
  +MAX(calcTier2MBX*Tier2UserMFPercentage*(Tier2IOFactor-1)*IF(Tier2PredictIOPS="Yes",Tier2BaseIOPS,Tier2IOPS),0)
 )/calcTier2MBX/IF(Tier2PredictIOPS="Yes",Tier2BaseIOPS,Tier2IOPS),1)</f>
        <v>1</v>
      </c>
    </row>
    <row r="13" spans="1:9" ht="15" hidden="1" customHeight="1" outlineLevel="1" x14ac:dyDescent="0.3">
      <c r="A13" s="10"/>
      <c r="B13" s="2" t="s">
        <v>1164</v>
      </c>
      <c r="C13" s="116">
        <f>IF(Tier1MCFactor&lt;&gt;1,((calcTier1MBX*Tier1UserMFPercentage*Tier1MCFactor*VLOOKUP(Tier1SendReceive,TblSendReceive,5,FALSE))+((calcTier1MBX-(calcTier1MBX*Tier1UserMFPercentage))*VLOOKUP(Tier1SendReceive,TblSendReceive,5,FALSE)))/calcTier1MBX/VLOOKUP(Tier1SendReceive,TblSendReceive,5,FALSE),1)</f>
        <v>1</v>
      </c>
      <c r="D13" s="4"/>
      <c r="E13" s="4"/>
      <c r="F13" s="4"/>
      <c r="G13" s="4"/>
      <c r="H13" s="2" t="s">
        <v>1164</v>
      </c>
      <c r="I13" s="463">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9" ht="15" hidden="1" customHeight="1" outlineLevel="1" x14ac:dyDescent="0.3">
      <c r="A14" s="10"/>
      <c r="B14" s="2" t="s">
        <v>613</v>
      </c>
      <c r="C14" s="116">
        <f>IF(calcTier1MBX&lt;&gt;0,Tier1MessageProfile*varActiveMCMF*calcTier1MCFactor,0)</f>
        <v>0</v>
      </c>
      <c r="D14" s="4"/>
      <c r="E14" s="4"/>
      <c r="F14" s="4"/>
      <c r="G14" s="4"/>
      <c r="H14" s="2" t="s">
        <v>613</v>
      </c>
      <c r="I14" s="463">
        <f>IF(calcTier2MBX&lt;&gt;0,Tier2MessageProfile*varActiveMCMF*calcTier2MCFactor,0)</f>
        <v>0</v>
      </c>
    </row>
    <row r="15" spans="1:9" ht="15" hidden="1" customHeight="1" outlineLevel="1" x14ac:dyDescent="0.3">
      <c r="B15" s="464" t="s">
        <v>1166</v>
      </c>
      <c r="C15" s="116">
        <f>IF(calcTier1MBX&lt;&gt;0,Tier1MessageProfile*varPassiveMCMF*calcTier1MCFactor,0)</f>
        <v>0</v>
      </c>
      <c r="D15" s="4"/>
      <c r="E15" s="571"/>
      <c r="F15" s="4"/>
      <c r="G15" s="4"/>
      <c r="H15" s="466" t="s">
        <v>1166</v>
      </c>
      <c r="I15" s="463">
        <f>IF(calcTier2MBX&lt;&gt;0,Tier2MessageProfile*varPassiveMCMF*calcTier2MCFactor,0)</f>
        <v>0</v>
      </c>
    </row>
    <row r="16" spans="1:9" ht="15" hidden="1" customHeight="1" outlineLevel="1" x14ac:dyDescent="0.3">
      <c r="B16" s="464" t="s">
        <v>1178</v>
      </c>
      <c r="C16" s="465">
        <f>IF(calcTier1MBX&lt;&gt;0,Tier1ActiveMegacycles*varCASRatio,0)</f>
        <v>0</v>
      </c>
      <c r="D16" s="4"/>
      <c r="E16" s="4"/>
      <c r="F16" s="4"/>
      <c r="G16" s="4"/>
      <c r="H16" s="466" t="s">
        <v>1178</v>
      </c>
      <c r="I16" s="467">
        <f>IF(calcTier2MBX&lt;&gt;0,Tier2ActiveMegacycles*varCASRatio,0)</f>
        <v>0</v>
      </c>
    </row>
    <row r="17" spans="1:10" ht="15" hidden="1" customHeight="1" outlineLevel="1" x14ac:dyDescent="0.3">
      <c r="B17" s="464" t="s">
        <v>424</v>
      </c>
      <c r="C17" s="465">
        <f>IF(calcTier1MBX&lt;&gt;0,VLOOKUP(Tier1SendReceive,TblSendReceive,2,FALSE),0)</f>
        <v>0</v>
      </c>
      <c r="D17" s="4"/>
      <c r="E17" s="4"/>
      <c r="F17" s="4"/>
      <c r="G17" s="4"/>
      <c r="H17" s="466" t="s">
        <v>424</v>
      </c>
      <c r="I17" s="467">
        <f>IF(calcTier2MBX&lt;&gt;0,VLOOKUP(Tier2SendReceive,TblSendReceive,2,FALSE),0)</f>
        <v>0</v>
      </c>
    </row>
    <row r="18" spans="1:10" ht="15" hidden="1" customHeight="1" outlineLevel="1" x14ac:dyDescent="0.3">
      <c r="B18" s="464" t="s">
        <v>71</v>
      </c>
      <c r="C18" s="465">
        <f>IF(calcTier1MBX&lt;&gt;0,VLOOKUP(Tier1SendReceive,TblSendReceive,4,FALSE)*MROUND(Tier1AvgMessageSize/78.9473684210526,0.1),0)</f>
        <v>0</v>
      </c>
      <c r="D18" s="4"/>
      <c r="E18" s="4"/>
      <c r="F18" s="4"/>
      <c r="G18" s="4"/>
      <c r="H18" s="466" t="s">
        <v>71</v>
      </c>
      <c r="I18" s="467">
        <f>IF(calcTier2MBX&lt;&gt;0,VLOOKUP(Tier2SendReceive,TblSendReceive,4,FALSE)*MROUND(Tier2AvgMessageSize/78.9473684210526,0.1),0)</f>
        <v>0</v>
      </c>
    </row>
    <row r="19" spans="1:10" ht="15" hidden="1" customHeight="1" outlineLevel="1" x14ac:dyDescent="0.3">
      <c r="A19" s="10"/>
      <c r="B19" s="7" t="s">
        <v>1511</v>
      </c>
      <c r="C19" s="14">
        <f>IF(calcTier1MBX&lt;&gt;0,Tier1InitialMBXSize,0)</f>
        <v>0</v>
      </c>
      <c r="D19" s="4"/>
      <c r="H19" s="7" t="s">
        <v>1511</v>
      </c>
      <c r="I19" s="541">
        <f>IF(calcTier2MBX&lt;&gt;0,Tier2InitialMBXSize,0)</f>
        <v>0</v>
      </c>
    </row>
    <row r="20" spans="1:10" ht="15" hidden="1" customHeight="1" outlineLevel="1" x14ac:dyDescent="0.3">
      <c r="A20" s="10"/>
      <c r="B20" s="506" t="s">
        <v>437</v>
      </c>
      <c r="C20" s="15">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0</v>
      </c>
      <c r="D20" s="4"/>
      <c r="E20" s="4"/>
      <c r="F20" s="4"/>
      <c r="G20" s="4"/>
      <c r="H20" s="2" t="s">
        <v>437</v>
      </c>
      <c r="I20" s="541">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3">
      <c r="A21" s="10"/>
      <c r="B21" s="9" t="s">
        <v>436</v>
      </c>
      <c r="C21" s="15">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4"/>
      <c r="E21" s="4"/>
      <c r="F21" s="4"/>
      <c r="G21" s="4"/>
      <c r="H21" s="2" t="s">
        <v>436</v>
      </c>
      <c r="I21" s="541">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3">
      <c r="A22" s="10"/>
      <c r="B22" s="9" t="s">
        <v>357</v>
      </c>
      <c r="C22" s="15">
        <f>ROUNDUP(IF(calcTier1MBX&lt;&gt;0,Tier1MBXLimit+Tier1DumpsterSize+Tier1ArchiveMBXLimit+Tier1ArchiveDumpsterSize)*(1+CISizeFactor),0)</f>
        <v>0</v>
      </c>
      <c r="D22" s="4"/>
      <c r="E22" s="4"/>
      <c r="F22" s="4"/>
      <c r="G22" s="4"/>
      <c r="H22" s="2" t="s">
        <v>357</v>
      </c>
      <c r="I22" s="541">
        <f>ROUNDUP(IF(calcTier2MBX&lt;&gt;0,Tier2MBXLimit+Tier2DumpsterSize+Tier2ArchiveMBXLimit+Tier2ArchiveDumpsterSize)*(1+CISizeFactor),0)</f>
        <v>0</v>
      </c>
    </row>
    <row r="23" spans="1:10" ht="15" hidden="1" customHeight="1" outlineLevel="1" x14ac:dyDescent="0.3">
      <c r="A23" s="10"/>
      <c r="B23" s="9" t="s">
        <v>339</v>
      </c>
      <c r="C23" s="15">
        <f>IF(calcTier1MBX&lt;&gt;0,IF(Tier1PredictIOPS="Yes",Tier1MessageProfile*0.001*varIOPSMF*(1+CIIOPsFactor),0),0)</f>
        <v>0</v>
      </c>
      <c r="D23" s="4"/>
      <c r="E23" s="4"/>
      <c r="F23" s="4"/>
      <c r="G23" s="4"/>
      <c r="H23" s="2" t="s">
        <v>339</v>
      </c>
      <c r="I23" s="541">
        <f>IF(calcTier2MBX&lt;&gt;0,IF(Tier2PredictIOPS="Yes",Tier2MessageProfile*0.001*varIOPSMF*(1+CIIOPsFactor),0),0)</f>
        <v>0</v>
      </c>
    </row>
    <row r="24" spans="1:10" ht="15" hidden="1" customHeight="1" outlineLevel="1" x14ac:dyDescent="0.3">
      <c r="A24" s="10"/>
      <c r="B24" s="2" t="s">
        <v>340</v>
      </c>
      <c r="C24" s="15">
        <f>Tier1BaseIOPS*calcTier1RWRatio*(1+VLOOKUP(Tier1OLVersion,tblOLSearchIOPOffset,2,FALSE))*IF(calcMCDBEnabled,(1-varMCDBIOPsReduction),1)</f>
        <v>0</v>
      </c>
      <c r="D24" s="4"/>
      <c r="E24" s="4"/>
      <c r="F24" s="4"/>
      <c r="G24" s="4"/>
      <c r="H24" s="2" t="s">
        <v>340</v>
      </c>
      <c r="I24" s="541">
        <f>Tier2BaseIOPS*calcTier2RWRatio*(1+VLOOKUP(Tier2OLVersion,tblOLSearchIOPOffset,2,FALSE))*IF(calcMCDBEnabled,(1-varMCDBIOPsReduction),1)</f>
        <v>0</v>
      </c>
    </row>
    <row r="25" spans="1:10" ht="15" hidden="1" customHeight="1" outlineLevel="1" x14ac:dyDescent="0.3">
      <c r="A25" s="10"/>
      <c r="B25" s="2" t="s">
        <v>341</v>
      </c>
      <c r="C25" s="15">
        <f>Tier1BaseIOPS*(1-calcTier1RWRatio)</f>
        <v>0</v>
      </c>
      <c r="D25" s="4"/>
      <c r="E25" s="4"/>
      <c r="F25" s="4"/>
      <c r="G25" s="4"/>
      <c r="H25" s="2" t="s">
        <v>341</v>
      </c>
      <c r="I25" s="541">
        <f>Tier2BaseIOPS*(1-calcTier2RWRatio)</f>
        <v>0</v>
      </c>
    </row>
    <row r="26" spans="1:10" ht="15" hidden="1" customHeight="1" outlineLevel="1" x14ac:dyDescent="0.3">
      <c r="A26" s="10"/>
      <c r="B26" s="2" t="s">
        <v>285</v>
      </c>
      <c r="C26" s="15">
        <f>IF(AND(Tier1DesktopSearch="Yes",Tier1MBXSize&gt;=256),MROUND(Tier1MBXSize/170.666666,0.5),1)</f>
        <v>1</v>
      </c>
      <c r="D26" s="4"/>
      <c r="E26" s="4"/>
      <c r="F26" s="4"/>
      <c r="G26" s="4"/>
      <c r="H26" s="2" t="s">
        <v>285</v>
      </c>
      <c r="I26" s="541">
        <f>IF(AND(Tier2DesktopSearch="Yes",Tier2MBXSize&gt;=256),MROUND(Tier2MBXSize/170.666666,0.5),1)</f>
        <v>1</v>
      </c>
      <c r="J26" s="15"/>
    </row>
    <row r="27" spans="1:10" ht="15" hidden="1" customHeight="1" outlineLevel="1" x14ac:dyDescent="0.3">
      <c r="A27" s="10"/>
      <c r="B27" s="2" t="s">
        <v>342</v>
      </c>
      <c r="C27" s="15">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0</v>
      </c>
      <c r="D27" s="4"/>
      <c r="E27" s="4"/>
      <c r="F27" s="4"/>
      <c r="G27" s="4"/>
      <c r="H27" s="2" t="s">
        <v>342</v>
      </c>
      <c r="I27" s="541">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15"/>
    </row>
    <row r="28" spans="1:10" ht="15" hidden="1" customHeight="1" outlineLevel="1" x14ac:dyDescent="0.3">
      <c r="A28" s="10"/>
      <c r="B28" s="9" t="s">
        <v>343</v>
      </c>
      <c r="C28" s="15">
        <f>IF(calcTier1MBX&lt;&gt;0,IF(Tier1PredictIOPS="Yes",Tier1BaseDBWrites*IF(Tier1IOFactor=1,1,calcTier1IOFactor),),0)</f>
        <v>0</v>
      </c>
      <c r="D28" s="4"/>
      <c r="E28" s="4"/>
      <c r="F28" s="4"/>
      <c r="G28" s="4"/>
      <c r="H28" s="2" t="s">
        <v>343</v>
      </c>
      <c r="I28" s="541">
        <f>IF(calcTier2MBX&lt;&gt;0,IF(Tier2PredictIOPS="Yes",Tier2BaseDBWrites*IF(Tier2IOFactor=1,1,calcTier2IOFactor),0),0)</f>
        <v>0</v>
      </c>
      <c r="J28" s="15"/>
    </row>
    <row r="29" spans="1:10" ht="15" hidden="1" customHeight="1" outlineLevel="1" x14ac:dyDescent="0.3">
      <c r="B29" s="9" t="s">
        <v>136</v>
      </c>
      <c r="C29" s="15">
        <f>IF(calcTier1MBX&lt;&gt;0,IF(Tier1PredictIOPS="Yes",IF(calcHAOption,IF(Tier1MessageProfile&lt;=250,0.6,0.5),IF(Tier1MessageProfile&lt;=250,0.5,0.4)),VLOOKUP(Tier1RWRatio,tblRWRatio,2,FALSE)),0)</f>
        <v>0</v>
      </c>
      <c r="D29" s="4"/>
      <c r="E29" s="4"/>
      <c r="F29" s="4"/>
      <c r="G29" s="4"/>
      <c r="H29" s="2" t="s">
        <v>136</v>
      </c>
      <c r="I29" s="541">
        <f>IF(calcTier2MBX&lt;&gt;0,IF(Tier2PredictIOPS="Yes",IF(calcHAOption,IF(Tier2MessageProfile&lt;=250,0.6,0.5),IF(Tier2MessageProfile&lt;=250,0.5,0.4)),VLOOKUP(Tier2RWRatio,tblRWRatio,2,FALSE)),0)</f>
        <v>0</v>
      </c>
      <c r="J29" s="15"/>
    </row>
    <row r="30" spans="1:10" ht="15" hidden="1" customHeight="1" outlineLevel="1" x14ac:dyDescent="0.3">
      <c r="B30" s="9" t="s">
        <v>15</v>
      </c>
      <c r="C30" s="15">
        <f>IF(calcTier1MBX&lt;&gt;0,IF(Tier1PredictIOPS="Yes",(calcTier1DBReads+calcTier1DBWrites),(Tier1IOPS*IF(Tier1IOFactor=0,1,calcTier1IOFactor))),0)</f>
        <v>0</v>
      </c>
      <c r="D30" s="4"/>
      <c r="E30" s="4"/>
      <c r="F30" s="4"/>
      <c r="G30" s="4"/>
      <c r="H30" s="2" t="s">
        <v>15</v>
      </c>
      <c r="I30" s="541">
        <f>IF(calcTier2MBX&lt;&gt;0,IF(Tier2PredictIOPS="Yes",(calcTier2DBReads+calcTier2DBWrites),(Tier2IOPS*IF(Tier2IOFactor=0,1,calcTier2IOFactor))),0)</f>
        <v>0</v>
      </c>
      <c r="J30" s="15"/>
    </row>
    <row r="31" spans="1:10" ht="15" hidden="1" customHeight="1" outlineLevel="1" x14ac:dyDescent="0.3">
      <c r="B31" s="9" t="s">
        <v>138</v>
      </c>
      <c r="C31" s="15">
        <f>calcTier1MBX*TotTier1IOPS</f>
        <v>0</v>
      </c>
      <c r="D31" s="4"/>
      <c r="E31" s="4"/>
      <c r="F31" s="4"/>
      <c r="G31" s="4"/>
      <c r="H31" s="2" t="s">
        <v>138</v>
      </c>
      <c r="I31" s="541">
        <f>calcTier2MBX*TotTier2IOPS</f>
        <v>0</v>
      </c>
      <c r="J31" s="15"/>
    </row>
    <row r="32" spans="1:10" ht="15" hidden="1" customHeight="1" outlineLevel="1" x14ac:dyDescent="0.3">
      <c r="B32" s="9" t="s">
        <v>0</v>
      </c>
      <c r="C32" s="15">
        <f>IF(calcTier1MBX&gt;0,Tier1DBTransfers*IF(Tier1PredictIOPS="Yes",calcTier1DBReads/(calcTier1DBReads+calcTier1DBWrites),calcTier1RWRatio),0)</f>
        <v>0</v>
      </c>
      <c r="D32" s="4"/>
      <c r="E32" s="4"/>
      <c r="F32" s="4"/>
      <c r="G32" s="4"/>
      <c r="H32" s="2" t="s">
        <v>0</v>
      </c>
      <c r="I32" s="541">
        <f>IF(calcTier2MBX&gt;0,Tier2DBTransfers*IF(Tier2PredictIOPS="Yes",calcTier2DBReads/(calcTier2DBReads+calcTier2DBWrites),calcTier2RWRatio),0)</f>
        <v>0</v>
      </c>
      <c r="J32" s="15"/>
    </row>
    <row r="33" spans="1:10" ht="15" hidden="1" customHeight="1" outlineLevel="1" x14ac:dyDescent="0.3">
      <c r="B33" s="9" t="s">
        <v>1</v>
      </c>
      <c r="C33" s="15">
        <f>IF(calcTier1MBX&gt;0,Tier1DBTransfers*IF(Tier1PredictIOPS="Yes",calcTier1DBWrites/(calcTier1DBReads+calcTier1DBWrites),(1-calcTier1RWRatio)),0)</f>
        <v>0</v>
      </c>
      <c r="D33" s="4"/>
      <c r="E33" s="4"/>
      <c r="F33" s="4"/>
      <c r="G33" s="4"/>
      <c r="H33" s="2" t="s">
        <v>1</v>
      </c>
      <c r="I33" s="541">
        <f>IF(calcTier2MBX&gt;0,Tier2DBTransfers*IF(Tier2PredictIOPS="Yes",calcTier2DBWrites/(calcTier2DBReads+calcTier2DBWrites),(1-calcTier2RWRatio)),0)</f>
        <v>0</v>
      </c>
      <c r="J33" s="15"/>
    </row>
    <row r="34" spans="1:10" ht="15" hidden="1" customHeight="1" outlineLevel="1" x14ac:dyDescent="0.3">
      <c r="B34" s="9"/>
      <c r="D34" s="4"/>
      <c r="E34" s="4"/>
      <c r="F34" s="4"/>
      <c r="G34" s="4"/>
      <c r="I34" s="10"/>
    </row>
    <row r="35" spans="1:10" ht="15" hidden="1" customHeight="1" outlineLevel="1" x14ac:dyDescent="0.3">
      <c r="B35" s="122" t="s">
        <v>108</v>
      </c>
      <c r="C35" s="117" t="s">
        <v>244</v>
      </c>
      <c r="D35" s="4"/>
      <c r="E35" s="4"/>
      <c r="F35" s="4"/>
      <c r="G35" s="4"/>
      <c r="H35" s="112" t="s">
        <v>597</v>
      </c>
      <c r="I35" s="123" t="s">
        <v>244</v>
      </c>
    </row>
    <row r="36" spans="1:10" ht="15" hidden="1" customHeight="1" outlineLevel="1" x14ac:dyDescent="0.3">
      <c r="B36" s="9" t="s">
        <v>202</v>
      </c>
      <c r="C36" s="115">
        <f>NumTier3MBX+(NumTier3MBX*Tier3NumGrowth)</f>
        <v>0</v>
      </c>
      <c r="D36" s="4"/>
      <c r="E36" s="4"/>
      <c r="F36" s="4"/>
      <c r="G36" s="4"/>
      <c r="H36" s="2" t="s">
        <v>598</v>
      </c>
      <c r="I36" s="113">
        <f>NumTier4MBX+(NumTier4MBX*Tier4NumGrowth)</f>
        <v>0</v>
      </c>
    </row>
    <row r="37" spans="1:10" ht="15" hidden="1" customHeight="1" outlineLevel="1" x14ac:dyDescent="0.3">
      <c r="B37" s="9" t="s">
        <v>16</v>
      </c>
      <c r="C37" s="115">
        <f>IF(calcTier3MBX&lt;&gt;0,VLOOKUP(Tier3SendReceive,TblSendReceive,3,FALSE),0)</f>
        <v>0</v>
      </c>
      <c r="D37" s="4"/>
      <c r="E37" s="4"/>
      <c r="F37" s="4"/>
      <c r="G37" s="4"/>
      <c r="H37" s="2" t="s">
        <v>16</v>
      </c>
      <c r="I37" s="113">
        <f>IF(calcTier4MBX&lt;&gt;0,VLOOKUP(Tier4SendReceive,TblSendReceive,3,FALSE),0)</f>
        <v>0</v>
      </c>
    </row>
    <row r="38" spans="1:10" ht="15" hidden="1" customHeight="1" outlineLevel="1" x14ac:dyDescent="0.3">
      <c r="A38" s="10"/>
      <c r="B38" s="2" t="s">
        <v>1163</v>
      </c>
      <c r="C38" s="461">
        <f>IFERROR((IF(Tier3OnlineOL=INDEX(varOutlookMode,2),
     calcTier3MBX*IF(Tier3PredictIOPS="Yes",Tier3BaseIOPS,Tier3IOPS),
     calcTier3MBX*varOnlineIOMultiplier*IF(Tier3PredictIOPS="Yes",Tier3BaseIOPS,Tier3IOPS)
    )
  +MAX(calcTier3MBX*Tier3UserMFPercentage*(Tier3IOFactor-1)*IF(Tier3PredictIOPS="Yes",Tier3BaseIOPS,Tier3IOPS),0)
 )/calcTier3MBX/IF(Tier3PredictIOPS="Yes",Tier3BaseIOPS,Tier3IOPS),1)</f>
        <v>1</v>
      </c>
      <c r="D38" s="4"/>
      <c r="E38" s="4"/>
      <c r="F38" s="4"/>
      <c r="G38" s="4"/>
      <c r="H38" s="2" t="s">
        <v>1163</v>
      </c>
      <c r="I38" s="462">
        <f>IFERROR((IF(Tier4OnlineOL=INDEX(varOutlookMode,2),
     calcTier4MBX*IF(Tier4PredictIOPS="Yes",Tier4BaseIOPS,Tier4IOPS),
     calcTier4MBX*varOnlineIOMultiplier*IF(Tier4PredictIOPS="Yes",Tier4BaseIOPS,Tier4IOPS)
    )
  +MAX(calcTier4MBX*Tier4UserMFPercentage*(Tier4IOFactor-1)*IF(Tier4PredictIOPS="Yes",Tier4BaseIOPS,Tier4IOPS),0)
 )/calcTier4MBX/IF(Tier4PredictIOPS="Yes",Tier4BaseIOPS,Tier4IOPS),1)</f>
        <v>1</v>
      </c>
    </row>
    <row r="39" spans="1:10" ht="15" hidden="1" customHeight="1" outlineLevel="1" x14ac:dyDescent="0.3">
      <c r="A39" s="10"/>
      <c r="B39" s="2" t="s">
        <v>1164</v>
      </c>
      <c r="C39" s="116">
        <f>IF(Tier3MCFactor&lt;&gt;1,((calcTier3MBX*Tier3UserMFPercentage*Tier3MCFactor*VLOOKUP(Tier3SendReceive,TblSendReceive,5,FALSE))+((calcTier3MBX-(calcTier3MBX*Tier3UserMFPercentage))*VLOOKUP(Tier3SendReceive,TblSendReceive,5,FALSE)))/calcTier3MBX/VLOOKUP(Tier3SendReceive,TblSendReceive,5,FALSE),1)</f>
        <v>1</v>
      </c>
      <c r="D39" s="4"/>
      <c r="E39" s="4"/>
      <c r="F39" s="4"/>
      <c r="G39" s="4"/>
      <c r="H39" s="2" t="s">
        <v>1164</v>
      </c>
      <c r="I39" s="463">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3">
      <c r="A40" s="10"/>
      <c r="B40" s="2" t="s">
        <v>613</v>
      </c>
      <c r="C40" s="116">
        <f>IF(calcTier3MBX&lt;&gt;0,Tier3MessageProfile*varActiveMCMF*calcTier3MCFactor,0)</f>
        <v>0</v>
      </c>
      <c r="D40" s="4"/>
      <c r="E40" s="4"/>
      <c r="F40" s="4"/>
      <c r="G40" s="4"/>
      <c r="H40" s="2" t="s">
        <v>613</v>
      </c>
      <c r="I40" s="463">
        <f>IF(calcTier4MBX&lt;&gt;0,Tier4MessageProfile*varActiveMCMF*calcTier4MCFactor,0)</f>
        <v>0</v>
      </c>
    </row>
    <row r="41" spans="1:10" ht="15" hidden="1" customHeight="1" outlineLevel="1" thickBot="1" x14ac:dyDescent="0.35">
      <c r="B41" s="464" t="s">
        <v>1166</v>
      </c>
      <c r="C41" s="116">
        <f>IF(calcTier3MBX&lt;&gt;0,Tier3MessageProfile*varPassiveMCMF*calcTier3MCFactor,0)</f>
        <v>0</v>
      </c>
      <c r="D41" s="4"/>
      <c r="E41" s="1007" t="s">
        <v>2158</v>
      </c>
      <c r="F41" s="1008" t="s">
        <v>244</v>
      </c>
      <c r="G41" s="4"/>
      <c r="H41" s="466" t="s">
        <v>1166</v>
      </c>
      <c r="I41" s="463">
        <f>IF(calcTier4MBX&lt;&gt;0,Tier4MessageProfile*varPassiveMCMF*calcTier4MCFactor,0)</f>
        <v>0</v>
      </c>
    </row>
    <row r="42" spans="1:10" ht="15" hidden="1" customHeight="1" outlineLevel="1" thickTop="1" x14ac:dyDescent="0.3">
      <c r="B42" s="464" t="s">
        <v>1178</v>
      </c>
      <c r="C42" s="465">
        <f>IF(calcTier3MBX&lt;&gt;0,Tier3ActiveMegacycles*varCASRatio,0)</f>
        <v>0</v>
      </c>
      <c r="D42" s="4"/>
      <c r="E42" s="1004" t="s">
        <v>2159</v>
      </c>
      <c r="F42" s="1014">
        <f>calcTier1MBX*Tier1MBXSize</f>
        <v>0</v>
      </c>
      <c r="G42" s="4"/>
      <c r="H42" s="466" t="s">
        <v>1178</v>
      </c>
      <c r="I42" s="465">
        <f>IF(calcTier4MBX&lt;&gt;0,Tier4ActiveMegacycles*varCASRatio,0)</f>
        <v>0</v>
      </c>
      <c r="J42" s="9"/>
    </row>
    <row r="43" spans="1:10" ht="15" hidden="1" customHeight="1" outlineLevel="1" x14ac:dyDescent="0.3">
      <c r="A43" s="280"/>
      <c r="B43" s="464" t="s">
        <v>424</v>
      </c>
      <c r="C43" s="465">
        <f>IF(calcTier3MBX&lt;&gt;0,VLOOKUP(Tier3SendReceive,TblSendReceive,2,FALSE),0)</f>
        <v>0</v>
      </c>
      <c r="D43" s="4"/>
      <c r="E43" s="1006" t="s">
        <v>2160</v>
      </c>
      <c r="F43" s="1015">
        <f>calcTier2MBX*Tier2MBXSize</f>
        <v>0</v>
      </c>
      <c r="G43" s="4"/>
      <c r="H43" s="466" t="s">
        <v>424</v>
      </c>
      <c r="I43" s="467">
        <f>IF(calcTier4MBX&lt;&gt;0,VLOOKUP(Tier4SendReceive,TblSendReceive,2,FALSE),0)</f>
        <v>0</v>
      </c>
    </row>
    <row r="44" spans="1:10" ht="15" hidden="1" customHeight="1" outlineLevel="1" x14ac:dyDescent="0.3">
      <c r="B44" s="464" t="s">
        <v>71</v>
      </c>
      <c r="C44" s="465">
        <f>IF(calcTier3MBX&lt;&gt;0,VLOOKUP(Tier3SendReceive,TblSendReceive,4,FALSE)*MROUND(Tier3AvgMessageSize/78.9473684210526,0.1),0)</f>
        <v>0</v>
      </c>
      <c r="D44" s="4"/>
      <c r="E44" s="1004" t="s">
        <v>2161</v>
      </c>
      <c r="F44" s="1016">
        <f>calcTier3MBX*Tier3MBXSize</f>
        <v>0</v>
      </c>
      <c r="G44" s="4"/>
      <c r="H44" s="466" t="s">
        <v>71</v>
      </c>
      <c r="I44" s="467">
        <f>IF(calcTier4MBX&lt;&gt;0,VLOOKUP(Tier4SendReceive,TblSendReceive,4,FALSE)*MROUND(Tier4AvgMessageSize/78.9473684210526,0.1),0)</f>
        <v>0</v>
      </c>
    </row>
    <row r="45" spans="1:10" ht="15" hidden="1" customHeight="1" outlineLevel="1" x14ac:dyDescent="0.3">
      <c r="B45" s="221" t="s">
        <v>1511</v>
      </c>
      <c r="C45" s="14">
        <f>IF(calcTier3MBX&lt;&gt;0,Tier3InitialMBXSize,0)</f>
        <v>0</v>
      </c>
      <c r="D45" s="4"/>
      <c r="E45" s="1006" t="s">
        <v>2162</v>
      </c>
      <c r="F45" s="1015">
        <f>calcTier4MBX*Tier4MBXSize</f>
        <v>0</v>
      </c>
      <c r="G45" s="4"/>
      <c r="H45" s="7" t="s">
        <v>1511</v>
      </c>
      <c r="I45" s="14">
        <f>IF(calcTier4MBX&lt;&gt;0,Tier4InitialMBXSize,0)</f>
        <v>0</v>
      </c>
      <c r="J45" s="9"/>
    </row>
    <row r="46" spans="1:10" ht="15" hidden="1" customHeight="1" outlineLevel="1" x14ac:dyDescent="0.3">
      <c r="A46" s="10"/>
      <c r="B46" s="506" t="s">
        <v>437</v>
      </c>
      <c r="C46" s="15">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1"/>
      <c r="E46" s="1004" t="s">
        <v>2163</v>
      </c>
      <c r="F46" s="1016">
        <f>SUM(F42:F45)</f>
        <v>0</v>
      </c>
      <c r="G46" s="11"/>
      <c r="H46" s="2" t="s">
        <v>437</v>
      </c>
      <c r="I46" s="541">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row>
    <row r="47" spans="1:10" ht="15" hidden="1" customHeight="1" outlineLevel="1" x14ac:dyDescent="0.3">
      <c r="A47" s="10"/>
      <c r="B47" s="9" t="s">
        <v>436</v>
      </c>
      <c r="C47" s="15">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1"/>
      <c r="E47" s="1006" t="s">
        <v>2164</v>
      </c>
      <c r="F47" s="1005">
        <f>calcTier1MBX*TotTier1IOPS</f>
        <v>0</v>
      </c>
      <c r="G47" s="11"/>
      <c r="H47" s="2" t="s">
        <v>436</v>
      </c>
      <c r="I47" s="541">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row>
    <row r="48" spans="1:10" ht="15" hidden="1" customHeight="1" outlineLevel="1" x14ac:dyDescent="0.3">
      <c r="A48" s="10"/>
      <c r="B48" s="9" t="s">
        <v>357</v>
      </c>
      <c r="C48" s="15">
        <f>ROUNDUP(IF(calcTier3MBX&lt;&gt;0,Tier3MBXLimit+Tier3DumpsterSize+Tier3ArchiveMBXLimit+Tier3ArchiveDumpsterSize)*(1+CISizeFactor),0)</f>
        <v>0</v>
      </c>
      <c r="D48" s="11"/>
      <c r="E48" s="1004" t="s">
        <v>2165</v>
      </c>
      <c r="F48" s="1009">
        <f>calcTier2MBX*TotTier2IOPS</f>
        <v>0</v>
      </c>
      <c r="G48" s="11"/>
      <c r="H48" s="2" t="s">
        <v>357</v>
      </c>
      <c r="I48" s="541">
        <f>ROUNDUP(IF(calcTier4MBX&lt;&gt;0,Tier4MBXLimit+Tier4DumpsterSize+Tier4ArchiveMBXLimit+Tier4ArchiveDumpsterSize)*(1+CISizeFactor),0)</f>
        <v>0</v>
      </c>
    </row>
    <row r="49" spans="1:10" ht="15" hidden="1" customHeight="1" outlineLevel="1" x14ac:dyDescent="0.3">
      <c r="A49" s="10"/>
      <c r="B49" s="9" t="s">
        <v>339</v>
      </c>
      <c r="C49" s="15">
        <f>IF(calcTier3MBX&lt;&gt;0,IF(Tier3PredictIOPS="Yes",Tier3MessageProfile*0.001*varIOPSMF*(1+CIIOPsFactor),0),0)</f>
        <v>0</v>
      </c>
      <c r="D49" s="4"/>
      <c r="E49" s="1006" t="s">
        <v>2166</v>
      </c>
      <c r="F49" s="1005">
        <f>calcTier3MBX*TotTier3IOPS</f>
        <v>0</v>
      </c>
      <c r="G49" s="4"/>
      <c r="H49" s="2" t="s">
        <v>339</v>
      </c>
      <c r="I49" s="541">
        <f>IF(calcTier4MBX&lt;&gt;0,IF(Tier4PredictIOPS="Yes",Tier4MessageProfile*0.001*varIOPSMF*(1+CIIOPsFactor),0),0)</f>
        <v>0</v>
      </c>
    </row>
    <row r="50" spans="1:10" ht="15" hidden="1" customHeight="1" outlineLevel="1" x14ac:dyDescent="0.3">
      <c r="A50" s="10"/>
      <c r="B50" s="9" t="s">
        <v>340</v>
      </c>
      <c r="C50" s="15">
        <f>Tier3BaseIOPS*calcTier3RWRatio*(1+VLOOKUP(Tier3OLVersion,tblOLSearchIOPOffset,2,FALSE))*IF(calcMCDBEnabled,(1-varMCDBIOPsReduction),1)</f>
        <v>0</v>
      </c>
      <c r="D50" s="4"/>
      <c r="E50" s="1004" t="s">
        <v>2167</v>
      </c>
      <c r="F50" s="1009">
        <f>calcTier4MBX*TotTier4IOPS</f>
        <v>0</v>
      </c>
      <c r="G50" s="4"/>
      <c r="H50" s="2" t="s">
        <v>340</v>
      </c>
      <c r="I50" s="541">
        <f>Tier4BaseIOPS*calcTier4RWRatio*(1+VLOOKUP(Tier4OLVersion,tblOLSearchIOPOffset,2,FALSE))*IF(calcMCDBEnabled,(1-varMCDBIOPsReduction),1)</f>
        <v>0</v>
      </c>
    </row>
    <row r="51" spans="1:10" ht="15" hidden="1" customHeight="1" outlineLevel="1" x14ac:dyDescent="0.3">
      <c r="A51" s="10"/>
      <c r="B51" s="2" t="s">
        <v>341</v>
      </c>
      <c r="C51" s="15">
        <f>Tier3BaseIOPS*(1-calcTier3RWRatio)</f>
        <v>0</v>
      </c>
      <c r="D51" s="4"/>
      <c r="E51" s="1006" t="s">
        <v>2168</v>
      </c>
      <c r="F51" s="1005">
        <f>SUM(F47:F50)</f>
        <v>0</v>
      </c>
      <c r="G51" s="4"/>
      <c r="H51" s="2" t="s">
        <v>341</v>
      </c>
      <c r="I51" s="541">
        <f>Tier4BaseIOPS*(1-calcTier4RWRatio)</f>
        <v>0</v>
      </c>
    </row>
    <row r="52" spans="1:10" ht="15" hidden="1" customHeight="1" outlineLevel="1" x14ac:dyDescent="0.3">
      <c r="A52" s="10"/>
      <c r="B52" s="2" t="s">
        <v>285</v>
      </c>
      <c r="C52" s="15">
        <f>IF(AND(Tier3DesktopSearch="Yes",Tier3MBXSize&gt;=256),MROUND(Tier3MBXSize/170.666666,0.5),1)</f>
        <v>1</v>
      </c>
      <c r="D52" s="4"/>
      <c r="E52" s="1004" t="s">
        <v>2169</v>
      </c>
      <c r="F52" s="1010">
        <f>IFERROR(calcTier1CapacityRequirement/calcAggregateCapacity,0)</f>
        <v>0</v>
      </c>
      <c r="G52" s="4"/>
      <c r="H52" s="2" t="s">
        <v>285</v>
      </c>
      <c r="I52" s="541">
        <f>IF(AND(Tier4DesktopSearch="Yes",Tier4MBXSize&gt;=256),MROUND(Tier4MBXSize/170.666666,0.5),1)</f>
        <v>1</v>
      </c>
    </row>
    <row r="53" spans="1:10" ht="15" hidden="1" customHeight="1" outlineLevel="1" x14ac:dyDescent="0.3">
      <c r="A53" s="10"/>
      <c r="B53" s="2" t="s">
        <v>342</v>
      </c>
      <c r="C53" s="15">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4"/>
      <c r="E53" s="1006" t="s">
        <v>2170</v>
      </c>
      <c r="F53" s="1011">
        <f>IFERROR(calcTier2CapacityRequirement/calcAggregateCapacity,0)</f>
        <v>0</v>
      </c>
      <c r="G53" s="4"/>
      <c r="H53" s="2" t="s">
        <v>342</v>
      </c>
      <c r="I53" s="541">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3">
      <c r="A54" s="10"/>
      <c r="B54" s="2" t="s">
        <v>343</v>
      </c>
      <c r="C54" s="15">
        <f>IF(calcTier3MBX&lt;&gt;0,IF(Tier3PredictIOPS="Yes",Tier3BaseDBWrites*IF(Tier3IOFactor=1,1,calcTier3IOFactor),0),0)</f>
        <v>0</v>
      </c>
      <c r="D54" s="4"/>
      <c r="E54" s="1004" t="s">
        <v>2171</v>
      </c>
      <c r="F54" s="1010">
        <f>IFERROR(calcTier3CapacityRequirement/calcAggregateCapacity,0)</f>
        <v>0</v>
      </c>
      <c r="G54" s="4"/>
      <c r="H54" s="2" t="s">
        <v>343</v>
      </c>
      <c r="I54" s="541">
        <f>IF(calcTier4MBX&lt;&gt;0,IF(Tier4PredictIOPS="Yes",Tier4BaseDBWrites*IF(Tier4IOFactor=1,1,calcTier4IOFactor),0),0)</f>
        <v>0</v>
      </c>
    </row>
    <row r="55" spans="1:10" ht="15" hidden="1" customHeight="1" outlineLevel="1" x14ac:dyDescent="0.3">
      <c r="B55" s="9" t="s">
        <v>136</v>
      </c>
      <c r="C55" s="15">
        <f>IF(calcTier3MBX&lt;&gt;0,IF(Tier3PredictIOPS="Yes",IF(calcHAOption,IF(Tier3MessageProfile&lt;=250,0.6,0.5),IF(Tier3MessageProfile&lt;=250,0.5,0.4)),VLOOKUP(Tier3RWRatio,tblRWRatio,2,FALSE)),0)</f>
        <v>0</v>
      </c>
      <c r="D55" s="4"/>
      <c r="E55" s="1006" t="s">
        <v>2172</v>
      </c>
      <c r="F55" s="1011">
        <f>IFERROR(calcTier4CapacityRequirement/calcAggregateCapacity,0)</f>
        <v>0</v>
      </c>
      <c r="G55" s="4"/>
      <c r="H55" s="2" t="s">
        <v>136</v>
      </c>
      <c r="I55" s="541">
        <f>IF(calcTier4MBX&lt;&gt;0,IF(Tier4PredictIOPS="Yes",IF(calcHAOption,IF(Tier4MessageProfile&lt;=250,0.6,0.5),IF(Tier4MessageProfile&lt;=250,0.5,0.4)),VLOOKUP(Tier4RWRatio,tblRWRatio,2,FALSE)),0)</f>
        <v>0</v>
      </c>
    </row>
    <row r="56" spans="1:10" ht="15" hidden="1" customHeight="1" outlineLevel="1" x14ac:dyDescent="0.3">
      <c r="B56" s="9" t="s">
        <v>15</v>
      </c>
      <c r="C56" s="15">
        <f>IF(calcTier3MBX&lt;&gt;0,IF(Tier3PredictIOPS="Yes",(calcTier3DBWrites+calcTier3DBReads),(Tier3IOPS*IF(Tier3IOFactor=0,1,calcTier3IOFactor))),0)</f>
        <v>0</v>
      </c>
      <c r="D56" s="4"/>
      <c r="E56" s="1004" t="s">
        <v>2173</v>
      </c>
      <c r="F56" s="1010">
        <f>IFERROR(calcTier1IORequirement/calcAggregateIO,0)</f>
        <v>0</v>
      </c>
      <c r="G56" s="4"/>
      <c r="H56" s="2" t="s">
        <v>15</v>
      </c>
      <c r="I56" s="541">
        <f>IF(calcTier4MBX&lt;&gt;0,IF(Tier4PredictIOPS="Yes",(calcTier4DBWrites+calcTier4DBReads),(Tier4IOPS*IF(Tier4IOFactor=0,1,calcTier4IOFactor))),0)</f>
        <v>0</v>
      </c>
    </row>
    <row r="57" spans="1:10" ht="15" hidden="1" customHeight="1" outlineLevel="1" x14ac:dyDescent="0.3">
      <c r="B57" s="9" t="s">
        <v>138</v>
      </c>
      <c r="C57" s="15">
        <f>calcTier3MBX*TotTier3IOPS</f>
        <v>0</v>
      </c>
      <c r="D57" s="4"/>
      <c r="E57" s="1006" t="s">
        <v>2174</v>
      </c>
      <c r="F57" s="1011">
        <f>IFERROR(calcTier2IORequirement/calcAggregateIO,0)</f>
        <v>0</v>
      </c>
      <c r="G57" s="4"/>
      <c r="H57" s="2" t="s">
        <v>138</v>
      </c>
      <c r="I57" s="541">
        <f>calcTier4MBX*TotTier4IOPS</f>
        <v>0</v>
      </c>
    </row>
    <row r="58" spans="1:10" ht="15" hidden="1" customHeight="1" outlineLevel="1" x14ac:dyDescent="0.3">
      <c r="B58" s="9" t="s">
        <v>0</v>
      </c>
      <c r="C58" s="15">
        <f>IF(calcTier3MBX&gt;0,Tier3DBTransfers*IF(Tier3PredictIOPS="Yes",calcTier3DBReads/(calcTier3DBReads+calcTier3DBWrites),calcTier3RWRatio),0)</f>
        <v>0</v>
      </c>
      <c r="D58" s="4"/>
      <c r="E58" s="1004" t="s">
        <v>2175</v>
      </c>
      <c r="F58" s="1010">
        <f>IFERROR(calcTier3IORequirement/calcAggregateIO,0)</f>
        <v>0</v>
      </c>
      <c r="G58" s="4"/>
      <c r="H58" s="2" t="s">
        <v>0</v>
      </c>
      <c r="I58" s="541">
        <f>IF(calcTier4MBX&gt;0,Tier4DBTransfers*IF(Tier4PredictIOPS="Yes",calcTier4DBReads/(calcTier4DBReads+calcTier4DBWrites),calcTier4RWRatio),0)</f>
        <v>0</v>
      </c>
    </row>
    <row r="59" spans="1:10" ht="15" hidden="1" customHeight="1" outlineLevel="1" x14ac:dyDescent="0.3">
      <c r="B59" s="9" t="s">
        <v>1</v>
      </c>
      <c r="C59" s="15">
        <f>IF(calcTier3MBX&gt;0,Tier3DBTransfers*IF(Tier3PredictIOPS="Yes",calcTier3DBWrites/(calcTier3DBReads+calcTier3DBWrites),(1-calcTier3RWRatio)),0)</f>
        <v>0</v>
      </c>
      <c r="D59" s="4"/>
      <c r="E59" s="1012" t="s">
        <v>2176</v>
      </c>
      <c r="F59" s="1013">
        <f>IFERROR(calcTier4IORequirement/calcAggregateIO,0)</f>
        <v>0</v>
      </c>
      <c r="G59" s="4"/>
      <c r="H59" s="2" t="s">
        <v>1</v>
      </c>
      <c r="I59" s="541">
        <f>IF(calcTier4MBX&gt;0,Tier4DBTransfers*IF(Tier4PredictIOPS="Yes",calcTier4DBWrites/(calcTier4DBReads+calcTier4DBWrites),(1-calcTier4RWRatio)),0)</f>
        <v>0</v>
      </c>
    </row>
    <row r="60" spans="1:10" ht="15" hidden="1" customHeight="1" outlineLevel="1" x14ac:dyDescent="0.3">
      <c r="A60" s="10"/>
      <c r="D60" s="4"/>
      <c r="E60" s="4"/>
      <c r="F60" s="4"/>
      <c r="G60" s="4"/>
      <c r="J60" s="9"/>
    </row>
    <row r="61" spans="1:10" ht="15" hidden="1" customHeight="1" outlineLevel="1" x14ac:dyDescent="0.3">
      <c r="A61" s="10"/>
      <c r="B61" s="112" t="s">
        <v>13</v>
      </c>
      <c r="C61" s="117" t="s">
        <v>244</v>
      </c>
      <c r="D61" s="478"/>
      <c r="E61" s="117" t="s">
        <v>2183</v>
      </c>
      <c r="F61" s="117" t="s">
        <v>244</v>
      </c>
      <c r="G61" s="4"/>
      <c r="H61" s="117" t="s">
        <v>472</v>
      </c>
      <c r="I61" s="123" t="s">
        <v>244</v>
      </c>
      <c r="J61" s="9"/>
    </row>
    <row r="62" spans="1:10" ht="15" hidden="1" customHeight="1" outlineLevel="1" x14ac:dyDescent="0.3">
      <c r="A62" s="10"/>
      <c r="B62" s="2" t="s">
        <v>306</v>
      </c>
      <c r="C62" s="14">
        <f>IF(PreferredStorageArch=INDEX(varStorageArchitecture,1),
   IF(calcSiteResilienceEnabled,
     MIN(DBForDiskCap1,DBForDiskCap2,varMax2CopyDBSize),
     MIN(DBForDiskCap1,varMax2CopyDBSize)),
   varMaxSADBSize)</f>
        <v>2000</v>
      </c>
      <c r="E62" s="2" t="s">
        <v>2178</v>
      </c>
      <c r="F62" s="2">
        <f>IF(calcTier1MBX&gt;0,MAX(ROUNDDOWN(calcRecMaxDBSize*(1-DataGrowth)*(1-IF(RestoreVol="Yes",RestoreFactor,0))*1024*calcTier1CapacityRatio/Tier1MBXSize,0),1),0)</f>
        <v>0</v>
      </c>
      <c r="G62" s="4"/>
      <c r="H62" s="2" t="s">
        <v>604</v>
      </c>
      <c r="I62" s="10">
        <f>IF(calcHAOption,IF(calcSiteResilienceEnabled,numDBCopies-numDBCopiesSDC + IF(calcReplayLagManagerEnabled="Yes",numLagCopies-numLagCopiesSDC,0),numDBCopies),0)</f>
        <v>2</v>
      </c>
      <c r="J62" s="9"/>
    </row>
    <row r="63" spans="1:10" ht="15" hidden="1" customHeight="1" outlineLevel="1" x14ac:dyDescent="0.3">
      <c r="A63" s="10"/>
      <c r="B63" s="2" t="s">
        <v>1542</v>
      </c>
      <c r="C63" s="14">
        <f>IF(DBSizeOverride="Default",IFERROR(IF(calcHAOption,MIN(DBForDiskCap1/(numDBCopies+numLagCopies),calcMaxDBSize),calcMaxDBSize),calcMaxDBSize),CustomMaxDBSize)</f>
        <v>2000</v>
      </c>
      <c r="E63" s="2" t="s">
        <v>2184</v>
      </c>
      <c r="F63" s="2">
        <f>IF(calcTier2MBX&gt;0,MAX(ROUNDDOWN(calcRecMaxDBSize*(1-DataGrowth)*(1-IF(RestoreVol="Yes",RestoreFactor,0))*1024*calcTier2CapacityRatio/Tier2MBXSize,0),1),0)</f>
        <v>0</v>
      </c>
      <c r="G63" s="4"/>
      <c r="H63" s="2" t="s">
        <v>1573</v>
      </c>
      <c r="I63" s="10">
        <f>IF(calcHAOption,numDBCopies-IF(calcSiteResilienceEnabled,numDBCopiesSDC,0),0)</f>
        <v>2</v>
      </c>
      <c r="J63" s="9"/>
    </row>
    <row r="64" spans="1:10" ht="15" hidden="1" customHeight="1" outlineLevel="1" x14ac:dyDescent="0.3">
      <c r="A64" s="10"/>
      <c r="B64" s="2" t="s">
        <v>370</v>
      </c>
      <c r="C64" s="14">
        <f>IF(VolDesign=INDEX(varVolDesign,2),varMaxNumDBVolBS,IF(VolArchitecture=INDEX(varVolumeArchitecture,4),IF(CEILING(varMaxNumDBs,RecDBperVolume)&gt;varMaxNumDBs,CEILING(varMaxNumDBs,RecDBperVolume)-(RecDBperVolume),CEILING(varMaxNumDBs,RecDBperVolume)),varMaxNumDBs))</f>
        <v>100</v>
      </c>
      <c r="E64" s="2" t="s">
        <v>2185</v>
      </c>
      <c r="F64" s="2">
        <f>IF(calcTier3MBX&gt;0,MAX(ROUNDDOWN(calcRecMaxDBSize*(1-DataGrowth)*(1-IF(RestoreVol="Yes",RestoreFactor,0))*1024*calcTier3CapacityRatio/Tier3MBXSize,0),1),0)</f>
        <v>0</v>
      </c>
      <c r="G64" s="4"/>
      <c r="H64" s="2" t="s">
        <v>605</v>
      </c>
      <c r="I64" s="10">
        <f>IF(calcSiteResilienceEnabled,numDBCopiesSDC+IF(calcReplayLagManagerEnabled="Yes",IF(numLagCopies&gt;0,numLagCopiesSDC,0),0),0)</f>
        <v>1</v>
      </c>
      <c r="J64" s="9"/>
    </row>
    <row r="65" spans="1:10" ht="15" hidden="1" customHeight="1" outlineLevel="1" x14ac:dyDescent="0.3">
      <c r="A65" s="10"/>
      <c r="B65" s="2" t="s">
        <v>377</v>
      </c>
      <c r="C65" s="14">
        <f>IF(calcHAOption,MIN(varDBOverideLimit,ROUNDDOWN(calcMaxNumDBs*numActMBXSvrsPerDC/(calcNumDBCopyInPDCActual+IF(calcDedLaggedCopyServer="No",calcNumLagCopyInPDCActual,0)),0)),strEmpty)</f>
        <v>400</v>
      </c>
      <c r="E65" s="2" t="s">
        <v>2186</v>
      </c>
      <c r="F65" s="2">
        <f>IF(calcTier4MBX&gt;0,MAX(ROUNDDOWN(calcRecMaxDBSize*(1-DataGrowth)*(1-IF(RestoreVol="Yes",RestoreFactor,0))*1024*calcTier4CapacityRatio/Tier4MBXSize,0),1),0)</f>
        <v>0</v>
      </c>
      <c r="G65" s="4"/>
      <c r="H65" s="2" t="s">
        <v>1571</v>
      </c>
      <c r="I65" s="10">
        <f>IF(calcSiteResilienceEnabled,numDBCopiesSDC,0)</f>
        <v>1</v>
      </c>
      <c r="J65" s="9"/>
    </row>
    <row r="66" spans="1:10" ht="15" hidden="1" customHeight="1" outlineLevel="1" x14ac:dyDescent="0.3">
      <c r="A66" s="10"/>
      <c r="B66" s="2" t="s">
        <v>2187</v>
      </c>
      <c r="C66" s="15">
        <f>IFERROR(calcTier1MBX/TotalMBX,0)</f>
        <v>0</v>
      </c>
      <c r="E66" s="2" t="s">
        <v>2179</v>
      </c>
      <c r="F66" s="2">
        <f>IF(calcTier1MBX&gt;0,MAX(ROUNDDOWN(RandDBDiskIO1*(1-IOGrowth)/RecDBperVolume*calcTier1IORatio/TotTier1IOPS,0),1),0)</f>
        <v>0</v>
      </c>
      <c r="G66" s="4"/>
      <c r="H66" s="2" t="s">
        <v>606</v>
      </c>
      <c r="I66" s="10">
        <f>IF(calcHAOption,IF(calcReplayLagManagerEnabled="Yes",0,numLagCopies-numLagCopiesSDC),0)</f>
        <v>0</v>
      </c>
      <c r="J66" s="9"/>
    </row>
    <row r="67" spans="1:10" ht="15" hidden="1" customHeight="1" outlineLevel="1" x14ac:dyDescent="0.3">
      <c r="A67" s="10"/>
      <c r="B67" s="2" t="s">
        <v>2188</v>
      </c>
      <c r="C67" s="15">
        <f>IFERROR(calcTier2MBX/TotalMBX,0)</f>
        <v>0</v>
      </c>
      <c r="E67" s="2" t="s">
        <v>2180</v>
      </c>
      <c r="F67" s="2">
        <f>IF(calcTier2MBX&gt;0,MAX(ROUNDDOWN(RandDBDiskIO1*(1-IOGrowth)/RecDBperVolume*calcTier2IORatio/TotTier2IOPS,0),1),0)</f>
        <v>0</v>
      </c>
      <c r="G67" s="4"/>
      <c r="H67" s="2" t="s">
        <v>1574</v>
      </c>
      <c r="I67" s="10">
        <f>numLagCopies-numLagCopiesSDC</f>
        <v>0</v>
      </c>
      <c r="J67" s="9"/>
    </row>
    <row r="68" spans="1:10" ht="15" hidden="1" customHeight="1" outlineLevel="1" x14ac:dyDescent="0.3">
      <c r="A68" s="10"/>
      <c r="B68" s="2" t="s">
        <v>2189</v>
      </c>
      <c r="C68" s="15">
        <f>IFERROR(calcTier3MBX/TotalMBX,0)</f>
        <v>0</v>
      </c>
      <c r="E68" s="2" t="s">
        <v>2181</v>
      </c>
      <c r="F68" s="2">
        <f>IF(calcTier3MBX&gt;0,MAX(ROUNDDOWN(RandDBDiskIO1*(1-IOGrowth)/RecDBperVolume*calcTier3IORatio/TotTier3IOPS,0),1),0)</f>
        <v>0</v>
      </c>
      <c r="G68" s="4"/>
      <c r="H68" s="2" t="s">
        <v>607</v>
      </c>
      <c r="I68" s="10">
        <f>IF(calcHAOption,IF(calcReplayLagManagerEnabled="Yes",0,numLagCopiesSDC),0)</f>
        <v>1</v>
      </c>
      <c r="J68" s="9"/>
    </row>
    <row r="69" spans="1:10" ht="15" hidden="1" customHeight="1" outlineLevel="1" x14ac:dyDescent="0.3">
      <c r="A69" s="10"/>
      <c r="B69" s="2" t="s">
        <v>2190</v>
      </c>
      <c r="C69" s="15">
        <f>IFERROR(calcTier4MBX/TotalMBX,0)</f>
        <v>0</v>
      </c>
      <c r="E69" s="2" t="s">
        <v>2182</v>
      </c>
      <c r="F69" s="2">
        <f>IF(calcTier4MBX&gt;0,MAX(ROUNDDOWN(RandDBDiskIO1*(1-IOGrowth)/RecDBperVolume*calcTier4IORatio/TotTier4IOPS,0),1),0)</f>
        <v>0</v>
      </c>
      <c r="G69" s="4"/>
      <c r="H69" s="2" t="s">
        <v>1572</v>
      </c>
      <c r="I69" s="10">
        <f>numLagCopiesSDC</f>
        <v>1</v>
      </c>
      <c r="J69" s="9"/>
    </row>
    <row r="70" spans="1:10" ht="15" hidden="1" customHeight="1" outlineLevel="1" x14ac:dyDescent="0.3">
      <c r="A70" s="10"/>
      <c r="B70" s="2" t="s">
        <v>111</v>
      </c>
      <c r="C70" s="14">
        <f>IF(IOPSBound,calcTier1MBXDBIO,calcTier1MBXDBCapacity)</f>
        <v>0</v>
      </c>
      <c r="G70" s="4"/>
      <c r="H70" s="2" t="s">
        <v>1158</v>
      </c>
      <c r="I70" s="10">
        <f>calcNumDBCopyInPDCActual+calcNumDBCopyInSDCActual</f>
        <v>3</v>
      </c>
      <c r="J70" s="9"/>
    </row>
    <row r="71" spans="1:10" ht="15" hidden="1" customHeight="1" outlineLevel="1" x14ac:dyDescent="0.3">
      <c r="A71" s="10"/>
      <c r="B71" s="2" t="s">
        <v>112</v>
      </c>
      <c r="C71" s="14">
        <f>IF(IOPSBound,calcTier2MBXDBIO,calcTier2MBXDBCapacity)</f>
        <v>0</v>
      </c>
      <c r="G71" s="4"/>
      <c r="H71" s="453" t="s">
        <v>1159</v>
      </c>
      <c r="I71" s="460">
        <f>calcNumLagCopyInPDCActual+calcNumLagCopyInSDCActual</f>
        <v>1</v>
      </c>
      <c r="J71" s="9"/>
    </row>
    <row r="72" spans="1:10" ht="15" hidden="1" customHeight="1" outlineLevel="1" x14ac:dyDescent="0.3">
      <c r="A72" s="10"/>
      <c r="B72" s="2" t="s">
        <v>113</v>
      </c>
      <c r="C72" s="14">
        <f>IF(IOPSBound,calcTier3MBXDBIO,calcTier3MBXDBCapacity)</f>
        <v>0</v>
      </c>
      <c r="G72" s="4"/>
      <c r="J72" s="9"/>
    </row>
    <row r="73" spans="1:10" ht="15" hidden="1" customHeight="1" outlineLevel="1" x14ac:dyDescent="0.3">
      <c r="A73" s="10"/>
      <c r="B73" s="2" t="s">
        <v>599</v>
      </c>
      <c r="C73" s="14">
        <f>IF(IOPSBound,calcTier4MBXDBIO,calcTier4MBXDBCapacity)</f>
        <v>0</v>
      </c>
      <c r="G73" s="4"/>
      <c r="H73" s="112" t="s">
        <v>4</v>
      </c>
      <c r="I73" s="117" t="s">
        <v>244</v>
      </c>
      <c r="J73" s="9"/>
    </row>
    <row r="74" spans="1:10" ht="15" hidden="1" customHeight="1" outlineLevel="1" x14ac:dyDescent="0.3">
      <c r="A74" s="10"/>
      <c r="B74" s="2" t="s">
        <v>360</v>
      </c>
      <c r="C74" s="115">
        <f>calcTier1MBXDBIO+calcTier2MBXDBIO+calcTier3MBXDBIO+calcTier4MBXDBIO</f>
        <v>0</v>
      </c>
      <c r="G74" s="4"/>
      <c r="H74" s="2" t="s">
        <v>137</v>
      </c>
      <c r="I74" s="15">
        <f>IFERROR((Tier1ReadTransfers+Tier2ReadTransfers+Tier3ReadTransfers+Tier4ReadTransfers)/(Tier1DBTransfers+Tier2DBTransfers+Tier3DBTransfers+Tier4DBTransfers),0)</f>
        <v>0</v>
      </c>
      <c r="J74" s="9"/>
    </row>
    <row r="75" spans="1:10" ht="15" hidden="1" customHeight="1" outlineLevel="1" x14ac:dyDescent="0.3">
      <c r="A75" s="10"/>
      <c r="B75" s="2" t="s">
        <v>361</v>
      </c>
      <c r="C75" s="14">
        <f>calcTier1MBXDBCapacity+calcTier2MBXDBCapacity+calcTier3MBXDBCapacity+calcTier4MBXDBCapacity</f>
        <v>0</v>
      </c>
      <c r="G75" s="4"/>
      <c r="H75" s="2" t="s">
        <v>2140</v>
      </c>
      <c r="I75" s="14">
        <f>ROUNDUP((Tier1DBTransfers+Tier2DBTransfers+Tier3DBTransfers+Tier4DBTransfers+AdditionalIO)*(1+IOGrowth)*RecDBperVolume,0)</f>
        <v>0</v>
      </c>
      <c r="J75" s="9"/>
    </row>
    <row r="76" spans="1:10" ht="15" hidden="1" customHeight="1" outlineLevel="1" x14ac:dyDescent="0.3">
      <c r="A76" s="10"/>
      <c r="B76" s="2" t="s">
        <v>305</v>
      </c>
      <c r="C76" s="14">
        <f>IF(PreferredStorageArch=INDEX(varStorageArchitecture,1),MIN(calcNumMBXPerDBIO,calcNumMBXPerDBCap),calcNumMBXPerDBCap)</f>
        <v>0</v>
      </c>
      <c r="G76" s="4"/>
      <c r="H76" s="2" t="s">
        <v>2141</v>
      </c>
      <c r="I76" s="16">
        <f>EnvPeakIOPS/IF(calcHAOption,numDAGs*numMBXServers*IF(calcSiteResilienceEnabled,2,1),numMBXServers)</f>
        <v>0</v>
      </c>
      <c r="J76" s="9"/>
    </row>
    <row r="77" spans="1:10" ht="15" hidden="1" customHeight="1" outlineLevel="1" x14ac:dyDescent="0.3">
      <c r="A77" s="10"/>
      <c r="B77" s="2" t="str">
        <f>IF(calcHAOption,"Calculated Number of Databases / DAG","Calculated Number of Databases / Server")</f>
        <v>Calculated Number of Databases / DAG</v>
      </c>
      <c r="C77" s="14">
        <f>IFERROR(MIN(IF(ROUNDUP(IF(calcHAOption,TotMBXPerDAG,TotalMBXPerSvr)/calcMBXPerDB,0)&lt;2,ROUNDUP(IF(calcHAOption,TotMBXPerDAG,TotalMBXPerSvr)/calcMBXPerDB,0),CEILING(IF(calcHAOption,TotMBXPerDAG,TotalMBXPerSvr)/calcMBXPerDB,2)),IF(calcHAOption,calcMaxNumDBDAG,calcMaxNumDBs)),0)</f>
        <v>0</v>
      </c>
      <c r="G77" s="4"/>
      <c r="H77" s="2" t="s">
        <v>383</v>
      </c>
      <c r="I77" s="16">
        <f>PeakIOPSperServer*aggRWRatio</f>
        <v>0</v>
      </c>
    </row>
    <row r="78" spans="1:10" ht="15" hidden="1" customHeight="1" outlineLevel="1" x14ac:dyDescent="0.3">
      <c r="A78" s="10"/>
      <c r="B78" s="2" t="s">
        <v>708</v>
      </c>
      <c r="C78" s="14">
        <f>CEILING(calcNumDBs,PERMUT(calcNumAMBXServersDC1,calcNumDBCopyInPDCActual+IF(calcDedLaggedCopyServer="No",calcNumLagCopyInPDCActual,0)))</f>
        <v>0</v>
      </c>
      <c r="G78" s="4"/>
      <c r="H78" s="2" t="s">
        <v>380</v>
      </c>
      <c r="I78" s="16">
        <f>PeakIOPSperServer*(1-aggRWRatio)</f>
        <v>0</v>
      </c>
    </row>
    <row r="79" spans="1:10" ht="15" hidden="1" customHeight="1" outlineLevel="1" x14ac:dyDescent="0.3">
      <c r="A79" s="10"/>
      <c r="B79" s="2" t="str">
        <f>IF(calcHAOption,"Recommended Number of Databases / DAG","Recommended Number of Databases / Server")</f>
        <v>Recommended Number of Databases / DAG</v>
      </c>
      <c r="C79" s="14">
        <f>IF(calcDiskLimitOverride="Yes",CEILING(calcNumDBs,IF(calcSiteResilienceEnabled,numActMBXSvrsPerDC*2,RecDBperVolume)),numActMBXSvrsPerDC*2*NumDisksPerServer)</f>
        <v>0</v>
      </c>
      <c r="G79" s="4"/>
      <c r="H79" s="2" t="s">
        <v>381</v>
      </c>
      <c r="I79" s="16">
        <f>DBIOWriteTransfers*IF(calcHAOption,0.5,0.4)</f>
        <v>0</v>
      </c>
    </row>
    <row r="80" spans="1:10" ht="15" hidden="1" customHeight="1" outlineLevel="1" x14ac:dyDescent="0.3">
      <c r="A80" s="10"/>
      <c r="B80" s="2" t="str">
        <f>IF(calcHAOption,"Raw Number of Databases / DAG","Raw Number of Databases / Server")</f>
        <v>Raw Number of Databases / DAG</v>
      </c>
      <c r="C80" s="14">
        <f>IFERROR(IF(NumDBsOverride="No",IF(calcHAOption,IF(CustomNumDBs&gt;calcMaxNumDBDAG,calcMaxNumDBDAG,CustomNumDBs),IF(CustomNumDBs&gt;calcMaxNumDBs,calcMaxNumDBs,CustomNumDBs)),IF(calcHAOption,IF(AND(DBPermOverride="Yes",calcMaxNumDBDAG&gt;calcDBPerm),calcDBPerm,IF(AND(DBPermOverride="Yes",calcMaxNumDBDAG&lt;calcDBPerm,calcDBPerm-calcMaxNumDBDAG&lt;PERMUT(calcNumAMBXServersDC1,calcNumDBCopyInPDCActual),calcDBPerm-PERMUT(calcNumAMBXServersDC1,calcNumDBCopyInPDCActual)&lt;&gt;0),calcDBPerm-PERMUT(calcNumAMBXServersDC1,calcNumDBCopyInPDCActual),IF(calcNumDBs=calcMaxNumDBDAG,calcNumDBs,IF(calcNumDBs&lt;=1,1,CEILING(calcNumDBs,numActMBXSvrsPerDC*IF(AND(calcHAOption,calcSiteResilienceEnabled,SRModel=INDEX(varSRModel,1)),2,1)))))),IF(calcNumDBs&lt;=1,1,calcNumDBs))),1)</f>
        <v>0</v>
      </c>
      <c r="E80" s="4"/>
      <c r="F80" s="583"/>
      <c r="G80" s="4"/>
      <c r="H80" s="2" t="s">
        <v>382</v>
      </c>
      <c r="I80" s="16">
        <f>IFERROR(IF(calcHAOption,EnvPeakIOPS/IF(calcHAOption,numDAGs*numMBXServers*IF(calcSiteResilienceEnabled,2,1),numMBXServers)*(1-aggRWRatio)*0.5*0.1*calcNumDBMemSizing,0),0)</f>
        <v>0</v>
      </c>
    </row>
    <row r="81" spans="1:9" ht="15" hidden="1" customHeight="1" outlineLevel="1" x14ac:dyDescent="0.3">
      <c r="A81" s="10"/>
      <c r="B81" s="2" t="s">
        <v>97</v>
      </c>
      <c r="C81" s="14">
        <f>calcMBXPerDB</f>
        <v>0</v>
      </c>
      <c r="E81" s="4"/>
      <c r="F81" s="583"/>
      <c r="G81" s="4"/>
      <c r="H81" s="2" t="s">
        <v>520</v>
      </c>
      <c r="I81" s="16">
        <f>IFERROR(PeakIOPSperServer/TotNumDBCopiesServer,0)</f>
        <v>0</v>
      </c>
    </row>
    <row r="82" spans="1:9" ht="15" hidden="1" customHeight="1" outlineLevel="1" x14ac:dyDescent="0.3">
      <c r="A82" s="10"/>
      <c r="B82" s="2" t="s">
        <v>826</v>
      </c>
      <c r="C82" s="14">
        <f>IFERROR(IF(calcHAOption,MIN(ROUNDDOWN(IF(calcSiteResilienceEnabled,MIN(DBForDiskCap1,DBForDiskCap2),DBForDiskCap1)/calcRecMaxDBSize,0)),1),0)</f>
        <v>5</v>
      </c>
      <c r="E82" s="4"/>
      <c r="F82" s="4"/>
      <c r="G82" s="4"/>
      <c r="H82" s="2" t="s">
        <v>521</v>
      </c>
      <c r="I82" s="16">
        <f>IFERROR((LogIOWriteTransfers+LogIOReadTransfers)/TotNumDBCopiesServer,0)</f>
        <v>0</v>
      </c>
    </row>
    <row r="83" spans="1:9" ht="15" hidden="1" customHeight="1" outlineLevel="1" x14ac:dyDescent="0.3">
      <c r="A83" s="10"/>
      <c r="B83" s="2" t="s">
        <v>1189</v>
      </c>
      <c r="C83" s="14">
        <f>IF(OR(VolArchitecture=INDEX(varVolumeArchitecture,1),NOT(calcHAOption)),1,
    IF(SRModel=INDEX(varSRModel,1),
       MIN(calcMaxDBperVolume,
           (calcTotNumHACopies+calcTotNumLagCopies)/IF(NumDBperVolOverride="No",IF(ISEVEN(calcTotNumHACopies+calcTotNumLagCopies),2,1),1)
          ),
       MIN(calcMaxDBperVolume,
           MAX(calcNumDBCopyInPDCActual+calcNumLagCopyInPDCActual,
               IF(OptimizeforAP="Yes",(calcNumDBCopyInPDCActual+calcNumLagCopyInPDCActual)*2,1),
                  calcNumDBCopyInSDCActual+calcNumLagCopyInSDCActual)/IF(NumDBperVolOverride="No",IF(ISEVEN(calcTotNumHACopies+calcTotNumLagCopies),2,1),1)
          )
      )
   )</f>
        <v>4</v>
      </c>
      <c r="E83" s="4"/>
      <c r="F83" s="4"/>
      <c r="G83" s="4"/>
      <c r="I83" s="10"/>
    </row>
    <row r="84" spans="1:9" ht="15" hidden="1" customHeight="1" outlineLevel="1" x14ac:dyDescent="0.3">
      <c r="A84" s="10"/>
      <c r="C84" s="14"/>
      <c r="E84" s="4"/>
      <c r="F84" s="4"/>
      <c r="G84" s="4"/>
      <c r="H84" s="112" t="s">
        <v>387</v>
      </c>
      <c r="I84" s="123" t="s">
        <v>244</v>
      </c>
    </row>
    <row r="85" spans="1:9" ht="15" hidden="1" customHeight="1" outlineLevel="1" x14ac:dyDescent="0.35">
      <c r="A85" s="10"/>
      <c r="B85" s="372" t="s">
        <v>673</v>
      </c>
      <c r="C85" s="372" t="s">
        <v>244</v>
      </c>
      <c r="G85" s="4"/>
      <c r="H85" s="2" t="s">
        <v>280</v>
      </c>
      <c r="I85" s="124">
        <f>IF(numLagCopies&lt;&gt;0,MIN(ReplayLagHours/24,14),0)</f>
        <v>8</v>
      </c>
    </row>
    <row r="86" spans="1:9" ht="15" hidden="1" customHeight="1" outlineLevel="1" x14ac:dyDescent="0.3">
      <c r="A86" s="10"/>
      <c r="B86" s="7" t="str">
        <f>IF(calcHAOption,"Number of Active Databases in Datacenter 1 / DAG","Number of Databases in Datacenter 1 / Server")</f>
        <v>Number of Active Databases in Datacenter 1 / DAG</v>
      </c>
      <c r="C86" s="7">
        <f>IF(SRModel=INDEX(varSRModel,1),RecNumDBs/2,RecNumDBs)</f>
        <v>0</v>
      </c>
      <c r="G86" s="4"/>
      <c r="H86" s="2" t="s">
        <v>281</v>
      </c>
      <c r="I86" s="124">
        <f>IF(numLagCopies&lt;&gt;0,MIN(TruncationLagHours/24,14),0)</f>
        <v>0</v>
      </c>
    </row>
    <row r="87" spans="1:9" ht="15" hidden="1" customHeight="1" outlineLevel="1" x14ac:dyDescent="0.3">
      <c r="A87" s="10"/>
      <c r="B87" s="2" t="s">
        <v>637</v>
      </c>
      <c r="C87" s="14">
        <f>IF(SRModel=INDEX(varSRModel,1),RecNumDBs/2,0)</f>
        <v>0</v>
      </c>
      <c r="G87" s="4"/>
      <c r="H87" s="2" t="s">
        <v>432</v>
      </c>
      <c r="I87" s="10">
        <f>IF(AND(numLagCopies&gt;0,calcDedLaggedCopyServer="Yes",calcHAOption),ROUNDUP(calcTotNumLagDBCopiesPDC/TotNumDBCopiesServer,0)+ROUNDUP(calcTotNumLagDBCopiesSDC/TotNumDBCopiesServer,0),0)</f>
        <v>0</v>
      </c>
    </row>
    <row r="88" spans="1:9" ht="15" hidden="1" customHeight="1" outlineLevel="1" x14ac:dyDescent="0.3">
      <c r="A88" s="10"/>
      <c r="B88" s="2" t="s">
        <v>678</v>
      </c>
      <c r="C88" s="14">
        <f>RecNumDBsDC1*(numDBCopies-numDBCopiesSDC)</f>
        <v>0</v>
      </c>
      <c r="G88" s="4"/>
      <c r="H88" s="2" t="s">
        <v>627</v>
      </c>
      <c r="I88" s="10">
        <f>calcNumLagMBXServers-calcNumLagMBXServersSDC</f>
        <v>0</v>
      </c>
    </row>
    <row r="89" spans="1:9" ht="15" hidden="1" customHeight="1" outlineLevel="1" x14ac:dyDescent="0.3">
      <c r="A89" s="10"/>
      <c r="B89" s="2" t="s">
        <v>670</v>
      </c>
      <c r="C89" s="14">
        <f>IF(SRModel=INDEX(varSRModel,1),calcTotNumHACopiesDC1inDC1,RecNumDBsDC2*numDBCopiesSDC)</f>
        <v>0</v>
      </c>
      <c r="G89" s="4"/>
      <c r="H89" s="2" t="s">
        <v>626</v>
      </c>
      <c r="I89" s="16">
        <f>IF(AND(calcSiteResilienceEnabled,calcDedLaggedCopyServer="Yes",numLagCopiesSDC&gt;0),ROUNDUP(calcTotNumLagDBCopiesSDC/TotNumDBCopiesServer,0),0)</f>
        <v>0</v>
      </c>
    </row>
    <row r="90" spans="1:9" ht="15" hidden="1" customHeight="1" outlineLevel="1" x14ac:dyDescent="0.3">
      <c r="A90" s="10"/>
      <c r="B90" s="2" t="str">
        <f>IF(SRModel=INDEX(varSRModel,1),"Number of DC1 Passive HA DB Copies in DC2 / DAG","Number of Passive HA DB Copies in DC2 / DAG")</f>
        <v>Number of DC1 Passive HA DB Copies in DC2 / DAG</v>
      </c>
      <c r="C90" s="14">
        <f>IF(SRModel=INDEX(varSRModel,1),RecNumDBsDC1,RecNumDBs)*numDBCopiesSDC</f>
        <v>0</v>
      </c>
      <c r="G90" s="4"/>
      <c r="H90" s="2" t="s">
        <v>623</v>
      </c>
      <c r="I90" s="16">
        <f>calcTotNumLagCopiesDC1</f>
        <v>0</v>
      </c>
    </row>
    <row r="91" spans="1:9" ht="15" hidden="1" customHeight="1" outlineLevel="1" x14ac:dyDescent="0.3">
      <c r="A91" s="10"/>
      <c r="B91" s="2" t="str">
        <f>IF(SRModel=INDEX(varSRModel,1),"Total Number of DC1 Passive DB Copies in DC2 / DAG","Total Number of Passive DB Copies in DC2 / DAG")</f>
        <v>Total Number of DC1 Passive DB Copies in DC2 / DAG</v>
      </c>
      <c r="C91" s="14">
        <f>RecNumDBsDC1*(numDBCopiesSDC+IF(AND(numLagCopiesSDC&gt;0,calcDedLaggedCopyServer="No"),numLagCopiesSDC))</f>
        <v>0</v>
      </c>
      <c r="G91" s="4"/>
      <c r="H91" s="2" t="s">
        <v>624</v>
      </c>
      <c r="I91" s="16">
        <f>calcTotNumLagCopiesDC2</f>
        <v>0</v>
      </c>
    </row>
    <row r="92" spans="1:9" ht="15" hidden="1" customHeight="1" outlineLevel="1" x14ac:dyDescent="0.3">
      <c r="A92" s="10"/>
      <c r="B92" s="2" t="s">
        <v>2071</v>
      </c>
      <c r="C92" s="2">
        <f>RecNumDBsDC2*(numDBCopiesSDC+IF(AND(numLagCopiesSDC&gt;0,calcDedLaggedCopyServer="No"),numLagCopiesSDC))</f>
        <v>0</v>
      </c>
      <c r="G92" s="4"/>
      <c r="H92" s="2" t="s">
        <v>403</v>
      </c>
      <c r="I92" s="391">
        <f>IF(AND(numLagCopies&gt;0,calcDedLaggedCopyServer="Yes",calcHAOption),ServerRAMConfig,0)</f>
        <v>0</v>
      </c>
    </row>
    <row r="93" spans="1:9" ht="15" hidden="1" customHeight="1" outlineLevel="1" x14ac:dyDescent="0.3">
      <c r="A93" s="10"/>
      <c r="B93" s="2" t="s">
        <v>674</v>
      </c>
      <c r="C93" s="2">
        <f>RecNumDBsDC2*numDBCopiesSDC</f>
        <v>0</v>
      </c>
      <c r="G93" s="4"/>
      <c r="H93" s="4"/>
      <c r="I93" s="10"/>
    </row>
    <row r="94" spans="1:9" ht="15" hidden="1" customHeight="1" outlineLevel="1" x14ac:dyDescent="0.3">
      <c r="A94" s="10"/>
      <c r="B94" s="2" t="s">
        <v>2065</v>
      </c>
      <c r="C94" s="2">
        <f>RecNumDBsDC1*(numLagCopies-numLagCopiesSDC)+IF(SRModel=INDEX(varSRModel,1),RecNumDBsDC2*numLagCopiesSDC)</f>
        <v>0</v>
      </c>
      <c r="G94" s="4"/>
      <c r="H94" s="117" t="s">
        <v>29</v>
      </c>
      <c r="I94" s="123" t="s">
        <v>244</v>
      </c>
    </row>
    <row r="95" spans="1:9" ht="15" hidden="1" customHeight="1" outlineLevel="1" x14ac:dyDescent="0.3">
      <c r="A95" s="10"/>
      <c r="B95" s="2" t="s">
        <v>2066</v>
      </c>
      <c r="C95" s="2">
        <f>RecNumDBsDC1*numLagCopiesSDC+IF(SRModel&lt;&gt;INDEX(varSRModel,2),RecNumDBsDC1*(numLagCopies-numLagCopiesSDC),0)</f>
        <v>0</v>
      </c>
      <c r="G95" s="4"/>
      <c r="H95" s="227" t="s">
        <v>629</v>
      </c>
      <c r="I95" s="10">
        <f>numMBXServers</f>
        <v>8</v>
      </c>
    </row>
    <row r="96" spans="1:9" ht="15" hidden="1" customHeight="1" outlineLevel="1" x14ac:dyDescent="0.3">
      <c r="A96" s="10"/>
      <c r="D96" s="4"/>
      <c r="G96" s="4"/>
      <c r="H96" s="385" t="s">
        <v>676</v>
      </c>
      <c r="I96" s="10">
        <f>IF(AND(calcSiteResilienceEnabled,numActMBXSvrsPerDC&gt;1,calcNumDBCopyInPDCActual&gt;=1,SRModel=INDEX(varSRModel,1),calcSRAASDDRServers="Yes"),ROUNDUP(calcTotNumPassiveCopiesDC2inDC1/TotNumDBCopiesServer,0),0)</f>
        <v>0</v>
      </c>
    </row>
    <row r="97" spans="1:10" ht="15.75" hidden="1" customHeight="1" outlineLevel="1" thickBot="1" x14ac:dyDescent="0.35">
      <c r="A97" s="10"/>
      <c r="B97" s="228" t="s">
        <v>29</v>
      </c>
      <c r="C97" s="171" t="s">
        <v>244</v>
      </c>
      <c r="D97" s="374"/>
      <c r="E97" s="4"/>
      <c r="F97" s="4"/>
      <c r="G97" s="4"/>
      <c r="H97" s="386" t="s">
        <v>628</v>
      </c>
      <c r="I97" s="387">
        <f>IFERROR(IF(SRModel=INDEX(varSRModel,1),MIN(numMBXServers,ROUNDUP((calcTotNumHACopiesDC2inDC2+IF(calcSRAASDDRServers="No",calcTotNumHAPassCopiesDC1inDC2,0)+IF(calcDedLaggedCopyServer="No",calcTotNumLagCopiesDC2,0))/TotNumDBCopiesServer,0)),0),0)</f>
        <v>0</v>
      </c>
    </row>
    <row r="98" spans="1:10" ht="15.75" hidden="1" customHeight="1" outlineLevel="1" thickTop="1" x14ac:dyDescent="0.3">
      <c r="A98" s="10"/>
      <c r="B98" s="270" t="s">
        <v>632</v>
      </c>
      <c r="C98" s="10">
        <f>numDAGs</f>
        <v>1</v>
      </c>
      <c r="E98" s="4"/>
      <c r="F98" s="4"/>
      <c r="G98" s="4"/>
      <c r="H98" s="385" t="s">
        <v>675</v>
      </c>
      <c r="I98" s="388">
        <f>IFERROR(IF(AND(calcSiteResilienceEnabled,OR(calcNumDBCopyInSDC&gt;0,OR(calcNumDBCopyInSDC=0,AND(calcDedLaggedCopyServer="No",calcNumLagCopyInSDC&gt;0)))),IF(OR(AND(SRModel=INDEX(varSRModel,1),calcSRAASDDRServers="No"),AND(numActMBXSvrsPerDC=1,SRModel=INDEX(varSRModel,1))),0,MIN(numMBXServers,ROUNDUP(calcTotNumPassiveCopiesDC1inDC2/TotNumDBCopiesServer,0))),0),0)</f>
        <v>0</v>
      </c>
    </row>
    <row r="99" spans="1:10" ht="15.75" hidden="1" customHeight="1" outlineLevel="1" x14ac:dyDescent="0.3">
      <c r="A99" s="10"/>
      <c r="B99" s="292" t="s">
        <v>352</v>
      </c>
      <c r="C99" s="293">
        <f>calcTier1MBX+calcTier3MBX+calcTier2MBX+calcTier4MBX</f>
        <v>0</v>
      </c>
      <c r="D99" s="9"/>
      <c r="E99" s="4"/>
      <c r="F99" s="4"/>
      <c r="G99" s="4"/>
      <c r="H99" s="2" t="s">
        <v>630</v>
      </c>
      <c r="I99" s="10">
        <f>calcNumAMBXServersDC1+calcNumAMBXServersDC2</f>
        <v>8</v>
      </c>
    </row>
    <row r="100" spans="1:10" ht="15" hidden="1" customHeight="1" outlineLevel="1" x14ac:dyDescent="0.3">
      <c r="A100" s="10"/>
      <c r="B100" s="7" t="s">
        <v>304</v>
      </c>
      <c r="C100" s="290">
        <f>IF(calcHAOption,TotalMBX/calcNumDAGs,strEmpty)</f>
        <v>0</v>
      </c>
      <c r="E100" s="4"/>
      <c r="F100" s="4"/>
      <c r="G100" s="4"/>
      <c r="H100" s="2" t="s">
        <v>1176</v>
      </c>
      <c r="I100" s="10">
        <f>IF(calcHAOption,IF(calcSiteResilienceEnabled,calcNumAMBXServersDC1+calcNumPMBXServersDC1+calcNumAMBXServersDC2+calcNumPMBXServersDC2,calcNumAMBXServersDC1),strEmpty)</f>
        <v>8</v>
      </c>
    </row>
    <row r="101" spans="1:10" ht="15" hidden="1" customHeight="1" outlineLevel="1" x14ac:dyDescent="0.3">
      <c r="A101" s="10"/>
      <c r="B101" s="7" t="s">
        <v>625</v>
      </c>
      <c r="C101" s="293">
        <f>numMBXServers</f>
        <v>8</v>
      </c>
      <c r="E101" s="4"/>
      <c r="F101" s="4"/>
      <c r="G101" s="4"/>
      <c r="I101" s="10"/>
      <c r="J101" s="9"/>
    </row>
    <row r="102" spans="1:10" ht="15" hidden="1" customHeight="1" outlineLevel="1" x14ac:dyDescent="0.3">
      <c r="A102" s="10"/>
      <c r="B102" s="7" t="s">
        <v>488</v>
      </c>
      <c r="C102" s="291">
        <f>ROUNDUP(IF(calcHAOption,calcNumActiveDBs*MBXPerDB,TotalMBX/numMBXServers),0)</f>
        <v>0</v>
      </c>
      <c r="E102" s="4"/>
      <c r="F102" s="4"/>
      <c r="G102" s="4"/>
      <c r="H102" s="112" t="s">
        <v>27</v>
      </c>
      <c r="I102" s="123" t="s">
        <v>244</v>
      </c>
      <c r="J102" s="9"/>
    </row>
    <row r="103" spans="1:10" ht="15" hidden="1" customHeight="1" outlineLevel="1" x14ac:dyDescent="0.3">
      <c r="A103" s="10"/>
      <c r="B103" s="270" t="s">
        <v>283</v>
      </c>
      <c r="C103" s="16">
        <f>ROUNDUP(IF(calcHAOption,MBXPerDB*TotNumDBCopiesServer,TotalMBX/numMBXServers),0)</f>
        <v>0</v>
      </c>
      <c r="E103" s="4"/>
      <c r="F103" s="4"/>
      <c r="G103" s="4"/>
      <c r="H103" s="943" t="s">
        <v>2104</v>
      </c>
      <c r="I103" s="967">
        <f>(NumTier1MBXDB*Tier1MBXSize+NumTier2MBXDB*Tier2MBXSize+NumTier3MBXDB*Tier3MBXSize+NumTier4MBXDB*Tier4MBXSize)/1024</f>
        <v>0</v>
      </c>
    </row>
    <row r="104" spans="1:10" ht="15" hidden="1" customHeight="1" outlineLevel="1" x14ac:dyDescent="0.3">
      <c r="A104" s="10"/>
      <c r="B104" s="270" t="str">
        <f>IF(calcHAOption,"Total Number of Database Copies per Server","Total Number of Databases per Server")</f>
        <v>Total Number of Database Copies per Server</v>
      </c>
      <c r="C104" s="290">
        <f>MIN(IF(calcHAOption,ROUNDUP(IF(SRModel=INDEX(varSRModel,2),(calcTotNumHACopiesDC1inDC1+calcTotNumLagCopiesDC1),(calcTotNumHACopiesDC1inDC1+calcTotNumHAPassCopiesDC2inDC1+calcTotNumLagCopiesDC1))/numActMBXSvrsPerDC,0),RecNumDBsDC1),IF(calcDiskLimitOverride="Yes",9999,NumDisksPerServer*RecDBperVolume))</f>
        <v>0</v>
      </c>
      <c r="E104" s="4"/>
      <c r="F104" s="4"/>
      <c r="G104" s="4"/>
      <c r="H104" s="943" t="s">
        <v>2105</v>
      </c>
      <c r="I104" s="967">
        <f>DBSize*(1+DataGrowth)*(1+IF(RestoreVol="Yes",RestoreFactor))</f>
        <v>0</v>
      </c>
    </row>
    <row r="105" spans="1:10" ht="15" hidden="1" customHeight="1" outlineLevel="1" x14ac:dyDescent="0.3">
      <c r="A105" s="10"/>
      <c r="B105" s="270" t="s">
        <v>378</v>
      </c>
      <c r="C105" s="291">
        <f>IFERROR(IF(calcHAOption,IF(AND(calcNumActiveDBsFF=strEmpty,calcNumActiveDBsSF=strEmpty),calcNumActiveDBs*IF(AND(calcNumDBCopyInPDCActual=1,calcSiteResilienceEnabled,SRModel=INDEX(varSRModel,1)),2,1),IF(AND(calcSiteResilienceEnabled,SRModel=INDEX(varSRModel,1),calcSRAASDDRServers="No"),MAX(calcNumActiveDBsFF,calcNumActiveDBsSF,calcNumDBMemSizingSDC),MAX(calcNumActiveDBsFF,calcNumActiveDBsSF))),RecNumDBsDC1),0)</f>
        <v>0</v>
      </c>
      <c r="H105" s="943" t="s">
        <v>372</v>
      </c>
      <c r="I105" s="967">
        <f>DBSizeOverhead*RecNumDBs</f>
        <v>0</v>
      </c>
    </row>
    <row r="106" spans="1:10" ht="15" hidden="1" customHeight="1" outlineLevel="1" x14ac:dyDescent="0.3">
      <c r="A106" s="10"/>
      <c r="B106" s="407" t="s">
        <v>425</v>
      </c>
      <c r="C106" s="224">
        <f>IFERROR(calcDBCacheSize/calcNumDBMemSizing*1/MBXPerDB*1024,0)</f>
        <v>0</v>
      </c>
      <c r="G106" s="4"/>
      <c r="H106" s="943" t="s">
        <v>373</v>
      </c>
      <c r="I106" s="967">
        <f>IF(calcHAOption,TotDBDiskSpaceReq*(calcTotNumHACopies+calcTotNumLagCopies),0)</f>
        <v>0</v>
      </c>
    </row>
    <row r="107" spans="1:10" ht="15" hidden="1" customHeight="1" outlineLevel="1" x14ac:dyDescent="0.3">
      <c r="A107" s="10"/>
      <c r="B107" s="452" t="s">
        <v>1519</v>
      </c>
      <c r="C107" s="16">
        <f>((NumTier1MBXDB*Tier1MBXSize/Tier1AvgMessageSize)+(NumTier2MBXDB*Tier2MBXSize/Tier2AvgMessageSize)+(NumTier3MBXDB*Tier3MBXSize/Tier3AvgMessageSize)+(NumTier4MBXDB*Tier4MBXSize/Tier4AvgMessageSize))*calcNumDBMemSizing</f>
        <v>0</v>
      </c>
      <c r="G107" s="4"/>
      <c r="H107" s="943" t="s">
        <v>371</v>
      </c>
      <c r="I107" s="967">
        <f>IF(calcHAOption,TotDBCopiesDiskSpaceReq/TotNumMBXServersinDAG,0)</f>
        <v>0</v>
      </c>
    </row>
    <row r="108" spans="1:10" ht="15" hidden="1" customHeight="1" outlineLevel="1" x14ac:dyDescent="0.3">
      <c r="A108" s="10"/>
      <c r="B108" s="535" t="s">
        <v>1520</v>
      </c>
      <c r="C108" s="16">
        <f>((NumTier1MBXDB*Tier1MBXSize/Tier1AvgMessageSize)+(NumTier2MBXDB*Tier2MBXSize/Tier2AvgMessageSize)+(NumTier3MBXDB*Tier3MBXSize/Tier3AvgMessageSize)+(NumTier4MBXDB*Tier4MBXSize/Tier4AvgMessageSize))*(TotNumDBCopiesServer-calcNumDBMemSizing)</f>
        <v>0</v>
      </c>
      <c r="G108" s="4"/>
      <c r="H108" s="943" t="s">
        <v>374</v>
      </c>
      <c r="I108" s="967">
        <f>ROUNDUP(LogDiskSpaceReqBackup+LogDiskSpaceReqMove,0)</f>
        <v>0</v>
      </c>
    </row>
    <row r="109" spans="1:10" ht="15" hidden="1" customHeight="1" outlineLevel="1" x14ac:dyDescent="0.3">
      <c r="A109" s="10"/>
      <c r="B109" s="535" t="s">
        <v>1267</v>
      </c>
      <c r="C109" s="10">
        <f>IFERROR(IF(calcSiteResilienceEnabled,IF(AND(SRActivationBlocked="No",calcNumDBCopyInSDC&gt;0),numActMBXSvrsPerDC*numDAGs,0),IF(calcHAOption,numActMBXSvrsPerDC/2*numDAGs,numMBXServers)),0)</f>
        <v>8</v>
      </c>
      <c r="G109" s="4"/>
      <c r="H109" s="943" t="s">
        <v>2106</v>
      </c>
      <c r="I109" s="967">
        <f>TotLogDiskSpace*(1+DataGrowth)*(1+IF(RestoreVol="Yes",RestoreFactor))</f>
        <v>0</v>
      </c>
    </row>
    <row r="110" spans="1:10" ht="15" hidden="1" customHeight="1" outlineLevel="1" x14ac:dyDescent="0.3">
      <c r="A110" s="10"/>
      <c r="B110" s="535" t="s">
        <v>669</v>
      </c>
      <c r="C110" s="113" t="str">
        <f>IF(VolArchitecture=INDEX(varVolumeArchitecture,4),"No",SRAASDDRServers)</f>
        <v>No</v>
      </c>
      <c r="E110" s="4"/>
      <c r="F110" s="4"/>
      <c r="G110" s="4"/>
      <c r="H110" s="943" t="s">
        <v>375</v>
      </c>
      <c r="I110" s="967">
        <f>IF(calcHAOption,LogSizeOverhead*(calcTotNumHACopies+calcTotNumLagCopies),0)</f>
        <v>0</v>
      </c>
    </row>
    <row r="111" spans="1:10" ht="15" hidden="1" customHeight="1" outlineLevel="1" x14ac:dyDescent="0.3">
      <c r="A111" s="10"/>
      <c r="B111" s="535" t="s">
        <v>386</v>
      </c>
      <c r="C111" s="113" t="str">
        <f>IF(VolArchitecture=INDEX(varVolumeArchitecture,4),"No",DedLaggedCopyServer)</f>
        <v>No</v>
      </c>
      <c r="E111" s="4"/>
      <c r="F111" s="345"/>
      <c r="G111" s="4"/>
      <c r="H111" s="2" t="s">
        <v>2136</v>
      </c>
      <c r="I111" s="269">
        <f>IFERROR(IF(calcHAOption,LogSizeOverhead/RecNumDBs*TotNumDBCopiesServer,0),0)</f>
        <v>0</v>
      </c>
    </row>
    <row r="112" spans="1:10" ht="15" hidden="1" customHeight="1" outlineLevel="1" x14ac:dyDescent="0.3">
      <c r="A112" s="10"/>
      <c r="B112" s="535" t="s">
        <v>748</v>
      </c>
      <c r="C112" s="113" t="str">
        <f>IF(AND((numDBCopies+numLagCopies)&gt;=varMinHACopyCount,PreferredStorageArch=INDEX(varStorageArchitecture,1)),"Yes","No")</f>
        <v>Yes</v>
      </c>
      <c r="E112" s="4"/>
      <c r="F112" s="345"/>
      <c r="G112" s="4"/>
      <c r="H112" s="943" t="s">
        <v>2107</v>
      </c>
      <c r="I112" s="967">
        <f>IFERROR(ROUNDUP(TotalLogSpaceOverhead/RecNumDBs,0),0)</f>
        <v>0</v>
      </c>
    </row>
    <row r="113" spans="1:9" ht="15" hidden="1" customHeight="1" outlineLevel="1" x14ac:dyDescent="0.3">
      <c r="A113" s="10"/>
      <c r="B113" s="485" t="s">
        <v>1220</v>
      </c>
      <c r="C113" s="113" t="str">
        <f>IF(calcHAOption,DiskLimitOverride,"Yes")</f>
        <v>Yes</v>
      </c>
      <c r="E113" s="4"/>
      <c r="F113" s="345"/>
      <c r="G113" s="4"/>
    </row>
    <row r="114" spans="1:9" ht="15" hidden="1" customHeight="1" outlineLevel="1" x14ac:dyDescent="0.35">
      <c r="A114" s="10"/>
      <c r="B114" s="221" t="s">
        <v>468</v>
      </c>
      <c r="C114" s="113" t="str">
        <f>IF(OR(NOT(calcHAOption),BackupMethod=INDEX(varBackupMethod,2)),"Yes","No")</f>
        <v>No</v>
      </c>
      <c r="G114" s="4"/>
      <c r="H114" s="372" t="s">
        <v>615</v>
      </c>
      <c r="I114" s="372" t="s">
        <v>244</v>
      </c>
    </row>
    <row r="115" spans="1:9" ht="15" hidden="1" customHeight="1" outlineLevel="1" x14ac:dyDescent="0.3">
      <c r="A115" s="10"/>
      <c r="B115" s="452" t="s">
        <v>1570</v>
      </c>
      <c r="C115" s="113" t="str">
        <f>IF(AND(calcHAOption,calcDedLaggedCopyServer="No",numDBCopies&gt;=varMinENPCopyCount),ReplayLagManagerEnabled,"No")</f>
        <v>No</v>
      </c>
      <c r="G115" s="4"/>
      <c r="H115" s="357" t="s">
        <v>619</v>
      </c>
      <c r="I115" s="357">
        <f>IF(calcHAOption,RecNumDBsDC1,0)</f>
        <v>0</v>
      </c>
    </row>
    <row r="116" spans="1:9" ht="15" hidden="1" customHeight="1" outlineLevel="1" x14ac:dyDescent="0.3">
      <c r="A116" s="10"/>
      <c r="B116" s="452" t="s">
        <v>1893</v>
      </c>
      <c r="C116" s="113" t="b">
        <f>IF(MultiRoleEnabled="Yes",TRUE,FALSE)</f>
        <v>1</v>
      </c>
      <c r="G116" s="4"/>
      <c r="H116" s="2" t="s">
        <v>620</v>
      </c>
      <c r="I116" s="357">
        <f>((calcNumDBCopyInPDCActual-1)*calcNumSrcDBDC1)+IF(SRModel=INDEX(varSRModel,2),0,calcNumSrcDBDC2*calcNumDBCopyInSDCActual)</f>
        <v>0</v>
      </c>
    </row>
    <row r="117" spans="1:9" ht="15" hidden="1" customHeight="1" outlineLevel="1" x14ac:dyDescent="0.3">
      <c r="A117" s="10"/>
      <c r="B117" s="384"/>
      <c r="C117" s="224"/>
      <c r="G117" s="4"/>
      <c r="H117" s="357" t="s">
        <v>616</v>
      </c>
      <c r="I117" s="366">
        <f>IF(SRModel=INDEX(varSRModel,2),0,RecNumDBsDC2)</f>
        <v>0</v>
      </c>
    </row>
    <row r="118" spans="1:9" ht="15" hidden="1" customHeight="1" outlineLevel="1" x14ac:dyDescent="0.35">
      <c r="B118" s="372" t="s">
        <v>679</v>
      </c>
      <c r="C118" s="392" t="s">
        <v>680</v>
      </c>
      <c r="D118" s="372" t="s">
        <v>681</v>
      </c>
      <c r="G118" s="4"/>
      <c r="H118" s="2" t="s">
        <v>617</v>
      </c>
      <c r="I118" s="14">
        <f>IF(SRModel=INDEX(varSRModel,1),calcNumTgtDBDC1,calcNumSrcDBDC1*calcNumDBCopyInSDCActual)</f>
        <v>0</v>
      </c>
    </row>
    <row r="119" spans="1:9" ht="15" hidden="1" customHeight="1" outlineLevel="1" x14ac:dyDescent="0.3">
      <c r="B119" s="362" t="s">
        <v>576</v>
      </c>
      <c r="C119" s="345">
        <f>IF(calcHAOption,IF(RecNumDBsDC1=1,RecNumDBsDC1,RecNumDBsDC1/numActMBXSvrsPerDC),strEmpty)</f>
        <v>0</v>
      </c>
      <c r="D119" s="115">
        <f>IF(AND(calcSiteResilienceEnabled,SRModel=INDEX(varSRModel,1)),IF(RecNumDBsDC2=1,RecNumDBsDC2,RecNumDBsDC2/numActMBXSvrsPerDC),strEmpty)</f>
        <v>0</v>
      </c>
      <c r="G119" s="4"/>
      <c r="H119" s="2" t="s">
        <v>622</v>
      </c>
      <c r="I119" s="14">
        <f>(calcNumLagCopyInPDCActual*calcNumSrcDBDC1)+IF(SRModel=INDEX(varSRModel,2),0,calcNumSrcDBDC2*calcNumLagCopyInSDCActual)</f>
        <v>0</v>
      </c>
    </row>
    <row r="120" spans="1:9" ht="15" hidden="1" customHeight="1" outlineLevel="1" x14ac:dyDescent="0.3">
      <c r="B120" s="362" t="s">
        <v>579</v>
      </c>
      <c r="C120" s="345">
        <f>IF(calcHAOption,IF(calcNumDBCopyInPDCActual&gt;1,IF(RecNumDBsDC1=1,RecNumDBsDC1,IF(ROUNDUP(calcNumActiveDBs+(calcNumActiveDBs/(numActMBXSvrsPerDC-1)),0)=calcNumActiveDBs,0,ROUNDUP(calcNumActiveDBs+(calcNumActiveDBs/(numActMBXSvrsPerDC-1)),0))),IF(AND(SRActivationBlocked="No",numActMBXSvrsPerDC&gt;1),calcNumActiveDBs,0)),strEmpty)</f>
        <v>0</v>
      </c>
      <c r="D120" s="114">
        <f>IF(AND(calcSiteResilienceEnabled,SRModel=INDEX(varSRModel,1)),IF(calcNumDBCopyInPDCActual&gt;1,IF(RecNumDBsDC2=1,RecNumDBsDC2,IF(ROUNDUP(calcNumActiveDBsDC2+(calcNumActiveDBsDC2/(numActMBXSvrsPerDC-1)),0)=calcNumActiveDBsDC2,0,ROUNDUP(calcNumActiveDBsDC2+(calcNumActiveDBsDC2/(numActMBXSvrsPerDC-1)),0))),IF(AND(SRActivationBlocked="No",numActMBXSvrsPerDC&gt;1),calcNumActiveDBsDC2,0)),strEmpty)</f>
        <v>0</v>
      </c>
      <c r="G120" s="4"/>
      <c r="H120" s="2" t="s">
        <v>621</v>
      </c>
      <c r="I120" s="14">
        <f>calcNumLagCopyInSDCActual*RecNumDBsDC1</f>
        <v>0</v>
      </c>
    </row>
    <row r="121" spans="1:9" ht="15" hidden="1" customHeight="1" outlineLevel="1" x14ac:dyDescent="0.3">
      <c r="B121" s="270" t="s">
        <v>583</v>
      </c>
      <c r="C121" s="345">
        <f>IFERROR(IF(AND(calcSiteResilienceEnabled,numDBCopiesSDC&gt;=1,calcNumDBCopyInPDCActual&lt;3,SRActivationBlocked="No"),ROUNDUP(IF(calcNumDBCopyInPDCActual=1,(RecNumDBsDC1-IF(calcNumActiveDBsFF=strEmpty,0,calcNumActiveDBsFF))/IF(AND(calcNumDBCopyInPDCActual=1,OR(numActMBXSvrsPerDC=1,calcSRAASDDRServers="No"),calcSiteResilienceEnabled,SRModel=INDEX(varSRModel,1)),calcNumAMBXServersDC2,calcNumPMBXServersDC2),0),0),strEmpty),0)</f>
        <v>0</v>
      </c>
      <c r="D121" s="114">
        <f>IF(AND(calcSiteResilienceEnabled,SRModel=INDEX(varSRModel,1),numDBCopiesSDC&gt;=1,calcNumDBCopyInPDCActual&lt;3,SRActivationBlocked="No"),ROUNDUP(IF(calcNumDBCopyInPDCActual=1,(RecNumDBsDC2-IF(calcNumActiveDBsFFDC2=strEmpty,0,calcNumActiveDBsFFDC2))/IF(AND(calcNumDBCopyInPDCActual=1,OR(numActMBXSvrsPerDC=1,calcSRAASDDRServers="No"),calcSiteResilienceEnabled,SRModel=INDEX(varSRModel,1)),calcNumAMBXServersDC1,calcNumPMBXServersDC1),0),0),strEmpty)</f>
        <v>0</v>
      </c>
      <c r="G121" s="4"/>
      <c r="H121" s="2" t="s">
        <v>471</v>
      </c>
      <c r="I121" s="14">
        <f>calcNumTgtDBDC2+calcNumTgtDBDC1+calcNumTgtLagDBDC2+calcNumTgtLagDBDC1</f>
        <v>0</v>
      </c>
    </row>
    <row r="122" spans="1:9" ht="15" hidden="1" customHeight="1" outlineLevel="1" x14ac:dyDescent="0.3">
      <c r="B122" s="362" t="s">
        <v>608</v>
      </c>
      <c r="C122" s="345">
        <f>IF(OR(calcNumActiveDBsPDCFFinSDC=strEmpty,calcNumActiveDBsPDCFFinSDC=0),0,IF(AND(numActMBXSvrsPerDC&gt;1,calcNumDBCopyInPDCActual&gt;1),RecNumDBsDC1-(ROUNDUP((calcNumActiveDBs/(numActMBXSvrsPerDC-1)),0)),0))</f>
        <v>0</v>
      </c>
      <c r="D122" s="114">
        <f>IF(OR(calcNumActiveDBsPDCFFinSDCDC2=strEmpty,calcNumActiveDBsPDCFFinSDCDC2=0),0,IF(AND(numActMBXSvrsPerDC&gt;1,calcNumDBCopyInPDCActual&gt;1),RecNumDBsDC2-(ROUNDUP((calcNumActiveDBsDC2/(numActMBXSvrsPerDC-1)),0)),0))</f>
        <v>0</v>
      </c>
      <c r="G122" s="4"/>
      <c r="H122" s="2" t="s">
        <v>1937</v>
      </c>
      <c r="I122" s="2">
        <f>calcNumTgtLagDBDC1+calcNumTgtLagDBDC2</f>
        <v>0</v>
      </c>
    </row>
    <row r="123" spans="1:9" ht="15" hidden="1" customHeight="1" outlineLevel="1" x14ac:dyDescent="0.3">
      <c r="B123" s="362" t="s">
        <v>609</v>
      </c>
      <c r="C123" s="345">
        <f>IF(OR(calcNumActiveDBsPDCFFinSDC=strEmpty,calcNumActiveDBsPDCFFinSDC=0),0,RecNumDBsDC1-calcTotActiveDBsPDCFFinPDC)</f>
        <v>0</v>
      </c>
      <c r="D123" s="114">
        <f>IF(OR(calcNumActiveDBsPDCFFinSDCDC2=strEmpty,calcNumActiveDBsPDCFFinSDCDC2=0),0,RecNumDBsDC2-calcTotActiveDBsPDCFFinPDCDC2)</f>
        <v>0</v>
      </c>
      <c r="G123" s="4"/>
      <c r="I123" s="269"/>
    </row>
    <row r="124" spans="1:9" ht="15" hidden="1" customHeight="1" outlineLevel="1" x14ac:dyDescent="0.3">
      <c r="B124" s="362" t="s">
        <v>578</v>
      </c>
      <c r="C124" s="345">
        <f>IF(calcHAOption,IF(calcSiteResilienceEnabled,IF(SRActivationBlocked="No",IF(AND(numDBCopies&gt;=(varMinHACopyCount+1),numActMBXSvrsPerDC+IF(AND(SRModel=INDEX(varSRModel,1),calcSRAASDDRServers="No"),calcNumAMBXServersDC2,calcNumPMBXServersDC2)&gt;=4),IF(calcNumDBCopyInPDCActual&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0)),strEmpty),IF(AND(calcNumDBCopyInPDCActual&gt;=3,calcNumAMBXServersDC1+calcNumPMBXServersDC2&gt;=4),MIN(TotNumDBCopiesServer,ROUNDUP(calcNumActiveDBs+((calcNumActiveDBs*2)/(numActMBXSvrsPerDC-2)),0)+IF(calcTotNumHACopiesDC1inDC1&lt;calcDBPerm,2,0)),strEmpty)),IF(AND(calcNumDBCopyInPDCActual&gt;=3,numActMBXSvrsPerDC&gt;=4),MIN(TotNumDBCopiesServer,IF(numActMBXSvrsPerDC-2=1,TotNumDBCopiesServer/2,ROUNDUP(calcNumActiveDBs+((calcNumActiveDBs*2)/(numActMBXSvrsPerDC-2)),0)+IF(calcTotNumHACopiesDC1inDC1&lt;calcDBPerm,2,0))),strEmpty)),strEmpty)</f>
        <v>0</v>
      </c>
      <c r="D124" s="114">
        <f>IF(AND(calcSiteResilienceEnabled,SRModel=INDEX(varSRModel,1)),IF(calcSiteResilienceEnabled,IF(SRActivationBlocked="No",IF(AND(numDBCopies&gt;=(varMinHACopyCount+1),numActMBXSvrsPerDC+IF(AND(SRModel=INDEX(varSRModel,1),calcSRAASDDRServers="No"),calcNumAMBXServersDC1,calcNumPMBXServersDC1)&gt;=4),IF(calcNumDBCopyInPDCActual&gt;=3,MIN(TotNumDBCopiesServer,IF(numActMBXSvrsPerDC-2=1,TotNumDBCopiesServer/2,ROUNDUP(calcNumActiveDBsDC2+((calcNumActiveDBsDC2*2)/(numActMBXSvrsPerDC-2)),0))),IF(numActMBXSvrsPerDC&gt;2,MIN(TotNumDBCopiesServer,ROUNDUP((RecNumDBsDC2-(ROUNDUP((calcNumActiveDBsDC2/(numActMBXSvrsPerDC-1)),0)*2))/(numActMBXSvrsPerDC-2),0)),0)),strEmpty),IF(AND(calcNumDBCopyInPDCActual&gt;=3,numActMBXSvrsPerDC&gt;=4),MIN(TotNumDBCopiesServer,IF(numActMBXSvrsPerDC-2=1,TotNumDBCopiesServer/2,ROUNDUP(calcNumActiveDBsDC2+((calcNumActiveDBsDC2*2)/(numActMBXSvrsPerDC-2)),0))),strEmpty)),IF(AND(calcNumDBCopyInPDC&gt;=3,numActMBXSvrsPerDC&gt;=4),MIN(TotNumDBCopiesServer,IF(numActMBXSvrsPerDC-2=1,TotNumDBCopiesServer/2,ROUNDUP(calcNumActiveDBsDC2+((calcNumActiveDBsDC2*2)/(numActMBXSvrsPerDC-2)),0))),strEmpty)),strEmpty)</f>
        <v>0</v>
      </c>
      <c r="G124" s="4"/>
      <c r="H124" s="117" t="s">
        <v>618</v>
      </c>
      <c r="I124" s="393" t="s">
        <v>244</v>
      </c>
    </row>
    <row r="125" spans="1:9" ht="15" hidden="1" customHeight="1" outlineLevel="1" x14ac:dyDescent="0.3">
      <c r="B125" s="362" t="s">
        <v>577</v>
      </c>
      <c r="C125" s="345">
        <f>IFERROR(IF(AND(calcSiteResilienceEnabled,SRActivationBlocked="No",numDBCopiesSDC&gt;=1,OR(calcNumDBCopyInPDCActual&lt;3,numActMBXSvrsPerDC&lt;4),calcNumActiveDBsSF&lt;&gt;strEmpty),ROUNDUP(((calcNumActiveDBsFF-calcNumActiveDBs)*2)/IF(AND(SRModel=INDEX(varSRModel,1),calcSRAASDDRServers="No"),calcNumAMBXServersDC2,calcNumPMBXServersDC2),0),strEmpty),0)</f>
        <v>0</v>
      </c>
      <c r="D125" s="114">
        <f>IF(AND(calcSiteResilienceEnabled,SRActivationBlocked="No",SRModel=INDEX(varSRModel,1),numDBCopiesSDC&gt;=1,OR(calcNumDBCopyInPDCActual&lt;3,numActMBXSvrsPerDC&lt;4),calcNumActiveDBsSFDC2&lt;&gt;strEmpty),ROUNDUP(((calcNumActiveDBsFFDC2-calcNumActiveDBsDC2)*2)/IF(AND(SRModel=INDEX(varSRModel,1),calcSRAASDDRServers="No"),calcNumAMBXServersDC1,calcNumPMBXServersDC1),0),strEmpty)</f>
        <v>0</v>
      </c>
      <c r="F125" s="4"/>
      <c r="G125" s="4"/>
      <c r="H125" s="2" t="s">
        <v>633</v>
      </c>
      <c r="I125" s="113">
        <f>calcTotNumHACopiesDC1inDC1+calcTotNumHAPassCopiesDC2inDC1</f>
        <v>0</v>
      </c>
    </row>
    <row r="126" spans="1:9" ht="15" hidden="1" customHeight="1" outlineLevel="1" x14ac:dyDescent="0.3">
      <c r="B126" s="270" t="s">
        <v>610</v>
      </c>
      <c r="C126" s="345">
        <f>IF(calcNumActiveDBsPDCSFinSDC=strEmpty,strEmpty,RecNumDBsDC1-(IF(ROUNDUP((calcNumActiveDBs/(numActMBXSvrsPerDC-1)),0)*2&gt;=RecNumDBsDC1,RecNumDBsDC1,ROUNDUP((calcNumActiveDBs/(numActMBXSvrsPerDC-1)),0)*2)))</f>
        <v>0</v>
      </c>
      <c r="D126" s="114">
        <f>IF(calcNumActiveDBsPDCSFinSDCDC2=strEmpty,strEmpty,RecNumDBsDC2-(IF(ROUNDUP((calcNumActiveDBsDC2/(numActMBXSvrsPerDC-1)),0)*2&gt;=RecNumDBsDC2,RecNumDBsDC2,ROUNDUP((calcNumActiveDBsDC2/(numActMBXSvrsPerDC-1)),0)*2)))</f>
        <v>0</v>
      </c>
      <c r="F126" s="4"/>
      <c r="G126" s="4"/>
      <c r="H126" s="2" t="s">
        <v>634</v>
      </c>
      <c r="I126" s="113">
        <f>calcTotNumHACopiesDC2inDC2+calcTotNumHAPassCopiesDC1inDC2</f>
        <v>0</v>
      </c>
    </row>
    <row r="127" spans="1:9" ht="15" hidden="1" customHeight="1" outlineLevel="1" x14ac:dyDescent="0.3">
      <c r="B127" s="362" t="s">
        <v>609</v>
      </c>
      <c r="C127" s="345">
        <f>IF(calcNumActiveDBsPDCSFinSDC=strEmpty,strEmpty,ROUNDUP((calcNumActiveDBs/(numActMBXSvrsPerDC-1)),0)*2)</f>
        <v>0</v>
      </c>
      <c r="D127" s="114">
        <f>IF(calcNumActiveDBsPDCSFinSDCDC2=strEmpty,strEmpty,ROUNDUP((calcNumActiveDBsDC2/(numActMBXSvrsPerDC-1)),0)*2)</f>
        <v>0</v>
      </c>
      <c r="F127" s="4"/>
      <c r="G127" s="4"/>
      <c r="H127" s="2" t="s">
        <v>635</v>
      </c>
      <c r="I127" s="113">
        <f>calcTotNumLagCopiesDC1</f>
        <v>0</v>
      </c>
    </row>
    <row r="128" spans="1:9" ht="15" hidden="1" customHeight="1" outlineLevel="1" x14ac:dyDescent="0.3">
      <c r="A128" s="10"/>
      <c r="C128" s="4"/>
      <c r="D128" s="4"/>
      <c r="E128" s="4"/>
      <c r="F128" s="4"/>
      <c r="G128" s="4"/>
      <c r="H128" s="2" t="s">
        <v>636</v>
      </c>
      <c r="I128" s="113">
        <f>calcTotNumLagCopiesDC2</f>
        <v>0</v>
      </c>
    </row>
    <row r="129" spans="1:10" ht="15" hidden="1" customHeight="1" outlineLevel="1" thickBot="1" x14ac:dyDescent="0.35">
      <c r="A129" s="10"/>
      <c r="B129" s="112" t="s">
        <v>682</v>
      </c>
      <c r="C129" s="117" t="s">
        <v>244</v>
      </c>
      <c r="D129" s="4"/>
      <c r="E129" s="4"/>
      <c r="F129" s="4"/>
      <c r="G129" s="4"/>
      <c r="I129" s="269"/>
      <c r="J129" s="399"/>
    </row>
    <row r="130" spans="1:10" ht="15" hidden="1" customHeight="1" outlineLevel="1" thickTop="1" x14ac:dyDescent="0.35">
      <c r="A130" s="10"/>
      <c r="B130" s="357" t="s">
        <v>545</v>
      </c>
      <c r="C130" s="364">
        <f>IFERROR(IF(AND(calcSiteResilienceEnabled,numDBCopiesSDC&lt;&gt;0),IF(OR(AND(calcSiteResilienceEnabled,SRModel=INDEX(varSRModel,1),calcSRAASDDRServers="No"),AND(calcNumDBCopyInPDCActual=1,numActMBXSvrsPerDC=1,calcSiteResilienceEnabled,SRModel=INDEX(varSRModel,1))),ROUNDUP(RecNumDBs/calcNumAMBXServersDC2,0),ROUNDUP(IF(numDBCopiesSDC=1,calcTotNumHAPassCopiesDC1inDC2/calcNumPMBXServersDC2,IF(SRModel=INDEX(varSRModel,1),RecNumDBsDC2,RecNumDBs)/calcNumPMBXServersDC2),0)),strEmpty),0)</f>
        <v>0</v>
      </c>
      <c r="D130" s="4"/>
      <c r="G130" s="4"/>
      <c r="H130" s="372" t="s">
        <v>1768</v>
      </c>
      <c r="I130" s="372" t="s">
        <v>244</v>
      </c>
    </row>
    <row r="131" spans="1:10" ht="15" hidden="1" customHeight="1" outlineLevel="1" x14ac:dyDescent="0.35">
      <c r="A131" s="10"/>
      <c r="B131" s="357" t="s">
        <v>543</v>
      </c>
      <c r="C131" s="364">
        <f>IF(AND(calcSiteResilienceEnabled,calcNumDBCopyInSDC&gt;=varMinHACopyCount),IF(AND(SRModel=INDEX(varSRModel,1),calcSRAASDDRServers="No",calcNumAMBXServersDC2&gt;=varMinHACopyCount),IF(calcNumAMBXServersDC2=numActMBXSvrsPerDC,calcNumActiveDBsFF,ROUNDUP(RecNumDBs/(calcNumAMBXServersDC2-1),0))+calcNumActiveDBsFF,IF(calcNumPMBXServersDC2&gt;=varMinHACopyCount,IF(calcNumPMBXServersDC2=numActMBXSvrsPerDC,calcNumActiveDBsFF,ROUNDUP(RecNumDBs/(calcNumPMBXServersDC2-1),0)),0)),0)</f>
        <v>0</v>
      </c>
      <c r="D131" s="4"/>
      <c r="G131" s="4"/>
      <c r="H131" s="551" t="s">
        <v>1766</v>
      </c>
      <c r="I131" s="371" t="str">
        <f>IFERROR(IF(AND(calcTotNumHACopies+calcTotNumLagCopies&gt;=4,calcActDBPDCDouble&lt;&gt;0),IF(calcActDBPDCDouble&gt;=calcNumDBMemSizing,calcActDBPDCSingle,calcActDBPDCDouble),""),0)</f>
        <v/>
      </c>
    </row>
    <row r="132" spans="1:10" ht="15" hidden="1" customHeight="1" outlineLevel="1" x14ac:dyDescent="0.35">
      <c r="A132" s="10"/>
      <c r="B132" s="357" t="s">
        <v>544</v>
      </c>
      <c r="C132" s="364">
        <f>IF(AND(calcSiteResilienceEnabled,numDBCopiesSDC&gt;=3),IF(AND(SRModel=INDEX(varSRModel,1),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0)),0)</f>
        <v>0</v>
      </c>
      <c r="D132" s="4"/>
      <c r="G132" s="4"/>
      <c r="H132" s="551" t="s">
        <v>1767</v>
      </c>
      <c r="I132" s="552">
        <f>IFERROR(IF(AND(calcTotNumHACopies+calcTotNumLagCopies&gt;=4,calcNumActiveDBsSiteF1F&lt;&gt;strEmpty),IF(SRModel=INDEX(varSRModel,1),calcActDBSDCDouble,IF(calcActDBSDCWorst&lt;&gt;0,calcActDBSDCWorst,calcActDBSDCSite)),""),0)</f>
        <v>0</v>
      </c>
    </row>
    <row r="133" spans="1:10" ht="15" hidden="1" customHeight="1" outlineLevel="1" x14ac:dyDescent="0.35">
      <c r="A133" s="10"/>
      <c r="B133" s="2" t="s">
        <v>546</v>
      </c>
      <c r="C133" s="115">
        <f>IF(calcSiteResilienceEnabled,IF(AND(calcNumAMBXServersDC1=1,calcNumDBCopyInPDC=1,calcSiteResilienceEnabled,SRModel=INDEX(varSRModel,1)),calcNumDBMemSizing,MAX(calcNumActiveDBsSiteF,calcNumActiveDBsSiteF1F,calcNumActiveDBsSiteF2F)),strEmpty)</f>
        <v>0</v>
      </c>
      <c r="D133" s="4"/>
      <c r="G133" s="4"/>
      <c r="H133" s="551" t="s">
        <v>1769</v>
      </c>
      <c r="I133" s="552">
        <f>calcNumDBMemSizing</f>
        <v>0</v>
      </c>
    </row>
    <row r="134" spans="1:10" ht="15" hidden="1" customHeight="1" outlineLevel="1" x14ac:dyDescent="0.35">
      <c r="A134" s="10"/>
      <c r="C134" s="14"/>
      <c r="D134" s="4"/>
      <c r="E134" s="4"/>
      <c r="F134" s="4"/>
      <c r="G134" s="4"/>
      <c r="H134" s="551" t="s">
        <v>1770</v>
      </c>
      <c r="I134" s="552">
        <f>calcNumDBMemSizingSDC</f>
        <v>0</v>
      </c>
    </row>
    <row r="135" spans="1:10" ht="15" hidden="1" customHeight="1" outlineLevel="1" x14ac:dyDescent="0.3">
      <c r="A135" s="10"/>
      <c r="B135" s="112" t="s">
        <v>401</v>
      </c>
      <c r="C135" s="112" t="s">
        <v>244</v>
      </c>
      <c r="D135" s="4"/>
      <c r="E135" s="4"/>
      <c r="F135" s="4"/>
      <c r="G135" s="4"/>
      <c r="I135" s="10"/>
    </row>
    <row r="136" spans="1:10" ht="15" hidden="1" customHeight="1" outlineLevel="1" x14ac:dyDescent="0.3">
      <c r="A136" s="10"/>
      <c r="B136" s="2" t="s">
        <v>1299</v>
      </c>
      <c r="C136" s="118">
        <f>IFERROR(VLOOKUP(IF(calcHAOption,TotNumDBCopiesServer,RecNumDBs),tblMinESECacheReq,3,TRUE),0)</f>
        <v>0</v>
      </c>
      <c r="D136" s="4"/>
      <c r="E136" s="4"/>
      <c r="F136" s="4"/>
      <c r="G136" s="4"/>
      <c r="H136" s="112" t="s">
        <v>402</v>
      </c>
      <c r="I136" s="169" t="s">
        <v>244</v>
      </c>
    </row>
    <row r="137" spans="1:10" ht="15" hidden="1" customHeight="1" outlineLevel="1" x14ac:dyDescent="0.3">
      <c r="A137" s="10"/>
      <c r="B137" s="2" t="s">
        <v>431</v>
      </c>
      <c r="C137" s="118">
        <f>IF(calcHAOption,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0</v>
      </c>
      <c r="D137" s="4"/>
      <c r="E137" s="4"/>
      <c r="F137" s="4"/>
      <c r="G137" s="4"/>
      <c r="H137" s="2" t="s">
        <v>356</v>
      </c>
      <c r="I137" s="269" t="str">
        <f>IF(AND(OR(calcNumAMBXServersDC2&lt;&gt;0,calcNumPMBXServersDC2&gt;0),calcSiteResilienceEnabled,calcNumDBMemSizingSDC&lt;&gt;strEmpty),ROUNDUP((NumTier1MBXDB*calcNumDBMemSizingSDC*Tier1MemoryProfile/1024)+(NumTier2MBXDB*calcNumDBMemSizingSDC*Tier2MemoryProfile/1024)+(NumTier3MBXDB*calcNumDBMemSizingSDC*Tier3MemoryProfile/1024)+(NumTier4MBXDB*calcNumDBMemSizingSDC*Tier4MemoryProfile/1024),0),strEmpty)</f>
        <v>--</v>
      </c>
    </row>
    <row r="138" spans="1:10" ht="15" hidden="1" customHeight="1" outlineLevel="1" x14ac:dyDescent="0.3">
      <c r="A138" s="10"/>
      <c r="B138" s="2" t="s">
        <v>755</v>
      </c>
      <c r="C138" s="114">
        <f>minDBCacheMemMBX*1024*1024*1024/32768</f>
        <v>0</v>
      </c>
      <c r="D138" s="4"/>
      <c r="E138" s="4"/>
      <c r="F138" s="4"/>
      <c r="G138" s="4"/>
      <c r="H138" s="2" t="s">
        <v>755</v>
      </c>
      <c r="I138" s="391" t="str">
        <f>IF(AND(OR(calcNumAMBXServersDC2&lt;&gt;0,calcNumPMBXServersDC2&gt;0),calcSiteResilienceEnabled,calcNumActiveDBsSiteF&lt;&gt;strEmpty),minDBCacheMemMBXSDC*1024*1024*1024/32768,strEmpty)</f>
        <v>--</v>
      </c>
    </row>
    <row r="139" spans="1:10" ht="15" hidden="1" customHeight="1" outlineLevel="1" x14ac:dyDescent="0.3">
      <c r="A139" s="10"/>
      <c r="B139" s="2" t="s">
        <v>753</v>
      </c>
      <c r="C139" s="115">
        <f>IFERROR(CachePages/((calcNumDBMemSizing*0.8)+(IF(calcHAOption,TotNumDBCopiesServer,RecNumDBs)*0.2)),0)</f>
        <v>0</v>
      </c>
      <c r="D139" s="4"/>
      <c r="E139" s="4"/>
      <c r="F139" s="4"/>
      <c r="G139" s="4"/>
      <c r="H139" s="536" t="s">
        <v>1519</v>
      </c>
      <c r="I139" s="113" t="str">
        <f>IF(AND(OR(calcNumAMBXServersDC2&lt;&gt;0,calcNumPMBXServersDC2&gt;0),calcSiteResilienceEnabled,calcNumActiveDBsSiteF&lt;&gt;strEmpty),((NumTier1MBXDB*Tier1MBXSize/Tier1AvgMessageSize)+(NumTier2MBXDB*Tier2MBXSize/Tier2AvgMessageSize)+(NumTier3MBXDB*Tier3MBXSize/Tier3AvgMessageSize)+(NumTier4MBXDB*Tier4MBXSize/Tier4AvgMessageSize))*calcNumDBMemSizingSDC,strEmpty)</f>
        <v>--</v>
      </c>
    </row>
    <row r="140" spans="1:10" ht="15" hidden="1" customHeight="1" outlineLevel="1" x14ac:dyDescent="0.3">
      <c r="A140" s="10"/>
      <c r="B140" s="2" t="s">
        <v>754</v>
      </c>
      <c r="C140" s="115">
        <f>IFERROR(IF(NOT(calcHAOption),0,CachePages/(((calcNumDBMemSizing*0.8)+(IF(calcHAOption,TotNumDBCopiesServer,RecNumDBs)*0.2))*5)),0)</f>
        <v>0</v>
      </c>
      <c r="D140" s="4"/>
      <c r="E140" s="4"/>
      <c r="F140" s="4"/>
      <c r="G140" s="4"/>
      <c r="H140" s="537" t="s">
        <v>1520</v>
      </c>
      <c r="I140" s="391" t="str">
        <f>IF(AND(OR(calcNumAMBXServersDC2&lt;&gt;0,calcNumPMBXServersDC2&gt;0),calcSiteResilienceEnabled,calcNumActiveDBsSiteF&lt;&gt;strEmpty),((NumTier1MBXDB*Tier1MBXSize/Tier1AvgMessageSize)+(NumTier2MBXDB*Tier2MBXSize/Tier2AvgMessageSize)+(NumTier3MBXDB*Tier3MBXSize/Tier3AvgMessageSize)+(NumTier4MBXDB*Tier4MBXSize/Tier4AvgMessageSize))*(TotNumDBCopiesServer-calcNumDBMemSizingSDC),strEmpty)</f>
        <v>--</v>
      </c>
    </row>
    <row r="141" spans="1:10" ht="15" hidden="1" customHeight="1" outlineLevel="1" x14ac:dyDescent="0.3">
      <c r="A141" s="10"/>
      <c r="B141" s="2" t="s">
        <v>1190</v>
      </c>
      <c r="C141" s="126">
        <f>MAX(minReqMemory,((100*CachePages*32768/25)/1024/1024/1024)+IF(calcMultiRoleEnabled,calcCASMemReq,0),numProcCoresPDC*varMemPerCore)</f>
        <v>48</v>
      </c>
      <c r="D141" s="4"/>
      <c r="E141" s="4"/>
      <c r="F141" s="4"/>
      <c r="G141" s="4"/>
      <c r="H141" s="2" t="s">
        <v>784</v>
      </c>
      <c r="I141" s="549" t="str">
        <f>IF(AND(OR(calcNumAMBXServersDC2&lt;&gt;0,calcNumPMBXServersDC2&gt;0),calcSiteResilienceEnabled,calcNumActiveDBsSiteF&lt;&gt;strEmpty),7+((calcItemsPerServerActiveSDC*110)+(calcItemsPerServerPassiveSDC*24))/1073741824,strEmpty)</f>
        <v>--</v>
      </c>
    </row>
    <row r="142" spans="1:10" ht="15" hidden="1" customHeight="1" outlineLevel="1" x14ac:dyDescent="0.3">
      <c r="A142" s="10"/>
      <c r="B142" s="2" t="s">
        <v>784</v>
      </c>
      <c r="C142" s="174">
        <f>7+((calcItemsPerServerActive*110)+(calcItemsPerServerPassive*24))/1073741824</f>
        <v>7</v>
      </c>
      <c r="D142" s="4"/>
      <c r="E142" s="4"/>
      <c r="F142" s="4"/>
      <c r="G142" s="4"/>
      <c r="H142" s="2" t="s">
        <v>1190</v>
      </c>
      <c r="I142" s="269" t="str">
        <f>IF(AND(OR(calcNumAMBXServersDC2&lt;&gt;0,calcNumPMBXServersDC2&gt;0),calcSiteResilienceEnabled,calcNumActiveDBsSiteF&lt;&gt;strEmpty),MAX(minReqMemory,((100*CachePagesDC2*32768/25)/1024/1024/1024)+IF(calcMultiRoleEnabled,calcCASMemReqSDC,0)),strEmpty)</f>
        <v>--</v>
      </c>
    </row>
    <row r="143" spans="1:10" ht="15" hidden="1" customHeight="1" outlineLevel="1" x14ac:dyDescent="0.3">
      <c r="A143" s="10"/>
      <c r="B143" s="2" t="s">
        <v>785</v>
      </c>
      <c r="C143" s="174">
        <f>IF(numMCyclesPerCorePDC&lt;&gt;0,ROUND(2+(calcCASCPUPDC/calcAvSvrMCycles*numProcCoresPDC*2),0),(numProcCoresPDC*2*0.2)+2)</f>
        <v>2</v>
      </c>
      <c r="D143" s="4"/>
      <c r="E143" s="4"/>
      <c r="F143" s="4"/>
      <c r="G143" s="4"/>
      <c r="H143" s="2" t="s">
        <v>785</v>
      </c>
      <c r="I143" s="269" t="str">
        <f>IF(AND(OR(calcNumAMBXServersDC2&lt;&gt;0,calcNumPMBXServersDC2&gt;0),calcSiteResilienceEnabled,calcNumActiveDBsSiteF&lt;&gt;strEmpty),IF(numMCyclesPerCoreSDC&lt;&gt;0,ROUND(2+(calcCASCPUSDC/calcAvSvrMCyclesSDC*numProcCoresSDC*2),0),(numProcCoresSDC*2*0.2)+2),strEmpty)</f>
        <v>--</v>
      </c>
    </row>
    <row r="144" spans="1:10" ht="15" hidden="1" customHeight="1" outlineLevel="1" x14ac:dyDescent="0.3">
      <c r="A144" s="10"/>
      <c r="B144" s="2" t="s">
        <v>819</v>
      </c>
      <c r="C144" s="118">
        <f>IF((0.25*calcServerRAM)+calcCIMemReq&gt;calcServerRAM,calcServerRAM+calcCIMemReq,calcServerRAM)</f>
        <v>48</v>
      </c>
      <c r="D144" s="4"/>
      <c r="E144" s="4"/>
      <c r="F144" s="4"/>
      <c r="G144" s="4"/>
      <c r="H144" s="2" t="s">
        <v>819</v>
      </c>
      <c r="I144" s="269" t="str">
        <f>IF(AND(OR(calcNumAMBXServersDC2&lt;&gt;0,calcNumPMBXServersDC2&gt;0),calcSiteResilienceEnabled,calcNumActiveDBsSiteF&lt;&gt;strEmpty),IF((0.25*calcMBXSDCRAM)+calcCIMemReqSDC&gt;calcMBXSDCRAM,calcMBXSDCRAM+calcCIMemReqSDC,calcMBXSDCRAM),strEmpty)</f>
        <v>--</v>
      </c>
    </row>
    <row r="145" spans="1:10" ht="15" hidden="1" customHeight="1" outlineLevel="1" x14ac:dyDescent="0.3">
      <c r="A145" s="10"/>
      <c r="B145" s="2" t="s">
        <v>362</v>
      </c>
      <c r="C145" s="118">
        <f>MAX(IF(calcTotServerRAM&gt;=64,CEILING(calcTotServerRAM,32),IF(calcTotServerRAM&gt;=32,CEILING(calcTotServerRAM,16),IF(calcTotServerRAM&gt;=16,CEILING(calcTotServerRAM,8),IF(calcTotServerRAM&gt;=4,CEILING(calcTotServerRAM,4),CEILING(calcTotServerRAM,2))))),8)</f>
        <v>48</v>
      </c>
      <c r="D145" s="4"/>
      <c r="E145" s="4"/>
      <c r="F145" s="4"/>
      <c r="G145" s="4"/>
      <c r="H145" s="2" t="s">
        <v>362</v>
      </c>
      <c r="I145" s="269" t="str">
        <f>IF(AND(OR(calcNumAMBXServersDC2&lt;&gt;0,calcNumPMBXServersDC2&gt;0),calcSiteResilienceEnabled,calcNumActiveDBsSiteF&lt;&gt;strEmpty),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strEmpty)</f>
        <v>--</v>
      </c>
    </row>
    <row r="146" spans="1:10" ht="15" hidden="1" customHeight="1" outlineLevel="1" x14ac:dyDescent="0.3">
      <c r="A146" s="10"/>
      <c r="B146" s="2" t="s">
        <v>355</v>
      </c>
      <c r="C146" s="174">
        <f>ServerRAMConfig*0.25</f>
        <v>12</v>
      </c>
      <c r="D146" s="4"/>
      <c r="G146" s="4"/>
      <c r="H146" s="2" t="s">
        <v>1191</v>
      </c>
      <c r="I146" s="269" t="str">
        <f>IF(AND(OR(calcNumAMBXServersDC2&lt;&gt;0,calcNumPMBXServersDC2&gt;0),NOT(calcMultiRoleEnabled),calcSiteResilienceEnabled,calcNumActiveDBsSiteF&lt;&gt;strEmpty),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strEmpty)</f>
        <v>--</v>
      </c>
    </row>
    <row r="147" spans="1:10" ht="15" hidden="1" customHeight="1" outlineLevel="1" x14ac:dyDescent="0.3">
      <c r="A147" s="10"/>
      <c r="B147" s="2" t="s">
        <v>1191</v>
      </c>
      <c r="C147" s="186" t="str">
        <f>IF(NOT(calcMultiRoleEnabled),MAX(IF(calcCASMemReq&gt;=64,CEILING(calcCASMemReq,32),IF(calcCASMemReq&gt;=32,CEILING(calcCASMemReq,16),IF(calcCASMemReq&gt;=16,CEILING(calcCASMemReq,8),IF(calcCASMemReq&gt;=4,CEILING(calcCASMemReq,4),CEILING(calcCASMemReq,2))))),8),strEmpty)</f>
        <v>--</v>
      </c>
      <c r="D147" s="4"/>
      <c r="G147" s="4"/>
      <c r="I147" s="391"/>
    </row>
    <row r="148" spans="1:10" ht="15" hidden="1" customHeight="1" outlineLevel="1" thickBot="1" x14ac:dyDescent="0.35">
      <c r="A148" s="10"/>
      <c r="B148" s="2" t="s">
        <v>1979</v>
      </c>
      <c r="C148" s="126">
        <f>VLOOKUP(ServerVersion,tblServerMax,2,FALSE)</f>
        <v>256</v>
      </c>
      <c r="D148" s="4"/>
      <c r="G148" s="4"/>
      <c r="H148" s="294" t="s">
        <v>290</v>
      </c>
      <c r="I148" s="295" t="s">
        <v>244</v>
      </c>
    </row>
    <row r="149" spans="1:10" ht="15" hidden="1" customHeight="1" outlineLevel="1" thickTop="1" x14ac:dyDescent="0.3">
      <c r="A149" s="10"/>
      <c r="D149" s="4"/>
      <c r="G149" s="4"/>
      <c r="H149" s="389" t="s">
        <v>473</v>
      </c>
      <c r="I149" s="619" t="str">
        <f>IF(IF(JBODEvaluation="Yes",
       OR(IF(calcSiteResilienceEnabled,
             (calcNumDBCopyInPDCActual+calcNumLagCopyInPDCActual)&gt;=(varMinJBODCopyCount/2),
             (numDBCopies+numLagCopies)&gt;=varMinJBODCopyCount
            ),
          AND(calcVirtualizationEnabled,funcAzureJBODCheck(DBDiskRPMPDC))
         ),
      ),
    INDEX(varStorageArchitecture,1),
    INDEX(varStorageArchitecture,2)
   )</f>
        <v>JBOD</v>
      </c>
    </row>
    <row r="150" spans="1:10" ht="15" hidden="1" customHeight="1" outlineLevel="1" x14ac:dyDescent="0.3">
      <c r="B150" s="122" t="s">
        <v>34</v>
      </c>
      <c r="C150" s="117" t="s">
        <v>244</v>
      </c>
      <c r="D150" s="4"/>
      <c r="G150" s="4"/>
      <c r="H150" s="389" t="s">
        <v>475</v>
      </c>
      <c r="I150" s="390" t="str">
        <f>IF(AND(calcSiteResilienceEnabled,calcDedLaggedCopyServer="No"),
    IF(IF(JBODEvaluation="Yes",
          OR(IF(PreferredStorageArch=INDEX(varStorageArchitecture,1),
                OR((calcNumDBCopyInSDCActual+calcNumLagCopyInSDCActual)&gt;=(varMinJBODCopyCount/2),
                   AND(calcNumLagCopyInSDCActual&gt;=1)
                  ),
                (numDBCopies+numLagCopies)&gt;=varMinJBODCopyCount
               ),
             AND(calcVirtualizationEnabled,funcAzureJBODCheck(DBDiskRPMSDC))
            ),
         ),
       INDEX(varStorageArchitecture,1),
       INDEX(varStorageArchitecture,2)
      ),
    strEmpty
   )</f>
        <v>JBOD</v>
      </c>
    </row>
    <row r="151" spans="1:10" ht="15" hidden="1" customHeight="1" outlineLevel="1" x14ac:dyDescent="0.3">
      <c r="B151" s="9" t="s">
        <v>193</v>
      </c>
      <c r="C151" s="14">
        <f>IF(calcHAOption,((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0</v>
      </c>
      <c r="D151" s="4"/>
      <c r="H151" s="389" t="s">
        <v>474</v>
      </c>
      <c r="I151" s="390" t="str">
        <f>IF(AND(calcDedLaggedCopyServer="Yes",numLagCopies&gt;0),IF(JBODEvaluation="Yes",IF(OR(calcNumLagCopyInPDCActual&gt;=2,calcNumLagCopyInSDCActual&gt;2),INDEX(varStorageArchitecture,1),INDEX(varStorageArchitecture,2))),strEmpty)</f>
        <v>--</v>
      </c>
    </row>
    <row r="152" spans="1:10" ht="15" hidden="1" customHeight="1" outlineLevel="1" x14ac:dyDescent="0.3">
      <c r="B152" s="9" t="s">
        <v>295</v>
      </c>
      <c r="C152" s="14">
        <f>IFERROR(calcNumUserTLogs/RecNumDBs,0)</f>
        <v>0</v>
      </c>
      <c r="D152" s="4"/>
      <c r="G152" s="4"/>
      <c r="I152" s="269"/>
    </row>
    <row r="153" spans="1:10" ht="15" hidden="1" customHeight="1" outlineLevel="1" x14ac:dyDescent="0.3">
      <c r="B153" s="9" t="s">
        <v>94</v>
      </c>
      <c r="C153" s="174">
        <f>IF(AND(calcHAOption,BackupMethod="Exchange Native Data Protection",calcTotNumHACopies+calcTotNumLagCopies&gt;=varMinENPCopyCount),calcNumUserTLogs*MAX(MAX(BackupFailureTol,NetFailureTol),ReplayLagTime+TruncationLagTime,1)/1024,calcNumUserTLogs*(IF(BackupFreq="Weekly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0</v>
      </c>
      <c r="D153" s="4"/>
      <c r="H153" s="117" t="s">
        <v>1213</v>
      </c>
      <c r="I153" s="341" t="s">
        <v>244</v>
      </c>
    </row>
    <row r="154" spans="1:10" ht="15" hidden="1" customHeight="1" outlineLevel="1" x14ac:dyDescent="0.3">
      <c r="B154" s="9" t="s">
        <v>93</v>
      </c>
      <c r="C154" s="174">
        <f>IF(calcHAOption,(((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0</v>
      </c>
      <c r="D154" s="4"/>
      <c r="H154" s="2" t="s">
        <v>1214</v>
      </c>
      <c r="I154" s="115" t="b">
        <f>NOT(JBODCapAchDisk1)</f>
        <v>0</v>
      </c>
    </row>
    <row r="155" spans="1:10" ht="15" hidden="1" customHeight="1" outlineLevel="1" x14ac:dyDescent="0.3">
      <c r="B155" s="9" t="s">
        <v>300</v>
      </c>
      <c r="C155" s="14">
        <f>LogDiskSpaceReqMove*1024</f>
        <v>0</v>
      </c>
      <c r="D155" s="4"/>
      <c r="E155" s="222"/>
      <c r="F155" s="330"/>
      <c r="G155" s="330"/>
      <c r="H155" s="2" t="s">
        <v>1215</v>
      </c>
      <c r="I155" s="115" t="b">
        <f>NOT(JBODIOAchDisk1)</f>
        <v>0</v>
      </c>
    </row>
    <row r="156" spans="1:10" ht="15" hidden="1" customHeight="1" outlineLevel="1" x14ac:dyDescent="0.3">
      <c r="B156" s="9" t="s">
        <v>296</v>
      </c>
      <c r="C156" s="14">
        <f>IFERROR(NumMoveMBXTLogPerWk/RecNumDBs,0)</f>
        <v>0</v>
      </c>
      <c r="D156" s="4"/>
      <c r="E156" s="223"/>
      <c r="F156" s="331"/>
      <c r="G156" s="331"/>
      <c r="H156" s="2" t="s">
        <v>1216</v>
      </c>
      <c r="I156" s="115" t="b">
        <f>NOT(JBODResVolAchConfig1)</f>
        <v>0</v>
      </c>
    </row>
    <row r="157" spans="1:10" ht="15" hidden="1" customHeight="1" outlineLevel="1" x14ac:dyDescent="0.3">
      <c r="B157" s="9" t="s">
        <v>301</v>
      </c>
      <c r="C157" s="14">
        <f>NumMoveMBXTLogPerWk/7</f>
        <v>0</v>
      </c>
      <c r="D157" s="4"/>
      <c r="H157" s="2" t="s">
        <v>2115</v>
      </c>
      <c r="I157" s="115" t="b">
        <f>IF(calcVirtualizationEnabled,FALSE,COUNTIF(varVirtualDiskOnly,DBDiskRPMPDC)&gt;0)</f>
        <v>0</v>
      </c>
    </row>
    <row r="158" spans="1:10" ht="15" hidden="1" customHeight="1" outlineLevel="1" x14ac:dyDescent="0.3">
      <c r="B158" s="9" t="s">
        <v>297</v>
      </c>
      <c r="C158" s="14">
        <f>NumMoveMBXTLogPerWkPerDB/7</f>
        <v>0</v>
      </c>
      <c r="D158" s="4"/>
      <c r="E158" s="14"/>
      <c r="G158" s="4"/>
      <c r="H158" s="2" t="s">
        <v>2048</v>
      </c>
      <c r="I158" s="115" t="b">
        <f>OR(JBODDBCapCheckPDC,JBODDBIOCheckPDC,JBODRLCapCheckPDC,NOT(ISNUMBER(OptJBODDisksConfigPDC)))</f>
        <v>0</v>
      </c>
    </row>
    <row r="159" spans="1:10" ht="15" hidden="1" customHeight="1" outlineLevel="1" x14ac:dyDescent="0.3">
      <c r="B159" s="9" t="s">
        <v>298</v>
      </c>
      <c r="C159" s="14">
        <f>NumDBMoveMbxTLogs+calcNumDBUserTLogs</f>
        <v>0</v>
      </c>
      <c r="D159" s="4"/>
      <c r="G159" s="4"/>
      <c r="H159" s="2" t="s">
        <v>1217</v>
      </c>
      <c r="I159" s="115" t="b">
        <f>IF(calcSiteResilienceEnabled,NOT(JBODCapAchDisk2),FALSE)</f>
        <v>0</v>
      </c>
    </row>
    <row r="160" spans="1:10" ht="15" hidden="1" customHeight="1" outlineLevel="1" x14ac:dyDescent="0.3">
      <c r="B160" s="9" t="s">
        <v>302</v>
      </c>
      <c r="C160" s="14">
        <f>NumMoveMBXTLogs+calcNumUserTLogs</f>
        <v>0</v>
      </c>
      <c r="D160" s="4"/>
      <c r="G160" s="4"/>
      <c r="H160" s="2" t="s">
        <v>1218</v>
      </c>
      <c r="I160" s="115" t="b">
        <f>IF(calcSiteResilienceEnabled,NOT(JBODIOAchDisk2),FALSE)</f>
        <v>0</v>
      </c>
      <c r="J160" s="14"/>
    </row>
    <row r="161" spans="1:10" ht="15" hidden="1" customHeight="1" outlineLevel="1" x14ac:dyDescent="0.3">
      <c r="B161" s="9"/>
      <c r="C161" s="14"/>
      <c r="D161" s="4"/>
      <c r="G161" s="4"/>
      <c r="H161" s="2" t="s">
        <v>1219</v>
      </c>
      <c r="I161" s="115" t="b">
        <f>IF(calcSiteResilienceEnabled,NOT(JBODResVolAchConfig2),FALSE)</f>
        <v>0</v>
      </c>
    </row>
    <row r="162" spans="1:10" ht="15" hidden="1" customHeight="1" outlineLevel="1" x14ac:dyDescent="0.3">
      <c r="A162" s="10"/>
      <c r="B162" s="117" t="s">
        <v>440</v>
      </c>
      <c r="C162" s="117" t="s">
        <v>244</v>
      </c>
      <c r="D162" s="4"/>
      <c r="G162" s="4"/>
      <c r="H162" s="2" t="s">
        <v>2116</v>
      </c>
      <c r="I162" s="115" t="b">
        <f>IF(calcVirtualizationEnabled,FALSE,COUNTIF(varVirtualDiskOnly,DBDiskRPMSDC)&gt;0)</f>
        <v>0</v>
      </c>
      <c r="J162" s="9"/>
    </row>
    <row r="163" spans="1:10" ht="15" hidden="1" customHeight="1" outlineLevel="1" x14ac:dyDescent="0.3">
      <c r="A163" s="10"/>
      <c r="B163" s="2" t="s">
        <v>692</v>
      </c>
      <c r="C163" s="250">
        <f>numSpecRatePDC/numPhysicalCoresPDC*2000/33.75/0.10832/IF(calcVirtualizationEnabled,VLOOKUP(VirtCPURatio,tblVirtCpuDiv,2), 1)</f>
        <v>6564.910553093714</v>
      </c>
      <c r="D163" s="4"/>
      <c r="G163" s="4"/>
      <c r="H163" s="2" t="s">
        <v>2117</v>
      </c>
      <c r="I163" s="115" t="b">
        <f>IF(calcSiteResilienceEnabled,OR(JBODDBCapCheckSDC,JBODDBIOCheckSDC,JBODRLCapCheckSDC,NOT(ISNUMBER(OptJBODDisksConfigSDC))))</f>
        <v>0</v>
      </c>
      <c r="J163" s="9"/>
    </row>
    <row r="164" spans="1:10" ht="15" hidden="1" customHeight="1" outlineLevel="1" x14ac:dyDescent="0.3">
      <c r="A164" s="10"/>
      <c r="B164" s="2" t="s">
        <v>690</v>
      </c>
      <c r="C164" s="250">
        <f>IFERROR(IF(AND(OR(calcNumAMBXServersDC2&lt;&gt;0,calcNumPMBXServersDC2&lt;&gt;0)),numSpecRateSDC/numPhysicalCoresSDC*2000/33.75/0.10832/IF(calcVirtualizationEnabled,VLOOKUP(VirtCPURatio,tblVirtCpuDiv,2),1),0),0)</f>
        <v>0</v>
      </c>
      <c r="D164" s="4"/>
      <c r="G164" s="4"/>
      <c r="H164" s="2" t="s">
        <v>1933</v>
      </c>
      <c r="I164" s="113" t="b">
        <f>OR(JBODDBCapCheckPDC,JBODDBIOCheckPDC,JBODRLCapCheckPDC,JBODCheckPDC,JBODDBCapCheckSDC,JBODDBIOCheckSDC,JBODRLCapCheckSDC,JBODCheckSDC)</f>
        <v>0</v>
      </c>
      <c r="J164" s="9"/>
    </row>
    <row r="165" spans="1:10" ht="15" hidden="1" customHeight="1" outlineLevel="1" x14ac:dyDescent="0.3">
      <c r="A165" s="10"/>
      <c r="B165" s="2" t="s">
        <v>691</v>
      </c>
      <c r="C165" s="250">
        <f>IF(AND(calcHAOption,calcDedLaggedCopyServer="Yes",numLagCopies&lt;&gt;0),numSpecRateLCS/numPhysicalCoresLCS*2000/33.75/0.10832/IF(calcVirtualizationEnabled,VLOOKUP(VirtCPURatio,tblVirtCpuDiv,2),1),0)</f>
        <v>0</v>
      </c>
      <c r="D165" s="4"/>
      <c r="G165" s="4"/>
      <c r="I165" s="269"/>
    </row>
    <row r="166" spans="1:10" ht="15" hidden="1" customHeight="1" outlineLevel="1" x14ac:dyDescent="0.3">
      <c r="A166" s="10"/>
      <c r="B166" s="2" t="s">
        <v>513</v>
      </c>
      <c r="C166" s="115">
        <f>IF(numMCyclesPerCorePDC&lt;&gt;0,numProcCoresPDC*numMCyclesPerCorePDC,strEmpty)</f>
        <v>78778.926637124561</v>
      </c>
      <c r="D166" s="4"/>
      <c r="G166" s="4"/>
      <c r="H166" s="946" t="s">
        <v>2044</v>
      </c>
      <c r="I166" s="977" t="s">
        <v>2067</v>
      </c>
    </row>
    <row r="167" spans="1:10" ht="15" hidden="1" customHeight="1" outlineLevel="1" x14ac:dyDescent="0.3">
      <c r="A167" s="10"/>
      <c r="B167" s="2" t="s">
        <v>511</v>
      </c>
      <c r="C167" s="115" t="str">
        <f>IFERROR(IF(OR(calcNumAMBXServersDC2&lt;&gt;0,calcNumPMBXServersDC2&lt;&gt;0),numProcCoresSDC*numMCyclesPerCoreSDC,strEmpty),0)</f>
        <v>--</v>
      </c>
      <c r="D167" s="4"/>
      <c r="E167" s="4"/>
      <c r="F167" s="4"/>
      <c r="G167" s="4"/>
      <c r="H167" s="21" t="s">
        <v>2045</v>
      </c>
      <c r="I167" s="978" t="str">
        <f>IFERROR(DBVolDiskSpaceReplicaSS/(RecDatabaseVols*VLOOKUP(DBDiskSizePDC,tblDiskCapacity,2,FALSE)*1000*1000*1000/1024/1024/1024),strEmpty)</f>
        <v>--</v>
      </c>
    </row>
    <row r="168" spans="1:10" ht="15" hidden="1" customHeight="1" outlineLevel="1" x14ac:dyDescent="0.3">
      <c r="A168" s="10"/>
      <c r="B168" s="2" t="s">
        <v>512</v>
      </c>
      <c r="C168" s="115" t="str">
        <f>IF(AND(calcHAOption,calcDedLaggedCopyServer="Yes",numLagCopies&lt;&gt;0,NOT(ValidationCheck)),numProcCoresLCS*numMCyclesPerCoreLCS,strEmpty)</f>
        <v>--</v>
      </c>
      <c r="D168" s="4"/>
      <c r="E168" s="4"/>
      <c r="F168" s="4"/>
      <c r="G168" s="4"/>
      <c r="H168" s="190" t="s">
        <v>2046</v>
      </c>
      <c r="I168" s="979" t="str">
        <f>IFERROR(DBVolDiskSpaceReplicaSS/(RecDatabaseVols*VLOOKUP(DBDiskSizeSDC,tblDiskCapacity,2,FALSE)*1000*1000*1000/1024/1024/1024),strEmpty)</f>
        <v>--</v>
      </c>
    </row>
    <row r="169" spans="1:10" ht="15" hidden="1" customHeight="1" outlineLevel="1" x14ac:dyDescent="0.3">
      <c r="A169" s="10"/>
      <c r="B169" s="2" t="s">
        <v>1292</v>
      </c>
      <c r="C169" s="115">
        <f>((calcTier1MBX*Tier1CASMegacycles)+(calcTier2MBX*Tier2CASMegacycles)+(calcTier3MBX*Tier3CASMegacycles)+(calcTier4MBX*Tier4CASMegacycles))*IF(calcVirtualizationEnabled,(1+VirtCPUFactor),1)</f>
        <v>0</v>
      </c>
      <c r="D169" s="4"/>
      <c r="E169" s="4"/>
      <c r="F169" s="4"/>
      <c r="G169" s="4"/>
      <c r="I169" s="269"/>
    </row>
    <row r="170" spans="1:10" ht="15" hidden="1" customHeight="1" outlineLevel="1" thickBot="1" x14ac:dyDescent="0.35">
      <c r="A170" s="10"/>
      <c r="C170" s="115"/>
      <c r="D170" s="4"/>
      <c r="E170" s="4"/>
      <c r="F170" s="4"/>
      <c r="G170" s="4"/>
      <c r="H170" s="947" t="s">
        <v>2099</v>
      </c>
      <c r="I170" s="1001" t="s">
        <v>244</v>
      </c>
      <c r="J170" s="976"/>
    </row>
    <row r="171" spans="1:10" ht="15" hidden="1" customHeight="1" outlineLevel="1" thickTop="1" x14ac:dyDescent="0.3">
      <c r="A171" s="10"/>
      <c r="B171" s="117" t="s">
        <v>531</v>
      </c>
      <c r="C171" s="341" t="s">
        <v>244</v>
      </c>
      <c r="D171" s="376"/>
      <c r="G171" s="4"/>
      <c r="H171" s="970" t="s">
        <v>2112</v>
      </c>
      <c r="I171" s="1002" cm="1">
        <f t="array" ref="I171">IFERROR((IFERROR(IF(OR(VolArchitecture=INDEX(varVolumeArchitecture,1),VolArchitecture=INDEX(varVolumeArchitecture,4)),LogOverheadperDB,0),0)+DBSizeOverhead)*RecDBperVolume,0)</f>
        <v>0</v>
      </c>
    </row>
    <row r="172" spans="1:10" ht="15" hidden="1" customHeight="1" outlineLevel="1" x14ac:dyDescent="0.3">
      <c r="A172" s="10"/>
      <c r="B172" s="466" t="s">
        <v>1177</v>
      </c>
      <c r="C172" s="470">
        <f>IF(numMCyclesPerCorePDC&lt;&gt;0,(calcMBXServerACPU+calcMBXServerPCPU)/numMCyclesPerCorePDC,strEmpty)</f>
        <v>0</v>
      </c>
      <c r="D172" s="4"/>
      <c r="F172" s="345"/>
      <c r="G172" s="4"/>
      <c r="H172" s="2" t="s">
        <v>2151</v>
      </c>
      <c r="I172" s="984" t="b">
        <f>calcNumMBXPerDBIO&lt;calcNumMBXPerDBCap</f>
        <v>0</v>
      </c>
    </row>
    <row r="173" spans="1:10" ht="15" hidden="1" customHeight="1" outlineLevel="1" x14ac:dyDescent="0.3">
      <c r="A173" s="10"/>
      <c r="B173" s="2" t="s">
        <v>1182</v>
      </c>
      <c r="C173" s="115">
        <f>IF(numMCyclesPerCorePDC&lt;&gt;0,(calcMBXServerACPU)/numMCyclesPerCorePDC,strEmpty)</f>
        <v>0</v>
      </c>
      <c r="D173" s="4"/>
      <c r="F173" s="345"/>
      <c r="G173" s="4"/>
      <c r="I173" s="269"/>
    </row>
    <row r="174" spans="1:10" ht="15" hidden="1" customHeight="1" outlineLevel="1" x14ac:dyDescent="0.3">
      <c r="A174" s="10"/>
      <c r="B174" s="466" t="s">
        <v>1179</v>
      </c>
      <c r="C174" s="470">
        <f>IF(numMCyclesPerCorePDC&lt;&gt;0,calcCASCPUPDC/numMCyclesPerCorePDC,strEmpty)</f>
        <v>0</v>
      </c>
      <c r="D174" s="4"/>
      <c r="E174" s="497"/>
      <c r="G174" s="4"/>
      <c r="H174" s="117" t="s">
        <v>2123</v>
      </c>
      <c r="I174" s="985" t="s">
        <v>244</v>
      </c>
    </row>
    <row r="175" spans="1:10" ht="15" hidden="1" customHeight="1" outlineLevel="1" x14ac:dyDescent="0.3">
      <c r="A175" s="10"/>
      <c r="B175" s="2" t="s">
        <v>1183</v>
      </c>
      <c r="C175" s="115" t="str">
        <f>IF(AND(calcHAOption,calcDedLaggedCopyServer="Yes",numLagCopies&lt;&gt;0),calcLaggedServerCPU/numMCyclesPerCoreLCS,strEmpty)</f>
        <v>--</v>
      </c>
      <c r="D175" s="4"/>
      <c r="E175" s="497"/>
      <c r="F175" s="345"/>
      <c r="G175" s="4"/>
      <c r="H175" s="2" t="s">
        <v>2135</v>
      </c>
      <c r="I175" s="984" t="b">
        <f>IF(AND(calcSiteResilienceEnabled,DBDiskSizePDC&lt;&gt;DBDiskSizeSDC),TRUE,FALSE)</f>
        <v>0</v>
      </c>
    </row>
    <row r="176" spans="1:10" ht="15" hidden="1" customHeight="1" outlineLevel="1" x14ac:dyDescent="0.3">
      <c r="A176" s="10"/>
      <c r="B176" s="2" t="s">
        <v>1184</v>
      </c>
      <c r="C176" s="470" t="str">
        <f>IF(numMCyclesPerCoreSDC&lt;&gt;0,(calcMBXServerACPUSDC+calcMBXServerPCPUSDC)/numMCyclesPerCoreSDC,strEmpty)</f>
        <v>--</v>
      </c>
      <c r="D176" s="4"/>
      <c r="E176" s="345"/>
      <c r="F176" s="345"/>
      <c r="G176" s="4"/>
      <c r="H176" s="2" t="s">
        <v>2133</v>
      </c>
      <c r="I176" s="984" t="b">
        <f>IF(AND(calcSiteResilienceEnabled,DBDiskRPMPDC&lt;&gt;DBDiskRPMSDC),TRUE,FALSE)</f>
        <v>0</v>
      </c>
    </row>
    <row r="177" spans="1:9" ht="15" hidden="1" customHeight="1" outlineLevel="1" x14ac:dyDescent="0.3">
      <c r="A177" s="10"/>
      <c r="B177" s="2" t="s">
        <v>1185</v>
      </c>
      <c r="C177" s="115" t="str">
        <f>IF(numMCyclesPerCoreSDC&lt;&gt;0,(calcMBXServerACPUSDC)/numMCyclesPerCoreSDC,strEmpty)</f>
        <v>--</v>
      </c>
      <c r="D177" s="4"/>
      <c r="E177" s="345"/>
      <c r="F177" s="345"/>
      <c r="G177" s="4"/>
      <c r="H177" s="2" t="s">
        <v>2134</v>
      </c>
      <c r="I177" s="984" t="b">
        <f>OR(SRDiskSizeMatch,SRDiskTypeMatch)</f>
        <v>0</v>
      </c>
    </row>
    <row r="178" spans="1:9" ht="15" hidden="1" customHeight="1" outlineLevel="1" x14ac:dyDescent="0.3">
      <c r="A178" s="10"/>
      <c r="B178" s="2" t="s">
        <v>1186</v>
      </c>
      <c r="C178" s="470" t="str">
        <f>IF(numMCyclesPerCoreSDC&lt;&gt;0,calcCASCPUSDC/numMCyclesPerCoreSDC,strEmpty)</f>
        <v>--</v>
      </c>
      <c r="D178" s="4"/>
      <c r="E178" s="345"/>
      <c r="F178" s="345"/>
      <c r="G178" s="4"/>
      <c r="I178" s="269"/>
    </row>
    <row r="179" spans="1:9" ht="15" hidden="1" customHeight="1" outlineLevel="1" x14ac:dyDescent="0.3">
      <c r="A179" s="10"/>
      <c r="B179" s="466" t="s">
        <v>561</v>
      </c>
      <c r="C179" s="470">
        <f>IF(numMCyclesPerCorePDC&lt;&gt;0,ROUNDUP(((calcTier1MBX*Tier1ActiveMegacycles)+(calcTier2MBX*Tier2ActiveMegacycles)+(calcTier3MBX*Tier3ActiveMegacycles)+(calcTier4MBX*Tier4ActiveMegacycles))/numMCyclesPerCorePDC/IF(GCServerArch="64-bit",8,4),0),strEmpty)</f>
        <v>0</v>
      </c>
      <c r="D179" s="4"/>
      <c r="H179" s="117" t="s">
        <v>700</v>
      </c>
      <c r="I179" s="123" t="s">
        <v>244</v>
      </c>
    </row>
    <row r="180" spans="1:9" ht="15" hidden="1" customHeight="1" outlineLevel="1" x14ac:dyDescent="0.3">
      <c r="A180" s="10"/>
      <c r="B180" s="453" t="s">
        <v>562</v>
      </c>
      <c r="C180" s="454" t="str">
        <f>IF(numMCyclesPerCoreSDC&lt;&gt;0,ROUNDUP(((calcTier1MBX*Tier1ActiveMegacycles)+(calcTier2MBX*Tier2ActiveMegacycles)+(calcTier3MBX*Tier3ActiveMegacycles)+(calcTier4MBX*Tier4ActiveMegacycles))/numMCyclesPerCoreSDC/IF(GCServerArch="64-bit",8,4),0),strEmpty)</f>
        <v>--</v>
      </c>
      <c r="D180" s="4"/>
      <c r="E180" s="345"/>
      <c r="F180" s="345"/>
      <c r="G180" s="4"/>
      <c r="H180" s="943" t="s">
        <v>2098</v>
      </c>
      <c r="I180" s="944" t="b">
        <f>OR(JBODDBCapCheckPDC,JBODDBCapCheckSDC,JBODDBIOCheckPDC,JBODDBIOCheckSDC)</f>
        <v>0</v>
      </c>
    </row>
    <row r="181" spans="1:9" ht="15" hidden="1" customHeight="1" outlineLevel="1" x14ac:dyDescent="0.3">
      <c r="A181" s="10"/>
      <c r="B181" s="453"/>
      <c r="C181" s="454"/>
      <c r="D181" s="4"/>
      <c r="E181" s="345"/>
      <c r="F181" s="345"/>
      <c r="G181" s="4"/>
      <c r="H181" s="945" t="s">
        <v>390</v>
      </c>
      <c r="I181" s="944" t="b">
        <f>AND(calcHAOption,(calcNumAMBXServersDC1+calcNumPMBXServersDC1+calcNumLagMBXServers+calcNumPMBXServersDC2+calcNumAMBXServersDC2)&gt;varMaxServerCount)</f>
        <v>0</v>
      </c>
    </row>
    <row r="182" spans="1:9" ht="15" hidden="1" customHeight="1" outlineLevel="1" x14ac:dyDescent="0.3">
      <c r="A182" s="10"/>
      <c r="C182" s="115"/>
      <c r="D182" s="4"/>
      <c r="E182" s="345"/>
      <c r="H182" s="943" t="s">
        <v>1315</v>
      </c>
      <c r="I182" s="944" t="b">
        <f>AND(IF(calcHAOption,RecNumDBs*(calcTotNumHACopies+calcTotNumLagCopies)/(TotNumMBXServersinDAG+calcNumLagMBXServers),RecNumDBs)&gt;varMaxNumDBs)</f>
        <v>0</v>
      </c>
    </row>
    <row r="183" spans="1:9" ht="15" hidden="1" customHeight="1" outlineLevel="1" x14ac:dyDescent="0.3">
      <c r="A183" s="10"/>
      <c r="B183" s="117" t="s">
        <v>1265</v>
      </c>
      <c r="C183" s="341" t="s">
        <v>244</v>
      </c>
      <c r="D183" s="4"/>
      <c r="G183" s="4"/>
      <c r="H183" s="945" t="s">
        <v>701</v>
      </c>
      <c r="I183" s="944" t="b">
        <f>IF(calcHAOption,IF(calcSiteResilienceEnabled,IF(calcNumDBCopyInPDCActual+calcNumDBCopyInSDCActual+IF(calcDedLaggedCopyServer="No",calcNumLagCopyInPDCActual+calcNumLagCopyInSDCActual,0)&gt;TotNumMBXServersinDAG,TRUE,FALSE),IF(numDBCopies+IF(calcDedLaggedCopyServer="No",numLagCopies,0)&gt;numMBXServers,TRUE,FALSE)),FALSE)</f>
        <v>0</v>
      </c>
    </row>
    <row r="184" spans="1:9" ht="15" hidden="1" customHeight="1" outlineLevel="1" x14ac:dyDescent="0.3">
      <c r="A184" s="10"/>
      <c r="B184" s="2" t="s">
        <v>1301</v>
      </c>
      <c r="C184" s="454">
        <f>IF(AND(OR(calcNumLagCopyInPDCActual&gt;0,calcNumLagCopyInSDCActual&gt;0),SafetyNetTimeout&lt;ReplayLagTime),ReplayLagTime,SafetyNetTimeout)</f>
        <v>8</v>
      </c>
      <c r="D184" s="4"/>
      <c r="G184" s="4"/>
      <c r="H184" s="945" t="s">
        <v>2053</v>
      </c>
      <c r="I184" s="944" t="b">
        <f>AND(calcSiteResilienceEnabled,numLagCopiesSDC&gt;numLagCopies)</f>
        <v>0</v>
      </c>
    </row>
    <row r="185" spans="1:9" ht="15" hidden="1" customHeight="1" outlineLevel="1" x14ac:dyDescent="0.3">
      <c r="B185" s="2" t="s">
        <v>1281</v>
      </c>
      <c r="C185" s="115">
        <f>(calcTier1MBX*Tier1MessageProfile)+(calcTier2MBX*Tier2MessageProfile)+(calcTier3MBX*Tier3MessageProfile)+(calcTier4MBX*Tier4MessageProfile)</f>
        <v>0</v>
      </c>
      <c r="D185" s="4"/>
      <c r="G185" s="4"/>
      <c r="H185" s="943" t="s">
        <v>1317</v>
      </c>
      <c r="I185" s="944" t="b">
        <f>IF(calcRecMaxDBSize&lt;=0,TRUE, FALSE)</f>
        <v>0</v>
      </c>
    </row>
    <row r="186" spans="1:9" ht="15" hidden="1" customHeight="1" outlineLevel="1" x14ac:dyDescent="0.3">
      <c r="B186" s="2" t="s">
        <v>1283</v>
      </c>
      <c r="C186" s="115">
        <f>IFERROR(calcMessagesPerDay/calcRemainingServers,0)</f>
        <v>0</v>
      </c>
      <c r="D186" s="4"/>
      <c r="G186" s="4"/>
      <c r="H186" s="945" t="s">
        <v>746</v>
      </c>
      <c r="I186" s="944" t="b">
        <f>IF(OR(AND(NumTier1MBX&lt;&gt;0,Tier1MBXLimit=0),AND(NumTier2MBX&lt;&gt;0,Tier2MBXLimit=0),AND(NumTier3MBX&lt;&gt;0,Tier3MBXLimit=0),AND(NumTier4MBX&lt;&gt;0,Tier4MBXLimit=0)),TRUE,FALSE)</f>
        <v>0</v>
      </c>
    </row>
    <row r="187" spans="1:9" ht="15" hidden="1" customHeight="1" outlineLevel="1" x14ac:dyDescent="0.3">
      <c r="B187" s="2" t="s">
        <v>1285</v>
      </c>
      <c r="C187" s="115">
        <f>calcServerMessagesPerDay*2</f>
        <v>0</v>
      </c>
      <c r="D187" s="4"/>
      <c r="G187" s="4"/>
      <c r="H187" s="943" t="s">
        <v>780</v>
      </c>
      <c r="I187" s="944" t="b">
        <f>InValidFD()</f>
        <v>0</v>
      </c>
    </row>
    <row r="188" spans="1:9" ht="15" hidden="1" customHeight="1" outlineLevel="1" x14ac:dyDescent="0.3">
      <c r="B188" s="2" t="s">
        <v>1284</v>
      </c>
      <c r="C188" s="115">
        <f>calcShadowMessages+(calcShadowMessages*varMessageQueueRate*QueueTimeout)+(calcShadowMessages*calcSafetyNetTimeout)</f>
        <v>0</v>
      </c>
      <c r="D188" s="4"/>
      <c r="G188" s="4"/>
      <c r="H188" s="943" t="s">
        <v>1428</v>
      </c>
      <c r="I188" s="944" t="b">
        <f>IF(calcDiskLimitOverride="No",IF(TotNumMBXServersinDAG*NumDisksPerServer*RecDBperVolume&lt;TotNumDBCopiesDC1+TotNumLagDBCopiesDC1+TotNumLagDBCopiesDC2+TotNumDBCopiesDC2,TRUE,FALSE),FALSE)</f>
        <v>0</v>
      </c>
    </row>
    <row r="189" spans="1:9" ht="15" hidden="1" customHeight="1" outlineLevel="1" x14ac:dyDescent="0.3">
      <c r="B189" s="2" t="s">
        <v>1268</v>
      </c>
      <c r="C189" s="126">
        <f>((calcSafetyNetEffect*Tier1MBXRatio*Tier1AvgMessageSize)+(calcSafetyNetEffect*Tier2MBXRatio*Tier2AvgMessageSize)+(calcSafetyNetEffect*Tier3MBXRatio*Tier3AvgMessageSize)+(calcSafetyNetEffect*Tier4MBXRatio*Tier4AvgMessageSize))/1048576</f>
        <v>0</v>
      </c>
      <c r="D189" s="4"/>
      <c r="E189" s="345"/>
      <c r="F189" s="345"/>
      <c r="G189" s="4"/>
      <c r="H189" s="943" t="s">
        <v>2043</v>
      </c>
      <c r="I189" s="944" t="b">
        <f>IF(AND(calcSiteResilienceEnabled,SRModel=INDEX(varSRModel,1)),NOT(AND(ISEVEN(numDBCopies+numLagCopies),(calcNumDBCopyInPDCActual+calcNumLagCopyInPDCActual)=(calcNumDBCopyInSDCActual+calcNumLagCopyInSDCActual))))</f>
        <v>0</v>
      </c>
    </row>
    <row r="190" spans="1:9" ht="15" hidden="1" customHeight="1" outlineLevel="1" x14ac:dyDescent="0.3">
      <c r="B190" s="2" t="s">
        <v>1272</v>
      </c>
      <c r="C190" s="115" t="str">
        <f>IF(calcTransportDBSize+varMinOSVolume&lt;SysDiskForCapPDC,VLOOKUP(37,strTable,2,FALSE),VLOOKUP(38,strTable,2,FALSE))</f>
        <v>System Disk</v>
      </c>
      <c r="D190" s="4"/>
      <c r="E190" s="345"/>
      <c r="F190" s="345"/>
      <c r="G190" s="4"/>
      <c r="H190" s="943" t="s">
        <v>2103</v>
      </c>
      <c r="I190" s="944" t="b">
        <f>IF(AND(calcSiteResilienceEnabled,SRModel=INDEX(varSRModel,2)),NOT(AND((numDBCopies+numLagCopies)&gt;0,(numDBCopiesSDC+numLagCopiesSDC)&gt;0)))</f>
        <v>0</v>
      </c>
    </row>
    <row r="191" spans="1:9" ht="15" hidden="1" customHeight="1" outlineLevel="1" x14ac:dyDescent="0.3">
      <c r="B191" s="2" t="s">
        <v>1273</v>
      </c>
      <c r="C191" s="115" t="str">
        <f>IF(calcSiteResilienceEnabled,IF(calcTransportDBSize+varMinOSVolume&lt;SysDiskForCapSDC,"System Disk","Dedicated RAID-1 Disk"),strEmpty)</f>
        <v>System Disk</v>
      </c>
      <c r="D191" s="4"/>
      <c r="E191" s="345"/>
      <c r="F191" s="345"/>
      <c r="G191" s="4"/>
      <c r="H191" s="943" t="s">
        <v>2086</v>
      </c>
      <c r="I191" s="944" t="b">
        <f>AND(calcSiteResilienceEnabled,SRModel=INDEX(varSRModel,1),NOT((numDBCopies+numLagCopies)&lt;=RecDBperVolume))</f>
        <v>0</v>
      </c>
    </row>
    <row r="192" spans="1:9" ht="15" hidden="1" customHeight="1" outlineLevel="1" x14ac:dyDescent="0.3">
      <c r="A192" s="10"/>
      <c r="C192" s="115"/>
      <c r="D192" s="4"/>
      <c r="E192" s="345"/>
      <c r="F192" s="345"/>
      <c r="G192" s="4"/>
      <c r="H192" s="943" t="s">
        <v>2087</v>
      </c>
      <c r="I192" s="944" t="b">
        <f>IF(calcHAOption,calcNumActiveDBs,calcNumDBs)*TotNumActiveMBXServers*calcMBXPerDB*numDAGs&lt;TotalMBX</f>
        <v>0</v>
      </c>
    </row>
    <row r="193" spans="1:9" ht="15" hidden="1" customHeight="1" outlineLevel="1" x14ac:dyDescent="0.3">
      <c r="A193" s="10"/>
      <c r="B193" s="117" t="s">
        <v>1293</v>
      </c>
      <c r="C193" s="341" t="s">
        <v>244</v>
      </c>
      <c r="D193" s="4"/>
      <c r="E193" s="345"/>
      <c r="F193" s="345"/>
      <c r="G193" s="4"/>
      <c r="H193" s="943" t="s">
        <v>2118</v>
      </c>
      <c r="I193" s="944" t="b">
        <f>OR(VirtDiskCheckPDC,VirtDiskCheckSDC)</f>
        <v>0</v>
      </c>
    </row>
    <row r="194" spans="1:9" ht="15" hidden="1" customHeight="1" outlineLevel="1" x14ac:dyDescent="0.3">
      <c r="A194" s="10"/>
      <c r="B194" s="2" t="s">
        <v>1294</v>
      </c>
      <c r="C194" s="115" t="str">
        <f>IF(AND(NOT(calcMultiRoleEnabled),numMCyclesPerCorePDC&lt;&gt;0),ROUNDUP(calcTotCASReqMCycles/(calcAvSvrMCycles*varMaxRecCpuUtil),0),strEmpty)</f>
        <v>--</v>
      </c>
      <c r="D194" s="4"/>
      <c r="E194" s="345"/>
      <c r="F194" s="345"/>
      <c r="G194" s="4"/>
      <c r="H194" s="943" t="s">
        <v>2157</v>
      </c>
      <c r="I194" s="944" t="b">
        <f>calcTransportDBSize&gt;varMaxTransportDBSize</f>
        <v>0</v>
      </c>
    </row>
    <row r="195" spans="1:9" ht="15" hidden="1" customHeight="1" outlineLevel="1" x14ac:dyDescent="0.3">
      <c r="A195" s="10"/>
      <c r="B195" s="2" t="s">
        <v>1295</v>
      </c>
      <c r="C195" s="115" t="str">
        <f>IF(AND(NOT(calcMultiRoleEnabled),calcHAOption,calcSiteResilienceEnabled,numMCyclesPerCoreSDC&lt;&gt;0),ROUNDUP(calcTotCASReqMCycles/(calcAvSvrMCyclesSDC*varMaxRecCpuUtil),0),strEmpty)</f>
        <v>--</v>
      </c>
      <c r="D195" s="4"/>
      <c r="E195" s="345"/>
      <c r="F195" s="345"/>
      <c r="G195" s="4"/>
      <c r="H195" s="948" t="s">
        <v>702</v>
      </c>
      <c r="I195" s="949" t="b">
        <f>IFERROR(OR(DBVolCheck,DAGMemberValCheck,DBCountValCheck,DBCopyValCheck,LagCopyCountCheck,calcMaxDBSizeCheck,MailboxSizeCheck,InvalidActiveActive,InvalidDBPerVolume,MailboxCountCheck,calcCustomDiskCountCheck,InvalidActiveActive,InvalidActivePassive,VirtDiskCheck,TransportDBCheck),FALSE)</f>
        <v>0</v>
      </c>
    </row>
    <row r="196" spans="1:9" ht="15" hidden="1" customHeight="1" outlineLevel="1" x14ac:dyDescent="0.3">
      <c r="A196" s="10"/>
      <c r="B196" s="500" t="s">
        <v>1297</v>
      </c>
      <c r="C196" s="502" t="str">
        <f>IF(calcMinCASCountPDC&lt;&gt;strEmpty,calcMinCASCountPDC+2,strEmpty)</f>
        <v>--</v>
      </c>
      <c r="D196" s="4"/>
      <c r="E196" s="345"/>
      <c r="F196" s="345"/>
      <c r="G196" s="4"/>
      <c r="I196" s="10"/>
    </row>
    <row r="197" spans="1:9" ht="15" hidden="1" customHeight="1" outlineLevel="1" x14ac:dyDescent="0.3">
      <c r="A197" s="10"/>
      <c r="B197" s="500" t="s">
        <v>1298</v>
      </c>
      <c r="C197" s="502" t="str">
        <f>IF(calcMinCASCountSDC&lt;&gt;strEmpty,calcMinCASCountSDC+2,strEmpty)</f>
        <v>--</v>
      </c>
      <c r="D197" s="4"/>
      <c r="E197" s="345"/>
      <c r="F197" s="345"/>
      <c r="G197" s="4"/>
      <c r="I197" s="10"/>
    </row>
    <row r="198" spans="1:9" ht="15" hidden="1" customHeight="1" outlineLevel="1" x14ac:dyDescent="0.3">
      <c r="A198" s="10"/>
      <c r="B198" s="500"/>
      <c r="C198" s="502"/>
      <c r="D198" s="4"/>
      <c r="E198" s="345"/>
      <c r="F198" s="345"/>
      <c r="G198" s="4"/>
      <c r="I198" s="10"/>
    </row>
    <row r="199" spans="1:9" ht="15" hidden="1" customHeight="1" outlineLevel="1" x14ac:dyDescent="0.3">
      <c r="A199" s="10"/>
      <c r="B199" s="500"/>
      <c r="C199" s="502"/>
      <c r="D199" s="4"/>
      <c r="E199" s="345"/>
      <c r="F199" s="345"/>
      <c r="G199" s="4"/>
      <c r="I199" s="10"/>
    </row>
    <row r="200" spans="1:9" ht="15" hidden="1" customHeight="1" outlineLevel="1" x14ac:dyDescent="0.3">
      <c r="B200" s="2" t="s">
        <v>1567</v>
      </c>
      <c r="C200" s="341" t="s">
        <v>1560</v>
      </c>
      <c r="D200" s="117" t="s">
        <v>1561</v>
      </c>
      <c r="E200" s="341" t="s">
        <v>1562</v>
      </c>
      <c r="F200" s="341" t="s">
        <v>1564</v>
      </c>
      <c r="G200" s="117" t="s">
        <v>1566</v>
      </c>
      <c r="I200" s="10"/>
    </row>
    <row r="201" spans="1:9" ht="15" hidden="1" customHeight="1" outlineLevel="1" x14ac:dyDescent="0.3">
      <c r="B201" s="2" t="s">
        <v>476</v>
      </c>
      <c r="C201" s="115">
        <f>IF(calcHAOption,calcNumActiveDBs,calcNumDBMemSizing)</f>
        <v>0</v>
      </c>
      <c r="D201" s="2">
        <f>IF(calcHAOption,calcNumActiveDBsFF,0)</f>
        <v>0</v>
      </c>
      <c r="E201" s="114">
        <f>IF(calcHAOption,calcNumActiveDBsSF,0)</f>
        <v>0</v>
      </c>
      <c r="F201" s="115">
        <f>IF(AND(calcSiteResilienceEnabled,SRModel&lt;&gt;INDEX(varSRModel,2)),calcNumActiveDBsSiteF,0)</f>
        <v>0</v>
      </c>
      <c r="G201" s="2">
        <f>calcNumDBMemSizing</f>
        <v>0</v>
      </c>
      <c r="I201" s="10"/>
    </row>
    <row r="202" spans="1:9" ht="15" hidden="1" customHeight="1" outlineLevel="1" x14ac:dyDescent="0.3">
      <c r="B202" s="2" t="s">
        <v>477</v>
      </c>
      <c r="C202" s="115">
        <f>IF(calcSiteResilienceEnabled,IF(SRModel=INDEX(varSRModel,1),calcNumActiveDBsDC2,0),0)</f>
        <v>0</v>
      </c>
      <c r="D202" s="114">
        <f>IF(calcSiteResilienceEnabled,IF(SRModel=INDEX(varSRModel,1),calcNumActiveDBsFFDC2,calcNumActiveDBsPDCFFinSDC),0)</f>
        <v>0</v>
      </c>
      <c r="E202" s="114">
        <f>IF(calcSiteResilienceEnabled,IF(SRModel=INDEX(varSRModel,1),calcNumActiveDBsSFDC2,calcNumActiveDBsPDCSFinSDC),0)</f>
        <v>0</v>
      </c>
      <c r="F202" s="115">
        <f>IF(calcSiteResilienceEnabled,calcNumActiveDBsSiteF,0)</f>
        <v>0</v>
      </c>
      <c r="G202" s="114">
        <f>IF(calcSiteResilienceEnabled,calcNumDBMemSizingSDC,0)</f>
        <v>0</v>
      </c>
      <c r="I202" s="10"/>
    </row>
    <row r="203" spans="1:9" ht="15" hidden="1" customHeight="1" outlineLevel="1" x14ac:dyDescent="0.3">
      <c r="A203" s="10"/>
      <c r="B203" s="500"/>
      <c r="C203" s="502"/>
      <c r="D203" s="4"/>
      <c r="E203" s="345"/>
      <c r="F203" s="345"/>
      <c r="G203" s="4"/>
      <c r="I203" s="10"/>
    </row>
    <row r="204" spans="1:9" ht="15" hidden="1" customHeight="1" outlineLevel="1" x14ac:dyDescent="0.3">
      <c r="B204" s="117" t="s">
        <v>1565</v>
      </c>
      <c r="C204" s="341" t="s">
        <v>1560</v>
      </c>
      <c r="D204" s="117" t="s">
        <v>1561</v>
      </c>
      <c r="E204" s="341" t="s">
        <v>1562</v>
      </c>
      <c r="F204" s="341" t="s">
        <v>1564</v>
      </c>
      <c r="G204" s="117" t="s">
        <v>1566</v>
      </c>
      <c r="I204" s="10"/>
    </row>
    <row r="205" spans="1:9" ht="15" hidden="1" customHeight="1" outlineLevel="1" x14ac:dyDescent="0.3">
      <c r="B205" s="2" t="s">
        <v>443</v>
      </c>
      <c r="C205" s="470">
        <f>IF(calcActDBPDCNormal&lt;&gt;0,calcActDBPDCNormal*((NumTier1MBXDB*Tier1ActiveMegacycles)+(NumTier2MBXDB*Tier2ActiveMegacycles)+(NumTier3MBXDB*Tier3ActiveMegacycles)+(NumTier4MBXDB*Tier4ActiveMegacycles))*IF(calcVirtualizationEnabled,(1+VirtCPUFactor),1),0)</f>
        <v>0</v>
      </c>
      <c r="D205" s="470" t="str">
        <f>IF(calcActDBPDCSingle&lt;&gt;0,calcActDBPDCSingle*((NumTier1MBXDB*Tier1ActiveMegacycles)+(NumTier2MBXDB*Tier2ActiveMegacycles)+(NumTier3MBXDB*Tier3ActiveMegacycles)+(NumTier4MBXDB*Tier4ActiveMegacycles))*IF(calcVirtualizationEnabled,(1+VirtCPUFactor),1),strEmpty)</f>
        <v>--</v>
      </c>
      <c r="E205" s="470" t="str">
        <f>IF(calcActDBPDCDouble&lt;&gt;0,calcActDBPDCDouble*((NumTier1MBXDB*Tier1ActiveMegacycles)+(NumTier2MBXDB*Tier2ActiveMegacycles)+(NumTier3MBXDB*Tier3ActiveMegacycles)+(NumTier4MBXDB*Tier4ActiveMegacycles))*IF(calcVirtualizationEnabled,(1+VirtCPUFactor),1),strEmpty)</f>
        <v>--</v>
      </c>
      <c r="F205" s="470">
        <f>calcActDBPDCSite*((NumTier1MBXDB*Tier1ActiveMegacycles)+(NumTier2MBXDB*Tier2ActiveMegacycles)+(NumTier3MBXDB*Tier3ActiveMegacycles)+(NumTier4MBXDB*Tier4ActiveMegacycles))*IF(calcVirtualizationEnabled,(1+VirtCPUFactor),1)</f>
        <v>0</v>
      </c>
      <c r="G205" s="470">
        <f>calcActDBPDCWorst*((NumTier1MBXDB*Tier1ActiveMegacycles)+(NumTier2MBXDB*Tier2ActiveMegacycles)+(NumTier3MBXDB*Tier3ActiveMegacycles)+(NumTier4MBXDB*Tier4ActiveMegacycles))*IF(calcVirtualizationEnabled,(1+VirtCPUFactor),1)</f>
        <v>0</v>
      </c>
      <c r="I205" s="10"/>
    </row>
    <row r="206" spans="1:9" ht="15" hidden="1" customHeight="1" outlineLevel="1" x14ac:dyDescent="0.3">
      <c r="B206" s="2" t="s">
        <v>653</v>
      </c>
      <c r="C206" s="470">
        <f>IF(calcHAOption,(TotNumDBCopiesServer-calcActDBPDCNormal)*((NumTier1MBXDB*Tier1PassiveMegacycles)+(NumTier2MBXDB*Tier2PassiveMegacycles)+(NumTier3MBXDB*Tier3PassiveMegacycles)+(NumTier4MBXDB*Tier4PassiveMegacycles))*IF(calcVirtualizationEnabled,(1+VirtCPUFactor),1),0)</f>
        <v>0</v>
      </c>
      <c r="D206" s="470" t="str">
        <f>IF(calcActDBPDCSingle&lt;&gt;0,IF(calcHAOption,(TotNumDBCopiesServer-calcActDBPDCSingle)*((NumTier1MBXDB*Tier1PassiveMegacycles)+(NumTier2MBXDB*Tier2PassiveMegacycles)+(NumTier3MBXDB*Tier3PassiveMegacycles)+(NumTier4MBXDB*Tier4PassiveMegacycles))*IF(calcVirtualizationEnabled,(1+VirtCPUFactor),1),0),strEmpty)</f>
        <v>--</v>
      </c>
      <c r="E206" s="470" t="str">
        <f>IF(calcActDBPDCDouble&lt;&gt;0,IF(calcHAOption,(TotNumDBCopiesServer-calcActDBPDCDouble)*((NumTier1MBXDB*Tier1PassiveMegacycles)+(NumTier2MBXDB*Tier2PassiveMegacycles)+(NumTier3MBXDB*Tier3PassiveMegacycles)+(NumTier4MBXDB*Tier4PassiveMegacycles))*IF(calcVirtualizationEnabled,(1+VirtCPUFactor),1),0),strEmpty)</f>
        <v>--</v>
      </c>
      <c r="F206" s="470">
        <f>IF(AND(calcSiteResilienceEnabled,SRModel&lt;&gt;INDEX(varSRModel,2)),(TotNumDBCopiesServer-calcActDBPDCSite)*((NumTier1MBXDB*Tier1PassiveMegacycles)+(NumTier2MBXDB*Tier2PassiveMegacycles)+(NumTier3MBXDB*Tier3PassiveMegacycles)+(NumTier4MBXDB*Tier4PassiveMegacycles))*IF(calcVirtualizationEnabled,(1+VirtCPUFactor),1),0)</f>
        <v>0</v>
      </c>
      <c r="G206" s="470">
        <f>IF(calcHAOption,(TotNumDBCopiesServer-calcActDBPDCWorst)*((NumTier1MBXDB*Tier1PassiveMegacycles)+(NumTier2MBXDB*Tier2PassiveMegacycles)+(NumTier3MBXDB*Tier3PassiveMegacycles)+(NumTier4MBXDB*Tier4PassiveMegacycles))*IF(calcVirtualizationEnabled,(1+VirtCPUFactor),1),0)</f>
        <v>0</v>
      </c>
      <c r="I206" s="10"/>
    </row>
    <row r="207" spans="1:9" ht="15" hidden="1" customHeight="1" outlineLevel="1" x14ac:dyDescent="0.3">
      <c r="B207" s="2" t="s">
        <v>1180</v>
      </c>
      <c r="C207" s="470">
        <f>IF(calcActDBPDCNormal&lt;&gt;0,IF(calcMultiRoleEnabled,calcActDBPDCNormal*((NumTier1MBXDB*Tier1CASMegacycles)+(NumTier2MBXDB*Tier2CASMegacycles)+(NumTier3MBXDB*Tier3CASMegacycles)+(NumTier4MBXDB*Tier4CASMegacycles))*IF(calcVirtualizationEnabled,(1+VirtCPUFactor),1),calcTotCASReqMCycles/calcMinCASCountPDC),0)</f>
        <v>0</v>
      </c>
      <c r="D207" s="470" t="str">
        <f>IF(calcActDBPDCSingle&lt;&gt;0,IF(calcMultiRoleEnabled,calcActDBPDCSingle*((NumTier1MBXDB*Tier1CASMegacycles)+(NumTier2MBXDB*Tier2CASMegacycles)+(NumTier3MBXDB*Tier3CASMegacycles)+(NumTier4MBXDB*Tier4CASMegacycles))*IF(calcVirtualizationEnabled,(1+VirtCPUFactor),1),calcTotCASReqMCycles/calcMinCASCountPDC),strEmpty)</f>
        <v>--</v>
      </c>
      <c r="E207" s="470" t="str">
        <f>IF(calcActDBPDCDouble&lt;&gt;0,IF(calcMultiRoleEnabled,calcActDBPDCDouble*((NumTier1MBXDB*Tier1CASMegacycles)+(NumTier2MBXDB*Tier2CASMegacycles)+(NumTier3MBXDB*Tier3CASMegacycles)+(NumTier4MBXDB*Tier4CASMegacycles))*IF(calcVirtualizationEnabled,(1+VirtCPUFactor),1),calcTotCASReqMCycles/calcMinCASCountPDC),strEmpty)</f>
        <v>--</v>
      </c>
      <c r="F207" s="470">
        <f>IF(calcMultiRoleEnabled,calcActDBPDCSite*((NumTier1MBXDB*Tier1CASMegacycles)+(NumTier2MBXDB*Tier2CASMegacycles)+(NumTier3MBXDB*Tier3CASMegacycles)+(NumTier4MBXDB*Tier4CASMegacycles))*IF(calcVirtualizationEnabled,(1+VirtCPUFactor),1),calcTotCASReqMCycles/calcMinCASCountPDC)</f>
        <v>0</v>
      </c>
      <c r="G207" s="470">
        <f>IF(calcMultiRoleEnabled,calcActDBPDCWorst*((NumTier1MBXDB*Tier1CASMegacycles)+(NumTier2MBXDB*Tier2CASMegacycles)+(NumTier3MBXDB*Tier3CASMegacycles)+(NumTier4MBXDB*Tier4CASMegacycles))*IF(calcVirtualizationEnabled,(1+VirtCPUFactor),1),calcTotCASReqMCycles/calcMinCASCountPDC)</f>
        <v>0</v>
      </c>
      <c r="I207" s="113"/>
    </row>
    <row r="208" spans="1:9" ht="15" hidden="1" customHeight="1" outlineLevel="1" x14ac:dyDescent="0.3">
      <c r="A208" s="10"/>
      <c r="B208" s="2" t="s">
        <v>444</v>
      </c>
      <c r="C208" s="470" t="str">
        <f>IF(AND(OR(calcNumAMBXServersDC2&lt;&gt;0,calcNumPMBXServersDC2&lt;&gt;0)),IF(calcTotNumHAPassCopiesDC1inDC2&lt;&gt;0,calcActDBSDCNormal*((NumTier1MBXDB*Tier1ActiveMegacycles)+(NumTier2MBXDB*Tier2ActiveMegacycles)+(NumTier3MBXDB*Tier3ActiveMegacycles)+(NumTier4MBXDB*Tier4ActiveMegacycles))*IF(calcVirtualizationEnabled,(1+VirtCPUFactor),1),0),strEmpty)</f>
        <v>--</v>
      </c>
      <c r="D208" s="470" t="str">
        <f>IF(AND(OR(calcNumAMBXServersDC2&lt;&gt;0,calcNumPMBXServersDC2&lt;&gt;0),calcActDBSDCSingle&lt;&gt;strEmpty),IF(calcTotNumHAPassCopiesDC1inDC2&lt;&gt;0,calcActDBSDCSingle*((NumTier1MBXDB*Tier1ActiveMegacycles)+(NumTier2MBXDB*Tier2ActiveMegacycles)+(NumTier3MBXDB*Tier3ActiveMegacycles)+(NumTier4MBXDB*Tier4ActiveMegacycles))*IF(calcVirtualizationEnabled,(1+VirtCPUFactor),1),0),strEmpty)</f>
        <v>--</v>
      </c>
      <c r="E208" s="470" t="str">
        <f>IF(AND(OR(calcNumAMBXServersDC2&lt;&gt;0,calcNumPMBXServersDC2&lt;&gt;0),calcActDBSDCDouble&lt;&gt;strEmpty),IF(calcTotNumHAPassCopiesDC1inDC2&lt;&gt;0,calcActDBSDCDouble*((NumTier1MBXDB*Tier1ActiveMegacycles)+(NumTier2MBXDB*Tier2ActiveMegacycles)+(NumTier3MBXDB*Tier3ActiveMegacycles)+(NumTier4MBXDB*Tier4ActiveMegacycles))*IF(calcVirtualizationEnabled,(1+VirtCPUFactor),1),0),strEmpty)</f>
        <v>--</v>
      </c>
      <c r="F208" s="470" t="str">
        <f>IF(AND(OR(calcNumAMBXServersDC2&lt;&gt;0,calcNumPMBXServersDC2&lt;&gt;0)),IF(calcTotNumHAPassCopiesDC1inDC2&lt;&gt;0,calcActDBSDCSite*((NumTier1MBXDB*Tier1ActiveMegacycles)+(NumTier2MBXDB*Tier2ActiveMegacycles)+(NumTier3MBXDB*Tier3ActiveMegacycles)+(NumTier4MBXDB*Tier4ActiveMegacycles))*IF(calcVirtualizationEnabled,(1+VirtCPUFactor),1),0),strEmpty)</f>
        <v>--</v>
      </c>
      <c r="G208" s="470" t="str">
        <f>IF(OR(calcNumAMBXServersDC2&lt;&gt;0,calcNumPMBXServersDC2&lt;&gt;0),IF(calcTotNumHAPassCopiesDC1inDC2&lt;&gt;0,calcActDBSDCWorst*((NumTier1MBXDB*Tier1ActiveMegacycles)+(NumTier2MBXDB*Tier2ActiveMegacycles)+(NumTier3MBXDB*Tier3ActiveMegacycles)+(NumTier4MBXDB*Tier4ActiveMegacycles))*IF(calcVirtualizationEnabled,(1+VirtCPUFactor),1),0),strEmpty)</f>
        <v>--</v>
      </c>
      <c r="I208" s="113"/>
    </row>
    <row r="209" spans="1:13" ht="15" hidden="1" customHeight="1" outlineLevel="1" x14ac:dyDescent="0.3">
      <c r="A209" s="10"/>
      <c r="B209" s="2" t="s">
        <v>654</v>
      </c>
      <c r="C209" s="470" t="str">
        <f>IF(AND(OR(calcNumAMBXServersDC2&lt;&gt;0,calcNumPMBXServersDC2&lt;&gt;0)),IF(calcTotNumHAPassCopiesDC1inDC2&lt;&gt;0,(TotNumDBCopiesServer-calcActDBSDCNormal)*((NumTier1MBXDB*Tier1PassiveMegacycles)+(NumTier2MBXDB*Tier2PassiveMegacycles)+(NumTier3MBXDB*Tier3PassiveMegacycles)+(NumTier4MBXDB*Tier4PassiveMegacycles))*IF(calcVirtualizationEnabled,(1+VirtCPUFactor),1),TotNumDBCopiesServer*((NumTier1MBXDB*Tier1PassiveMegacycles)+(NumTier2MBXDB*Tier2PassiveMegacycles)+(NumTier3MBXDB*Tier3PassiveMegacycles)+(NumTier4MBXDB*Tier4PassiveMegacycles))*IF(calcVirtualizationEnabled,(1+VirtCPUFactor),1)),strEmpty)</f>
        <v>--</v>
      </c>
      <c r="D209" s="470" t="str">
        <f>IF(AND(OR(calcNumAMBXServersDC2&lt;&gt;0,calcNumPMBXServersDC2&lt;&gt;0),calcActDBSDCSingle&lt;&gt;strEmpty),IF(calcTotNumHAPassCopiesDC1inDC2&lt;&gt;0,(TotNumDBCopiesServer-calcActDBSDCSingle)*((NumTier1MBXDB*Tier1PassiveMegacycles)+(NumTier2MBXDB*Tier2PassiveMegacycles)+(NumTier3MBXDB*Tier3PassiveMegacycles)+(NumTier4MBXDB*Tier4PassiveMegacycles))*IF(calcVirtualizationEnabled,(1+VirtCPUFactor),1),TotNumDBCopiesServer*((NumTier1MBXDB*Tier1PassiveMegacycles)+(NumTier2MBXDB*Tier2PassiveMegacycles)+(NumTier3MBXDB*Tier3PassiveMegacycles)+(NumTier4MBXDB*Tier4PassiveMegacycles))*IF(calcVirtualizationEnabled,(1+VirtCPUFactor),1)),strEmpty)</f>
        <v>--</v>
      </c>
      <c r="E209" s="470" t="str">
        <f>IF(AND(OR(calcNumAMBXServersDC2&lt;&gt;0,calcNumPMBXServersDC2&lt;&gt;0),calcActDBSDCDouble&lt;&gt;0),IF(calcTotNumHAPassCopiesDC1inDC2&lt;&gt;0,(TotNumDBCopiesServer-calcActDBSDCDouble)*((NumTier1MBXDB*Tier1PassiveMegacycles)+(NumTier2MBXDB*Tier2PassiveMegacycles)+(NumTier3MBXDB*Tier3PassiveMegacycles)+(NumTier4MBXDB*Tier4PassiveMegacycles))*IF(calcVirtualizationEnabled,(1+VirtCPUFactor),1),TotNumDBCopiesServer*((NumTier1MBXDB*Tier1PassiveMegacycles)+(NumTier2MBXDB*Tier2PassiveMegacycles)+(NumTier3MBXDB*Tier3PassiveMegacycles)+(NumTier4MBXDB*Tier4PassiveMegacycles))*IF(calcVirtualizationEnabled,(1+VirtCPUFactor),1)),strEmpty)</f>
        <v>--</v>
      </c>
      <c r="F209" s="470" t="str">
        <f>IF(AND(OR(calcNumAMBXServersDC2&lt;&gt;0,calcNumPMBXServersDC2&lt;&gt;0)),IF(calcTotNumHAPassCopiesDC1inDC2&lt;&gt;0,(TotNumDBCopiesServer-calcActDBSDCSite)*((NumTier1MBXDB*Tier1PassiveMegacycles)+(NumTier2MBXDB*Tier2PassiveMegacycles)+(NumTier3MBXDB*Tier3PassiveMegacycles)+(NumTier4MBXDB*Tier4PassiveMegacycles))*IF(calcVirtualizationEnabled,(1+VirtCPUFactor),1),TotNumDBCopiesServer*((NumTier1MBXDB*Tier1PassiveMegacycles)+(NumTier2MBXDB*Tier2PassiveMegacycles)+(NumTier3MBXDB*Tier3PassiveMegacycles)+(NumTier4MBXDB*Tier4PassiveMegacycles))*IF(calcVirtualizationEnabled,(1+VirtCPUFactor),1)),strEmpty)</f>
        <v>--</v>
      </c>
      <c r="G209" s="470" t="str">
        <f>IF(OR(calcNumAMBXServersDC2&lt;&gt;0,calcNumPMBXServersDC2&lt;&gt;0),IF(calcTotNumHAPassCopiesDC1inDC2&lt;&gt;0,(TotNumDBCopiesServer-calcActDBSDCWorst)*((NumTier1MBXDB*Tier1PassiveMegacycles)+(NumTier2MBXDB*Tier2PassiveMegacycles)+(NumTier3MBXDB*Tier3PassiveMegacycles)+(NumTier4MBXDB*Tier4PassiveMegacycles))*IF(calcVirtualizationEnabled,(1+VirtCPUFactor),1),TotNumDBCopiesServer*((NumTier1MBXDB*Tier1PassiveMegacycles)+(NumTier2MBXDB*Tier2PassiveMegacycles)+(NumTier3MBXDB*Tier3PassiveMegacycles)+(NumTier4MBXDB*Tier4PassiveMegacycles))*IF(calcVirtualizationEnabled,(1+VirtCPUFactor),1)),strEmpty)</f>
        <v>--</v>
      </c>
      <c r="I209" s="113"/>
    </row>
    <row r="210" spans="1:13" ht="15" hidden="1" customHeight="1" outlineLevel="1" x14ac:dyDescent="0.3">
      <c r="A210" s="10"/>
      <c r="B210" s="2" t="s">
        <v>1181</v>
      </c>
      <c r="C210" s="470" t="str">
        <f>IF(AND(OR(calcNumAMBXServersDC2&lt;&gt;0,calcNumPMBXServersDC2&lt;&gt;0)),IF(calcMultiRoleEnabled,IF(calcTotNumHAPassCopiesDC1inDC2&lt;&gt;0,calcActDBSDCNormal*((NumTier1MBXDB*Tier1CASMegacycles)+(NumTier2MBXDB*Tier2CASMegacycles)+(NumTier3MBXDB*Tier3CASMegacycles)+(NumTier4MBXDB*Tier4CASMegacycles))*IF(calcVirtualizationEnabled,(1+VirtCPUFactor),1),0),calcTotCASReqMCycles/calcMinCASCountSDC),strEmpty)</f>
        <v>--</v>
      </c>
      <c r="D210" s="470" t="str">
        <f>IF(AND(OR(calcNumAMBXServersDC2&lt;&gt;0,calcNumPMBXServersDC2&lt;&gt;0),calcActDBSDCSingle&lt;&gt;strEmpty),IF(calcMultiRoleEnabled,IF(calcTotNumHAPassCopiesDC1inDC2&lt;&gt;0,calcActDBSDCSingle*((NumTier1MBXDB*Tier1CASMegacycles)+(NumTier2MBXDB*Tier2CASMegacycles)+(NumTier3MBXDB*Tier3CASMegacycles)+(NumTier4MBXDB*Tier4CASMegacycles))*IF(calcVirtualizationEnabled,(1+VirtCPUFactor),1),0),calcTotCASReqMCycles/calcMinCASCountSDC),strEmpty)</f>
        <v>--</v>
      </c>
      <c r="E210" s="470" t="str">
        <f>IF(AND(OR(calcNumAMBXServersDC2&lt;&gt;0,calcNumPMBXServersDC2&lt;&gt;0),calcActDBSDCDouble&lt;&gt;strEmpty),IF(calcMultiRoleEnabled,IF(calcTotNumHAPassCopiesDC1inDC2&lt;&gt;0,calcActDBSDCDouble*((NumTier1MBXDB*Tier1CASMegacycles)+(NumTier2MBXDB*Tier2CASMegacycles)+(NumTier3MBXDB*Tier3CASMegacycles)+(NumTier4MBXDB*Tier4CASMegacycles))*IF(calcVirtualizationEnabled,(1+VirtCPUFactor),1),0),calcTotCASReqMCycles/calcMinCASCountSDC),strEmpty)</f>
        <v>--</v>
      </c>
      <c r="F210" s="470" t="str">
        <f>IF(AND(OR(calcNumAMBXServersDC2&lt;&gt;0,calcNumPMBXServersDC2&lt;&gt;0)),IF(calcMultiRoleEnabled,IF(calcTotNumHAPassCopiesDC1inDC2&lt;&gt;0,calcActDBSDCSite*((NumTier1MBXDB*Tier1CASMegacycles)+(NumTier2MBXDB*Tier2CASMegacycles)+(NumTier3MBXDB*Tier3CASMegacycles)+(NumTier4MBXDB*Tier4CASMegacycles))*IF(calcVirtualizationEnabled,(1+VirtCPUFactor),1),0),calcTotCASReqMCycles/calcMinCASCountSDC),strEmpty)</f>
        <v>--</v>
      </c>
      <c r="G210" s="470" t="str">
        <f>IF(OR(calcNumAMBXServersDC2&lt;&gt;0,calcNumPMBXServersDC2&lt;&gt;0),IF(calcMultiRoleEnabled,IF(calcTotNumHAPassCopiesDC1inDC2&lt;&gt;0,calcActDBSDCWorst*((NumTier1MBXDB*Tier1CASMegacycles)+(NumTier2MBXDB*Tier2CASMegacycles)+(NumTier3MBXDB*Tier3CASMegacycles)+(NumTier4MBXDB*Tier4CASMegacycles))*IF(calcVirtualizationEnabled,(1+VirtCPUFactor),1),0),calcTotCASReqMCycles/calcMinCASCountSDC),strEmpty)</f>
        <v>--</v>
      </c>
      <c r="I210" s="113"/>
    </row>
    <row r="211" spans="1:13" ht="15" hidden="1" customHeight="1" outlineLevel="1" x14ac:dyDescent="0.3">
      <c r="A211" s="10"/>
      <c r="B211" s="466" t="s">
        <v>655</v>
      </c>
      <c r="C211" s="470" t="str">
        <f>IF(AND(calcHAOption,calcDedLaggedCopyServer="Yes",numLagCopies&lt;&gt;0),TotNumDBCopiesServer*((NumTier1MBXDB*Tier1PassiveMegacycles)+(NumTier2MBXDB*Tier2PassiveMegacycles)+(NumTier3MBXDB*Tier3PassiveMegacycles)+(NumTier4MBXDB*Tier4PassiveMegacycles))*IF(calcVirtualizationEnabled,(1+VirtCPUFactor),1),strEmpty)</f>
        <v>--</v>
      </c>
      <c r="D211" s="14"/>
      <c r="E211" s="115"/>
      <c r="F211" s="115"/>
      <c r="G211" s="14"/>
      <c r="I211" s="113"/>
    </row>
    <row r="212" spans="1:13" ht="15" hidden="1" customHeight="1" outlineLevel="1" x14ac:dyDescent="0.3">
      <c r="A212" s="10"/>
      <c r="C212" s="470"/>
      <c r="D212" s="470"/>
      <c r="E212" s="470"/>
      <c r="F212" s="470"/>
      <c r="G212" s="470"/>
      <c r="I212" s="113"/>
    </row>
    <row r="213" spans="1:13" ht="15" hidden="1" customHeight="1" outlineLevel="1" x14ac:dyDescent="0.3">
      <c r="B213" s="2" t="s">
        <v>510</v>
      </c>
      <c r="C213" s="341" t="s">
        <v>1560</v>
      </c>
      <c r="D213" s="117" t="s">
        <v>1561</v>
      </c>
      <c r="E213" s="341" t="s">
        <v>1562</v>
      </c>
      <c r="F213" s="341" t="s">
        <v>1564</v>
      </c>
      <c r="G213" s="117" t="s">
        <v>1566</v>
      </c>
      <c r="I213" s="113"/>
    </row>
    <row r="214" spans="1:13" ht="15" hidden="1" customHeight="1" outlineLevel="1" x14ac:dyDescent="0.3">
      <c r="B214" s="325" t="s">
        <v>476</v>
      </c>
      <c r="C214" s="324">
        <f>IFERROR(IF(AND(numMCyclesPerCorePDC&lt;&gt;0,calcActDBPDCNormal&lt;&gt;strEmpty),(calcMBXServerACPUNorm+calcMBXServerPCPUNorm+IF(calcMultiRoleEnabled,calcCASCPUPDCNorm,0))/calcAvSvrMCycles,strEmpty),strEmpty)</f>
        <v>0</v>
      </c>
      <c r="D214" s="324" t="str">
        <f>IFERROR(IF(AND(numMCyclesPerCorePDC&lt;&gt;0,calcActDBPDCSingle&lt;&gt;strEmpty),(calcMBXServerACPUSing+calcMBXServerPCPUSing+IF(calcMultiRoleEnabled,calcCASCPUPDCSing,0))/calcAvSvrMCycles,strEmpty),strEmpty)</f>
        <v>--</v>
      </c>
      <c r="E214" s="324" t="str">
        <f>IFERROR(IF(AND(numMCyclesPerCorePDC&lt;&gt;0,calcActDBPDCDouble&lt;&gt;strEmpty),(calcMBXServerACPUDoub+calcMBXServerPCPUDoub+IF(calcMultiRoleEnabled,calcCASCPUPDCDoub,0))/calcAvSvrMCycles,strEmpty),strEmpty)</f>
        <v>--</v>
      </c>
      <c r="F214" s="324" t="str">
        <f>IFERROR(IF(AND(numMCyclesPerCorePDC&lt;&gt;0,calcNumActiveDBsSiteF&lt;&gt;0),(calcMBXServerACPUSite+calcMBXServerPCPUSite+IF(calcMultiRoleEnabled,calcCASCPUPDCSite,0))/calcAvSvrMCycles,strEmpty),strEmpty)</f>
        <v>--</v>
      </c>
      <c r="G214" s="324">
        <f>IFERROR(IF(AND(numMCyclesPerCorePDC&lt;&gt;0),(calcMBXServerACPU+calcMBXServerPCPU+IF(calcMultiRoleEnabled,calcCASCPUPDC,0))/calcAvSvrMCycles,strEmpty),strEmpty)</f>
        <v>0</v>
      </c>
      <c r="I214" s="113"/>
    </row>
    <row r="215" spans="1:13" ht="15" hidden="1" customHeight="1" outlineLevel="1" x14ac:dyDescent="0.3">
      <c r="B215" s="325" t="s">
        <v>477</v>
      </c>
      <c r="C215" s="547" t="str">
        <f>IFERROR(IF(AND(OR(calcNumPMBXServersDC2&lt;&gt;0,calcNumAMBXServersDC2&lt;&gt;0),numMCyclesPerCoreSDC&lt;&gt;0),(calcMBXServerACPUSDCNormal+calcMBXServerPCPUSDCNormal+IF(calcMultiRoleEnabled,calcCASCPUSDCNormal,0))/calcAvSvrMCyclesSDC,strEmpty),strEmpty)</f>
        <v>--</v>
      </c>
      <c r="D215" s="547" t="str">
        <f>IFERROR(IF(AND(OR(calcNumPMBXServersDC2&lt;&gt;0,calcNumAMBXServersDC2&lt;&gt;0),numMCyclesPerCoreSDC&lt;&gt;0,calcActDBSDCSingle&lt;&gt;strEmpty),(calcMBXServerACPUSDCSingle+calcMBXServerPCPUSDCSingle+IF(calcMultiRoleEnabled,calcCASCPUSDCSingle,0))/calcAvSvrMCyclesSDC,strEmpty),strEmpty)</f>
        <v>--</v>
      </c>
      <c r="E215" s="547" t="str">
        <f>IFERROR(IF(AND(OR(calcNumPMBXServersDC2&lt;&gt;0,calcNumAMBXServersDC2&lt;&gt;0),numMCyclesPerCoreSDC&lt;&gt;0,calcActDBSDCDouble&lt;&gt;strEmpty),(calcMBXServerACPUSDCDouble+calcMBXServerPCPUSDCDouble+IF(calcMultiRoleEnabled,calcCASCPUSDCDouble,0))/calcAvSvrMCyclesSDC,strEmpty),strEmpty)</f>
        <v>--</v>
      </c>
      <c r="F215" s="547" t="str">
        <f>IFERROR(IF(AND(OR(calcNumPMBXServersDC2&lt;&gt;0,calcNumAMBXServersDC2&lt;&gt;0),numMCyclesPerCoreSDC&lt;&gt;0),(calcMBXServerACPUSDCSite+calcMBXServerPCPUSDCSite+IF(calcMultiRoleEnabled,calcCASCPUSDCSite,0))/calcAvSvrMCyclesSDC,strEmpty),strEmpty)</f>
        <v>--</v>
      </c>
      <c r="G215" s="324" t="str">
        <f>IFERROR(IF(AND(OR(calcNumPMBXServersDC2&lt;&gt;0,calcNumAMBXServersDC2&lt;&gt;0),numMCyclesPerCoreSDC&lt;&gt;0),(calcMBXServerACPUSDC+calcMBXServerPCPUSDC+IF(calcMultiRoleEnabled,calcCASCPUSDC,0))/calcAvSvrMCyclesSDC,strEmpty),strEmpty)</f>
        <v>--</v>
      </c>
      <c r="I215" s="113"/>
    </row>
    <row r="216" spans="1:13" ht="15" hidden="1" customHeight="1" outlineLevel="1" x14ac:dyDescent="0.3">
      <c r="B216" s="325" t="s">
        <v>478</v>
      </c>
      <c r="C216" s="324" t="str">
        <f>IFERROR(IF(AND(calcNumLagMBXServers&lt;&gt;0,numMCyclesPerCoreLCS&lt;&gt;0),calcLaggedServerCPU/calcAvSvrMCyclesLCS,strEmpty),strEmpty)</f>
        <v>--</v>
      </c>
      <c r="D216" s="115"/>
      <c r="E216" s="115"/>
      <c r="F216" s="115"/>
      <c r="G216" s="546"/>
      <c r="I216" s="113"/>
    </row>
    <row r="217" spans="1:13" collapsed="1" x14ac:dyDescent="0.3">
      <c r="A217" s="10"/>
      <c r="B217" s="11"/>
      <c r="C217" s="11"/>
      <c r="D217" s="4"/>
      <c r="E217" s="499"/>
      <c r="F217" s="4"/>
      <c r="G217" s="4"/>
      <c r="I217" s="113"/>
    </row>
    <row r="218" spans="1:13" x14ac:dyDescent="0.3">
      <c r="A218" s="10"/>
      <c r="B218" s="557" t="s">
        <v>536</v>
      </c>
      <c r="C218" s="558"/>
      <c r="D218" s="558"/>
      <c r="E218" s="558"/>
      <c r="F218" s="558"/>
      <c r="G218" s="558"/>
      <c r="H218" s="558"/>
      <c r="I218" s="558"/>
      <c r="J218" s="9"/>
    </row>
    <row r="219" spans="1:13" customFormat="1" ht="15" customHeight="1" x14ac:dyDescent="0.3">
      <c r="A219" s="176"/>
      <c r="H219" s="2"/>
      <c r="I219" s="113"/>
      <c r="L219" s="2"/>
      <c r="M219" s="2"/>
    </row>
    <row r="220" spans="1:13" customFormat="1" ht="15" customHeight="1" thickBot="1" x14ac:dyDescent="0.35">
      <c r="A220" s="176"/>
      <c r="B220" s="187" t="s">
        <v>540</v>
      </c>
      <c r="C220" s="909" t="s">
        <v>541</v>
      </c>
      <c r="D220" s="910" t="s">
        <v>394</v>
      </c>
      <c r="G220" s="657"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than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due to an insufficient number of disks able to meet the copy count requirements.",IF(InvalidActiveActive=TRUE,"For an Active/Active configuration, you must deploy an equal number of database copies in both datacenters."))))))</f>
        <v>ERROR: FALSE</v>
      </c>
      <c r="H220" s="11"/>
      <c r="I220" s="12"/>
      <c r="J220" s="377"/>
      <c r="K220" s="377"/>
    </row>
    <row r="221" spans="1:13" customFormat="1" ht="15" customHeight="1" thickTop="1" x14ac:dyDescent="0.3">
      <c r="B221" s="2" t="s">
        <v>563</v>
      </c>
      <c r="C221" s="114">
        <f>IF(NOT(ValidationCheck),calcRecGCCoresPDC,strEmpty)</f>
        <v>0</v>
      </c>
      <c r="D221" s="114" t="str">
        <f>IF(NOT(ValidationCheck),calcRecGCCoresSDC,strEmpty)</f>
        <v>--</v>
      </c>
      <c r="G221" s="657"/>
      <c r="H221" s="2"/>
      <c r="I221" s="12"/>
      <c r="J221" s="377"/>
      <c r="K221" s="377"/>
    </row>
    <row r="222" spans="1:13" customFormat="1" ht="15" customHeight="1" x14ac:dyDescent="0.3">
      <c r="A222" s="176"/>
      <c r="B222" s="2"/>
      <c r="C222" s="114"/>
      <c r="D222" s="114"/>
      <c r="G222" s="657"/>
      <c r="I222" s="176"/>
      <c r="J222" s="377"/>
      <c r="K222" s="377"/>
    </row>
    <row r="223" spans="1:13" ht="15" thickBot="1" x14ac:dyDescent="0.35">
      <c r="A223" s="10"/>
      <c r="B223" s="187" t="s">
        <v>393</v>
      </c>
      <c r="C223" s="909" t="s">
        <v>541</v>
      </c>
      <c r="D223" s="909" t="s">
        <v>394</v>
      </c>
      <c r="E223" s="187" t="s">
        <v>316</v>
      </c>
      <c r="F223" s="368" t="s">
        <v>317</v>
      </c>
      <c r="G223" s="347"/>
      <c r="H223" s="657"/>
      <c r="I223" s="378"/>
    </row>
    <row r="224" spans="1:13" ht="15" thickTop="1" x14ac:dyDescent="0.3">
      <c r="A224" s="10"/>
      <c r="B224" s="500" t="s">
        <v>550</v>
      </c>
      <c r="C224" s="501" t="str">
        <f>strEmpty</f>
        <v>--</v>
      </c>
      <c r="D224" s="501" t="str">
        <f>strEmpty</f>
        <v>--</v>
      </c>
      <c r="E224" s="501" t="str">
        <f>strEmpty</f>
        <v>--</v>
      </c>
      <c r="F224" s="502">
        <f>IF(calcHAOption,calcNumDAGs,strEmpty)</f>
        <v>1</v>
      </c>
      <c r="G224" s="14"/>
      <c r="H224" s="657"/>
      <c r="I224" s="378"/>
    </row>
    <row r="225" spans="1:9" x14ac:dyDescent="0.3">
      <c r="A225" s="10"/>
      <c r="B225" s="500" t="str">
        <f>IF(calcHAOption,"Number of Active Mailboxes (Normal Run Time)","Number of Mailboxes")</f>
        <v>Number of Active Mailboxes (Normal Run Time)</v>
      </c>
      <c r="C225" s="501">
        <f>IFERROR(IF(calcSiteResilienceEnabled,IF(SRModel=INDEX(varSRModel,2),TotalMBX,TotalMBX*PercentUsersinDC1),TotalMBX),strEmpty)</f>
        <v>0</v>
      </c>
      <c r="D225" s="501">
        <f>IF(calcHAOption,IF(calcSiteResilienceEnabled,IF(SRModel=INDEX(varSRModel,2),strEmpty,TotalMBX*(1-PercentUsersinDC1)),strEmpty),strEmpty)</f>
        <v>0</v>
      </c>
      <c r="E225" s="502">
        <f>IF(calcHAOption,TotMBXPerDAG,strEmpty)</f>
        <v>0</v>
      </c>
      <c r="F225" s="502">
        <f>TotalMBX</f>
        <v>0</v>
      </c>
      <c r="G225" s="314"/>
      <c r="H225" s="657"/>
      <c r="I225" s="378"/>
    </row>
    <row r="226" spans="1:9" x14ac:dyDescent="0.3">
      <c r="A226" s="10"/>
      <c r="B226" s="500" t="str">
        <f>IF(calcHAOption,"Number of Mailbox Servers / DAG","Number of Mailbox Servers")</f>
        <v>Number of Mailbox Servers / DAG</v>
      </c>
      <c r="C226" s="502">
        <f>IFERROR(IF(calcHAOption,IF(SRModel=INDEX(varSRModel,1),calcNumAMBXServersDC1,(calcNumAMBXServersDC1+calcNumPMBXServersDC1)),numMBXServers),strEmpty)</f>
        <v>8</v>
      </c>
      <c r="D226" s="502">
        <f>IF(calcSiteResilienceEnabled,IF(SRModel=INDEX(varSRModel,1),calcNumAMBXServersDC2,(calcNumPMBXServersDC2+calcNumAMBXServersDC2)),strEmpty)</f>
        <v>0</v>
      </c>
      <c r="E226" s="502">
        <f>IF(calcHAOption,SUM(Table24[[#This Row],[ / Primary Datacenter]:[/ Secondary Datacenter]]),strEmpty)</f>
        <v>8</v>
      </c>
      <c r="F226" s="502">
        <f>IF(calcHAOption,calcNumDAGs*Table24[[#This Row],[/ DAG]],Table24[[#This Row],[ / Primary Datacenter]])</f>
        <v>8</v>
      </c>
      <c r="G226" s="348"/>
      <c r="H226" s="230"/>
      <c r="I226" s="10"/>
    </row>
    <row r="227" spans="1:9" x14ac:dyDescent="0.3">
      <c r="A227" s="10"/>
      <c r="B227" s="315" t="s">
        <v>432</v>
      </c>
      <c r="C227" s="348">
        <f>IF(AND(calcHAOption,numLagCopies&lt;&gt;0,calcDedLaggedCopyServer="Yes"),calcNumLagMBXServersPDC,0)</f>
        <v>0</v>
      </c>
      <c r="D227" s="348">
        <f>IF(AND(calcHAOption,numLagCopies&lt;&gt;0,calcDedLaggedCopyServer="Yes",numLagCopiesSDC&lt;&gt;0,NOT(ValidationCheck)),calcNumLagMBXServersSDC,0)</f>
        <v>0</v>
      </c>
      <c r="E227" s="348">
        <f>IF(calcHAOption,SUM(Table24[[#This Row],[ / Primary Datacenter]:[/ Secondary Datacenter]]),strEmpty)</f>
        <v>0</v>
      </c>
      <c r="F227" s="348">
        <f>IF(calcHAOption,calcNumDAGs*Table24[[#This Row],[/ DAG]],strEmpty)</f>
        <v>0</v>
      </c>
      <c r="G227" s="360"/>
      <c r="H227" s="230"/>
      <c r="I227" s="10"/>
    </row>
    <row r="228" spans="1:9" x14ac:dyDescent="0.3">
      <c r="A228" s="10"/>
      <c r="B228" s="316" t="s">
        <v>657</v>
      </c>
      <c r="C228" s="351">
        <f>SUM(C226,C227)</f>
        <v>8</v>
      </c>
      <c r="D228" s="351">
        <f>IF(calcHAOption,SUM(D226,D227),strEmpty)</f>
        <v>0</v>
      </c>
      <c r="E228" s="351">
        <f>IF(calcHAOption,SUM(E226,E227),strEmpty)</f>
        <v>8</v>
      </c>
      <c r="F228" s="351">
        <f>SUM(F226,F227)</f>
        <v>8</v>
      </c>
      <c r="G228" s="360"/>
      <c r="H228" s="230"/>
      <c r="I228" s="10"/>
    </row>
    <row r="229" spans="1:9" x14ac:dyDescent="0.3">
      <c r="A229" s="10"/>
      <c r="B229" s="315"/>
      <c r="C229" s="314"/>
      <c r="D229" s="314"/>
      <c r="E229" s="314"/>
      <c r="F229" s="314"/>
      <c r="G229" s="314"/>
      <c r="H229" s="230"/>
      <c r="I229" s="10"/>
    </row>
    <row r="230" spans="1:9" x14ac:dyDescent="0.3">
      <c r="A230" s="10"/>
      <c r="B230" s="112" t="s">
        <v>198</v>
      </c>
      <c r="C230" s="112" t="s">
        <v>195</v>
      </c>
      <c r="D230" s="112" t="s">
        <v>196</v>
      </c>
      <c r="E230" s="112" t="s">
        <v>197</v>
      </c>
      <c r="F230" s="355" t="s">
        <v>600</v>
      </c>
      <c r="G230" s="355"/>
      <c r="H230" s="230"/>
      <c r="I230" s="10"/>
    </row>
    <row r="231" spans="1:9" x14ac:dyDescent="0.3">
      <c r="A231" s="10"/>
      <c r="B231" s="2" t="s">
        <v>551</v>
      </c>
      <c r="C231" s="115" t="str">
        <f>IF(calcTier1MBX=0,strEmpty,calcTier1MBX)</f>
        <v>--</v>
      </c>
      <c r="D231" s="115" t="str">
        <f>IF(calcTier2MBX=0,strEmpty,calcTier2MBX)</f>
        <v>--</v>
      </c>
      <c r="E231" s="115" t="str">
        <f>IF(calcTier3MBX=0,strEmpty,calcTier3MBX)</f>
        <v>--</v>
      </c>
      <c r="F231" s="115" t="str">
        <f>IF(calcTier4MBX=0,strEmpty,calcTier4MBX)</f>
        <v>--</v>
      </c>
      <c r="G231" s="115"/>
      <c r="H231" s="230"/>
      <c r="I231" s="10"/>
    </row>
    <row r="232" spans="1:9" x14ac:dyDescent="0.3">
      <c r="A232" s="10"/>
      <c r="B232" s="2" t="s">
        <v>535</v>
      </c>
      <c r="C232" s="115" t="str">
        <f>IF(NumTier1MBXDB=0,strEmpty,NumTier1MBXDB)</f>
        <v>--</v>
      </c>
      <c r="D232" s="115" t="str">
        <f>IF(NumTier2MBXDB=0,strEmpty,NumTier2MBXDB)</f>
        <v>--</v>
      </c>
      <c r="E232" s="115" t="str">
        <f>IF(NumTier3MBXDB=0,strEmpty,NumTier3MBXDB)</f>
        <v>--</v>
      </c>
      <c r="F232" s="115" t="str">
        <f>IF(NumTier4MBXDB=0,strEmpty,NumTier4MBXDB)</f>
        <v>--</v>
      </c>
      <c r="G232" s="115"/>
      <c r="H232" s="230"/>
      <c r="I232" s="10"/>
    </row>
    <row r="233" spans="1:9" x14ac:dyDescent="0.3">
      <c r="A233" s="10"/>
      <c r="B233" s="2" t="s">
        <v>396</v>
      </c>
      <c r="C233" s="125" t="str">
        <f>IF(OR(ValidationCheck=TRUE,Tier1MBXSize=0),strEmpty,Tier1MBXSize)</f>
        <v>--</v>
      </c>
      <c r="D233" s="125" t="str">
        <f>IF(Tier2MBXSize=0,strEmpty,Tier2MBXSize)</f>
        <v>--</v>
      </c>
      <c r="E233" s="125" t="str">
        <f>IF(Tier3MBXSize=0,strEmpty,Tier3MBXSize)</f>
        <v>--</v>
      </c>
      <c r="F233" s="125" t="str">
        <f>IF(Tier4MBXSize=0,strEmpty,Tier4MBXSize)</f>
        <v>--</v>
      </c>
      <c r="G233" s="125"/>
      <c r="H233" s="230"/>
      <c r="I233" s="10"/>
    </row>
    <row r="234" spans="1:9" x14ac:dyDescent="0.3">
      <c r="A234" s="10"/>
      <c r="B234" s="2" t="s">
        <v>71</v>
      </c>
      <c r="C234" s="115" t="str">
        <f>IF(Tier1LogGen=0,strEmpty,Tier1LogGen)</f>
        <v>--</v>
      </c>
      <c r="D234" s="115" t="str">
        <f>IF(Tier2LogGen=0,strEmpty,Tier2LogGen)</f>
        <v>--</v>
      </c>
      <c r="E234" s="115" t="str">
        <f>IF(Tier3LogGen=0,strEmpty,Tier3LogGen)</f>
        <v>--</v>
      </c>
      <c r="F234" s="115" t="str">
        <f>IF(Tier4LogGen=0,strEmpty,Tier4LogGen)</f>
        <v>--</v>
      </c>
      <c r="G234" s="115"/>
      <c r="H234" s="230"/>
      <c r="I234" s="10"/>
    </row>
    <row r="235" spans="1:9" x14ac:dyDescent="0.3">
      <c r="A235" s="10"/>
      <c r="B235" s="2" t="s">
        <v>15</v>
      </c>
      <c r="C235" s="116" t="str">
        <f>IF(TotTier1IOPS=0,strEmpty,TotTier1IOPS)</f>
        <v>--</v>
      </c>
      <c r="D235" s="116" t="str">
        <f>IF(TotTier2IOPS=0,strEmpty,TotTier2IOPS)</f>
        <v>--</v>
      </c>
      <c r="E235" s="116" t="str">
        <f>IF(TotTier3IOPS=0,strEmpty,TotTier3IOPS)</f>
        <v>--</v>
      </c>
      <c r="F235" s="116" t="str">
        <f>IF(TotTier4IOPS=0,strEmpty,TotTier4IOPS)</f>
        <v>--</v>
      </c>
      <c r="G235" s="116"/>
      <c r="H235" s="230"/>
      <c r="I235" s="10"/>
    </row>
    <row r="236" spans="1:9" x14ac:dyDescent="0.3">
      <c r="A236" s="10"/>
      <c r="B236" s="2" t="s">
        <v>259</v>
      </c>
      <c r="C236" s="116" t="str">
        <f>IF(calcTier1RWRatio=0,strEmpty,VLOOKUP(calcTier1RWRatio,tblReadPercentage,2,FALSE))</f>
        <v>--</v>
      </c>
      <c r="D236" s="116" t="str">
        <f>IF(calcTier2RWRatio=0,strEmpty,VLOOKUP(calcTier2RWRatio,tblReadPercentage,2,FALSE))</f>
        <v>--</v>
      </c>
      <c r="E236" s="116" t="str">
        <f>IF(calcTier3RWRatio=0,strEmpty,VLOOKUP(calcTier3RWRatio,tblReadPercentage,2,FALSE))</f>
        <v>--</v>
      </c>
      <c r="F236" s="116" t="str">
        <f>IF(calcTier4RWRatio=0,strEmpty,VLOOKUP(calcTier4RWRatio,tblReadPercentage,2,FALSE))</f>
        <v>--</v>
      </c>
      <c r="G236" s="116"/>
      <c r="H236" s="595"/>
      <c r="I236" s="10"/>
    </row>
    <row r="237" spans="1:9" x14ac:dyDescent="0.3">
      <c r="A237" s="10"/>
      <c r="C237" s="116"/>
      <c r="D237" s="116"/>
      <c r="E237" s="116"/>
      <c r="F237" s="116"/>
      <c r="G237" s="116"/>
      <c r="H237" s="595"/>
      <c r="I237" s="10"/>
    </row>
    <row r="238" spans="1:9" ht="15" thickBot="1" x14ac:dyDescent="0.35">
      <c r="A238" s="10"/>
      <c r="B238" s="187" t="s">
        <v>472</v>
      </c>
      <c r="C238" s="368" t="s">
        <v>541</v>
      </c>
      <c r="D238" s="368" t="s">
        <v>394</v>
      </c>
      <c r="E238" s="187" t="s">
        <v>470</v>
      </c>
      <c r="F238" s="230"/>
      <c r="G238" s="230"/>
      <c r="H238" s="595"/>
      <c r="I238" s="10"/>
    </row>
    <row r="239" spans="1:9" ht="15" thickTop="1" x14ac:dyDescent="0.3">
      <c r="A239" s="10"/>
      <c r="B239" s="2" t="s">
        <v>658</v>
      </c>
      <c r="C239" s="115">
        <f>IF(NOT(ValidationCheck),calcNumDBCopyInPDCActual,strEmpty)</f>
        <v>2</v>
      </c>
      <c r="D239" s="115">
        <f>IF(ValidationCheck=TRUE,strEmpty,calcNumDBCopyInSDCActual)</f>
        <v>1</v>
      </c>
      <c r="E239" s="115">
        <f>IF(calcHAOption,SUM(Table2433[[#This Row],[ / Primary Datacenter]:[/ Secondary Datacenter]]),strEmpty)</f>
        <v>3</v>
      </c>
      <c r="F239" s="230"/>
      <c r="G239" s="230"/>
      <c r="H239" s="595"/>
      <c r="I239" s="10"/>
    </row>
    <row r="240" spans="1:9" x14ac:dyDescent="0.3">
      <c r="A240" s="10"/>
      <c r="B240" s="2" t="s">
        <v>659</v>
      </c>
      <c r="C240" s="115">
        <f>IF(NOT(ValidationCheck),calcNumLagCopyInPDCActual,strEmpty)</f>
        <v>0</v>
      </c>
      <c r="D240" s="115">
        <f>IF(ValidationCheck=TRUE,strEmpty,calcNumLagCopyInSDCActual)</f>
        <v>1</v>
      </c>
      <c r="E240" s="115">
        <f>IF(calcHAOption,SUM(Table2433[[#This Row],[ / Primary Datacenter]:[/ Secondary Datacenter]]),strEmpty)</f>
        <v>1</v>
      </c>
      <c r="F240" s="230"/>
      <c r="G240" s="230"/>
      <c r="H240" s="595"/>
      <c r="I240" s="10"/>
    </row>
    <row r="241" spans="1:10" x14ac:dyDescent="0.3">
      <c r="A241" s="10"/>
      <c r="B241" s="316" t="s">
        <v>486</v>
      </c>
      <c r="C241" s="351">
        <f>SUM(C239:C240)</f>
        <v>2</v>
      </c>
      <c r="D241" s="351">
        <f>SUM(D239:D240)</f>
        <v>2</v>
      </c>
      <c r="E241" s="351">
        <f>IF(calcHAOption,SUM(E239:E240),strEmpty)</f>
        <v>4</v>
      </c>
      <c r="F241" s="230"/>
      <c r="G241" s="230"/>
      <c r="H241" s="595"/>
      <c r="I241" s="10"/>
    </row>
    <row r="242" spans="1:10" x14ac:dyDescent="0.3">
      <c r="A242" s="10"/>
      <c r="C242" s="116"/>
      <c r="D242" s="116"/>
      <c r="E242" s="116"/>
      <c r="F242" s="230"/>
      <c r="G242" s="230"/>
      <c r="H242" s="595"/>
      <c r="I242" s="10"/>
    </row>
    <row r="243" spans="1:10" x14ac:dyDescent="0.3">
      <c r="A243" s="10"/>
      <c r="B243" s="112" t="s">
        <v>28</v>
      </c>
      <c r="C243" s="17" t="s">
        <v>322</v>
      </c>
      <c r="D243" s="116"/>
      <c r="E243" s="116"/>
      <c r="F243" s="230"/>
      <c r="G243" s="230"/>
      <c r="H243" s="595"/>
      <c r="I243" s="10"/>
    </row>
    <row r="244" spans="1:10" x14ac:dyDescent="0.3">
      <c r="A244" s="10"/>
      <c r="B244" s="2" t="str">
        <f>"Number of Databases" &amp; IF(calcHAOption," / DAG"," in the Environment")</f>
        <v>Number of Databases / DAG</v>
      </c>
      <c r="C244" s="115">
        <f>IF(NOT(ValidationCheck),IF(calcHAOption,RecNumDBs,RecNumDBs*numMBXServers),strEmpty)</f>
        <v>0</v>
      </c>
      <c r="D244" s="116"/>
      <c r="E244" s="116"/>
      <c r="F244" s="230"/>
      <c r="G244" s="230"/>
      <c r="H244" s="595"/>
      <c r="I244" s="10"/>
    </row>
    <row r="245" spans="1:10" x14ac:dyDescent="0.3">
      <c r="A245" s="10"/>
      <c r="B245" s="2" t="s">
        <v>114</v>
      </c>
      <c r="C245" s="115">
        <f>IF(NOT(ValidationCheck),MBXPerDB,strEmpty)</f>
        <v>0</v>
      </c>
      <c r="D245" s="116"/>
      <c r="E245" s="116"/>
      <c r="F245" s="230"/>
      <c r="G245" s="230"/>
      <c r="H245" s="595"/>
      <c r="I245" s="10"/>
    </row>
    <row r="246" spans="1:10" x14ac:dyDescent="0.3">
      <c r="A246" s="10"/>
      <c r="B246" s="9" t="s">
        <v>427</v>
      </c>
      <c r="C246" s="224">
        <f>IF(NOT(ValidationCheck),calcAvDBCache,strEmpty)</f>
        <v>0</v>
      </c>
      <c r="D246" s="116"/>
      <c r="E246" s="116"/>
      <c r="F246" s="230"/>
      <c r="G246" s="230"/>
      <c r="H246" s="595"/>
      <c r="I246" s="10"/>
    </row>
    <row r="247" spans="1:10" x14ac:dyDescent="0.3">
      <c r="A247" s="10"/>
      <c r="C247" s="115"/>
      <c r="D247" s="115"/>
      <c r="E247" s="115"/>
      <c r="F247" s="230"/>
      <c r="G247" s="230"/>
      <c r="H247" s="595"/>
      <c r="I247" s="10"/>
    </row>
    <row r="248" spans="1:10" x14ac:dyDescent="0.3">
      <c r="A248" s="10"/>
      <c r="B248" s="112" t="s">
        <v>391</v>
      </c>
      <c r="C248" s="17" t="s">
        <v>326</v>
      </c>
      <c r="D248" s="17" t="s">
        <v>316</v>
      </c>
      <c r="E248" s="17" t="s">
        <v>317</v>
      </c>
      <c r="F248" s="230"/>
      <c r="G248" s="230"/>
      <c r="H248" s="595"/>
      <c r="I248" s="10"/>
    </row>
    <row r="249" spans="1:10" x14ac:dyDescent="0.3">
      <c r="A249" s="10"/>
      <c r="B249" s="2" t="str">
        <f>IF(calcHAOption,"Number of Database Copies","Number of Databases")</f>
        <v>Number of Database Copies</v>
      </c>
      <c r="C249" s="115">
        <f>IF(NOT(ValidationCheck),IF(calcHAOption,TotNumDBCopiesServer,RecNumDBs),strEmpty)</f>
        <v>0</v>
      </c>
      <c r="D249" s="115">
        <f>IF(AND(NOT(ValidationCheck),calcHAOption),(TotNumDBCopiesDC1+TotNumLagDBCopiesDC1+TotNumLagDBCopiesDC2+TotNumDBCopiesDC2),strEmpty)</f>
        <v>0</v>
      </c>
      <c r="E249" s="115">
        <f>IF(NOT(ValidationCheck),IF(calcHAOption,Table2421[[#This Row],[/ DAG]]*calcNumDAGs, Table2421[[#This Row],[/ Server]]*numMBXServers),strEmpty)</f>
        <v>0</v>
      </c>
      <c r="F249" s="230"/>
      <c r="G249" s="230"/>
      <c r="H249" s="230"/>
      <c r="I249" s="10"/>
    </row>
    <row r="250" spans="1:10" x14ac:dyDescent="0.3">
      <c r="A250" s="10"/>
      <c r="C250" s="116"/>
      <c r="D250" s="116"/>
      <c r="E250" s="116"/>
      <c r="F250" s="230"/>
      <c r="G250" s="230"/>
      <c r="H250" s="230"/>
      <c r="I250" s="10"/>
    </row>
    <row r="251" spans="1:10" x14ac:dyDescent="0.3">
      <c r="A251" s="10"/>
      <c r="B251" s="557" t="s">
        <v>538</v>
      </c>
      <c r="C251" s="558"/>
      <c r="D251" s="558"/>
      <c r="E251" s="558"/>
      <c r="F251" s="558"/>
      <c r="G251" s="558"/>
      <c r="H251" s="558"/>
      <c r="I251" s="558"/>
      <c r="J251" s="9"/>
    </row>
    <row r="252" spans="1:10" x14ac:dyDescent="0.3">
      <c r="A252" s="10"/>
      <c r="B252" s="232"/>
      <c r="C252" s="232"/>
      <c r="D252" s="233"/>
      <c r="E252" s="249"/>
      <c r="F252" s="249"/>
      <c r="G252" s="249"/>
      <c r="I252" s="10"/>
    </row>
    <row r="253" spans="1:10" ht="29.5" thickBot="1" x14ac:dyDescent="0.35">
      <c r="A253" s="10"/>
      <c r="B253" s="354" t="s">
        <v>392</v>
      </c>
      <c r="C253" s="188" t="str">
        <f>"/ Primary Datacenter" &amp; " Server" &amp; IF(calcHAOption,IF(calcNumActiveDBsSF&lt;&gt;strEmpty," (Double Failure)",IF(calcNumActiveDBsFF&lt;&gt;strEmpty," (Single Failure)","")),"")</f>
        <v>/ Primary Datacenter Server (Double Failure)</v>
      </c>
      <c r="D253" s="188" t="str">
        <f>"/ Secondary Datacenter" &amp; " Server" &amp; IF(calcHAOption,IF(calcNumActiveDBsSiteF2F&lt;&gt;strEmpty," (Double Failure)",IF(calcNumActiveDBsSiteF1F&lt;&gt;strEmpty," (Single Failure)","")),"")</f>
        <v>/ Secondary Datacenter Server (Double Failure)</v>
      </c>
      <c r="E253" s="188" t="s">
        <v>400</v>
      </c>
      <c r="F253" s="112"/>
      <c r="G253" s="112"/>
      <c r="I253" s="10"/>
    </row>
    <row r="254" spans="1:10" ht="15.75" customHeight="1" thickTop="1" x14ac:dyDescent="0.3">
      <c r="A254" s="10"/>
      <c r="B254" s="2" t="s">
        <v>363</v>
      </c>
      <c r="C254" s="251">
        <f>IF(NOT(ValidationCheck),ServerRAMConfig,strEmpty)</f>
        <v>48</v>
      </c>
      <c r="D254" s="251">
        <f>IF(AND(NOT(ValidationCheck),calcSiteResilienceEnabled),ServerRAMConfig,strEmpty)</f>
        <v>48</v>
      </c>
      <c r="E254" s="252">
        <f>IF(NOT(ValidationCheck),LagSvrRAM,strEmpty)</f>
        <v>0</v>
      </c>
      <c r="F254" s="252"/>
      <c r="H254" s="1087" t="s">
        <v>1750</v>
      </c>
      <c r="I254" s="10"/>
    </row>
    <row r="255" spans="1:10" x14ac:dyDescent="0.3">
      <c r="A255" s="10"/>
      <c r="B255" s="2" t="s">
        <v>1187</v>
      </c>
      <c r="C255" s="470">
        <f>IF(AND(NOT(ValidationCheck),numMCyclesPerCorePDC&lt;&gt;0),ROUNDUP(calcReqMBXCoresPDCServer+IF(calcMultiRoleEnabled,calcReqCASCoresPDCServer,0),0),strEmpty)</f>
        <v>0</v>
      </c>
      <c r="D255" s="470" t="str">
        <f>IF(AND(NOT(ValidationCheck),calcSiteResilienceEnabled,numMCyclesPerCoreSDC&lt;&gt;0),ROUNDUP(calcReqMBXCoresSDCServer+IF(calcMultiRoleEnabled,calcReqCASCoresSDCServer,0),0),strEmpty)</f>
        <v>--</v>
      </c>
      <c r="E255" s="470" t="str">
        <f>IF(NOT(ValidationCheck),calcReqLagCoresPDCServer,strEmpty)</f>
        <v>--</v>
      </c>
      <c r="F255" s="282"/>
      <c r="G255" s="377"/>
      <c r="H255" s="1087"/>
      <c r="I255" s="10"/>
    </row>
    <row r="256" spans="1:10" x14ac:dyDescent="0.3">
      <c r="A256" s="10"/>
      <c r="B256" s="2" t="str">
        <f>IF(calcMultiRoleEnabled="Yes","Server CPU Utilization","Mailbox Role CPU Utilization")</f>
        <v>Mailbox Role CPU Utilization</v>
      </c>
      <c r="C256" s="324">
        <f>IF(NOT(ValidationCheck),calcCPUUtilPDC,strEmpty)</f>
        <v>0</v>
      </c>
      <c r="D256" s="324" t="str">
        <f>IF(NOT(ValidationCheck),calcCPUUtilSDC,strEmpty)</f>
        <v>--</v>
      </c>
      <c r="E256" s="324" t="str">
        <f>calcCPUUtilLCS</f>
        <v>--</v>
      </c>
      <c r="F256" s="324"/>
      <c r="G256" s="377"/>
      <c r="H256" s="1087"/>
      <c r="I256" s="10"/>
    </row>
    <row r="257" spans="1:9" x14ac:dyDescent="0.3">
      <c r="A257" s="10"/>
      <c r="B257" s="2" t="str">
        <f>IF(calcMultiRoleEnabled,"Server CPU Megacycle Requirements","Mailbox Role CPU Megacycle Requirements")</f>
        <v>Server CPU Megacycle Requirements</v>
      </c>
      <c r="C257" s="115">
        <f>IF(NOT(ValidationCheck),calcMBXServerACPU+calcMBXServerPCPU+IF(calcMultiRoleEnabled,calcCASCPUPDC,0),strEmpty)</f>
        <v>0</v>
      </c>
      <c r="D257" s="115" t="str">
        <f>IF(AND(OR(calcNumAMBXServersDC2&lt;&gt;0,calcNumPMBXServersDC2&lt;&gt;0),NOT(ValidationCheck)),calcMBXServerACPUSDC+calcMBXServerPCPUSDC+IF(calcMultiRoleEnabled,calcCASCPUSDC,0),strEmpty)</f>
        <v>--</v>
      </c>
      <c r="E257" s="115" t="str">
        <f>IF(AND(calcNumLagMBXServers&lt;&gt;0,NOT(ValidationCheck)),calcLaggedServerCPU,strEmpty)</f>
        <v>--</v>
      </c>
      <c r="F257" s="126"/>
      <c r="G257" s="126"/>
      <c r="H257" s="1087"/>
      <c r="I257" s="10"/>
    </row>
    <row r="258" spans="1:9" x14ac:dyDescent="0.3">
      <c r="A258" s="10"/>
      <c r="B258" s="2" t="s">
        <v>699</v>
      </c>
      <c r="C258" s="115">
        <f>IF(NOT(ValidationCheck),calcAvSvrMCycles,strEmpty)</f>
        <v>78778.926637124561</v>
      </c>
      <c r="D258" s="115" t="str">
        <f>IF(NOT(ValidationCheck),calcAvSvrMCyclesSDC,strEmpty)</f>
        <v>--</v>
      </c>
      <c r="E258" s="115" t="str">
        <f>calcAvSvrMCyclesLCS</f>
        <v>--</v>
      </c>
      <c r="F258" s="126"/>
      <c r="G258" s="126"/>
      <c r="I258" s="10"/>
    </row>
    <row r="259" spans="1:9" x14ac:dyDescent="0.3">
      <c r="A259" s="10"/>
      <c r="B259" s="2" t="s">
        <v>590</v>
      </c>
      <c r="C259" s="126" t="str">
        <f>IF(NOT(ValidationCheck),PreferredStorageArch,strEmpty)</f>
        <v>JBOD</v>
      </c>
      <c r="D259" s="126" t="str">
        <f>IF(NOT(ValidationCheck),PreferredStorageArchSDC,strEmpty)</f>
        <v>JBOD</v>
      </c>
      <c r="E259" s="126" t="str">
        <f>LaggedCopySvrPrefStorageArch</f>
        <v>--</v>
      </c>
      <c r="F259" s="126"/>
      <c r="G259" s="126"/>
      <c r="I259" s="10"/>
    </row>
    <row r="260" spans="1:9" x14ac:dyDescent="0.3">
      <c r="A260" s="10"/>
      <c r="B260" s="489" t="s">
        <v>1274</v>
      </c>
      <c r="C260" s="490" t="str">
        <f>IF(NOT(ValidationCheck),calcTransportLocPDC,strEmpty)</f>
        <v>System Disk</v>
      </c>
      <c r="D260" s="490" t="str">
        <f>IF(NOT(ValidationCheck),calcTransportLocSDC,strEmpty)</f>
        <v>System Disk</v>
      </c>
      <c r="E260" s="496" t="str">
        <f>strEmpty</f>
        <v>--</v>
      </c>
      <c r="F260" s="126"/>
      <c r="G260" s="126"/>
      <c r="I260" s="10"/>
    </row>
    <row r="261" spans="1:9" x14ac:dyDescent="0.3">
      <c r="A261" s="10"/>
      <c r="B261" s="489"/>
      <c r="C261" s="490"/>
      <c r="D261" s="490"/>
      <c r="E261" s="496"/>
      <c r="F261" s="126"/>
      <c r="G261" s="126"/>
      <c r="I261" s="10"/>
    </row>
    <row r="262" spans="1:9" x14ac:dyDescent="0.3">
      <c r="B262" s="117" t="s">
        <v>1568</v>
      </c>
      <c r="C262" s="544" t="s">
        <v>1560</v>
      </c>
      <c r="D262" s="544" t="s">
        <v>1561</v>
      </c>
      <c r="E262" s="545" t="s">
        <v>1562</v>
      </c>
      <c r="F262" s="544" t="s">
        <v>1564</v>
      </c>
      <c r="G262" s="544" t="s">
        <v>1563</v>
      </c>
      <c r="I262" s="10"/>
    </row>
    <row r="263" spans="1:9" x14ac:dyDescent="0.3">
      <c r="B263" s="2" t="str">
        <f>IF(AND(calcHAOption,calcSiteResilienceEnabled,OR(SRModel=INDEX(varSRModel,1),SRModel=INDEX(varSRModel,2))),"/ Datacenter 1","/ Primary Datacenter") &amp; " Server"</f>
        <v>/ Datacenter 1 Server</v>
      </c>
      <c r="C263" s="548" t="str">
        <f>IF(NOT(ValidationCheck),IF(calcCPUUtilPDCNormal&lt;&gt;strEmpty,ROUND(IF(calcHAOption,calcCPUUtilPDCNormal,calcCPUUtilPDC)*100,0) &amp;"% " &amp; " (" &amp; ROUND(calcActDBPDCNormal,0) &amp; " active)",strEmpty),strEmpty)</f>
        <v>0%  (0 active)</v>
      </c>
      <c r="D263" s="542" t="str">
        <f>IF(AND(calcHAOption,calcCPUUtilPDCSingle&lt;&gt;strEmpty,NOT(ValidationCheck)),ROUND(calcCPUUtilPDCSingle*100,0) &amp;"% " &amp; " (" &amp; ROUND(calcActDBPDCSingle,0) &amp; " active)",strEmpty)</f>
        <v>--</v>
      </c>
      <c r="E263" s="543" t="str">
        <f>IF(AND(calcHAOption,calcCPUUtilPDCDouble&lt;&gt;strEmpty,NOT(ValidationCheck)),ROUND(calcCPUUtilPDCDouble*100,0) &amp;"% " &amp; " (" &amp; ROUND(calcActDBPDCDouble,0) &amp; " active)",strEmpty)</f>
        <v>--</v>
      </c>
      <c r="F263" s="543" t="str">
        <f>IF(AND(calcCPUUtilPDCSite&lt;&gt;strEmpty,SRModel=INDEX(varSRModel,1),NOT(ValidationCheck)),ROUND(calcCPUUtilPDCSite*100,0) &amp;"% " &amp; " (" &amp; ROUND(calcActDBPDCSite,0) &amp; " active)",strEmpty)</f>
        <v>--</v>
      </c>
      <c r="G263" s="324" t="str">
        <f>IF(AND(calcHAOption,calcCPUUtilPDC&lt;&gt;strEmpty,NOT(ValidationCheck)),ROUND(calcCPUUtilPDC*100,0) &amp;"% " &amp; " (" &amp; ROUND(calcActDBPDCWorst,0) &amp; " active)",strEmpty)</f>
        <v>0%  (0 active)</v>
      </c>
      <c r="I263" s="10"/>
    </row>
    <row r="264" spans="1:9" x14ac:dyDescent="0.3">
      <c r="B264" s="2" t="str">
        <f>IF(AND(calcHAOption,calcSiteResilienceEnabled,OR(SRModel=INDEX(varSRModel,1),SRModel=INDEX(varSRModel,2))),"/ Datacenter 2","/ Secondary Datacenter") &amp; " Server"</f>
        <v>/ Datacenter 2 Server</v>
      </c>
      <c r="C264" s="324" t="str">
        <f>IF(NOT(ValidationCheck),IF(AND(calcCPUUtilSDCNormal&lt;&gt;strEmpty,calcHAOption,calcSiteResilienceEnabled),ROUND(calcCPUUtilSDCNormal*100,0) &amp;"% " &amp; " (" &amp; ROUND(calcActDBSDCNormal,0) &amp; " active)",strEmpty),strEmpty)</f>
        <v>--</v>
      </c>
      <c r="D264" s="324" t="str">
        <f>IF(AND(NOT(ValidationCheck),calcCPUUtilSDCSingle&lt;&gt;strEmpty,calcSiteResilienceEnabled),ROUND(calcCPUUtilSDCSingle*100,0) &amp;"% " &amp; " (" &amp; ROUND(calcActDBSDCSingle,0) &amp; " active)",strEmpty)</f>
        <v>--</v>
      </c>
      <c r="E264" s="324" t="str">
        <f>IF(AND(NOT(ValidationCheck),calcCPUUtilSDCDouble&lt;&gt;strEmpty,calcSiteResilienceEnabled),ROUND(calcCPUUtilSDCDouble*100,0) &amp;"% " &amp; " (" &amp; ROUND(calcActDBSDCDouble,0) &amp; " active)",strEmpty)</f>
        <v>--</v>
      </c>
      <c r="F264" s="324" t="str">
        <f>IF(AND(NOT(ValidationCheck),calcCPUUtilSDCSite&lt;&gt;strEmpty,calcSiteResilienceEnabled),ROUND(calcCPUUtilSDCSite*100,0) &amp;"% " &amp; " (" &amp; IF(calcActDBSDCSite&lt;&gt;strEmpty,ROUND(calcActDBSDCSite,0),0) &amp; " active)",strEmpty)</f>
        <v>--</v>
      </c>
      <c r="G264" s="324" t="str">
        <f>IF(AND(NOT(ValidationCheck),calcCPUUtilSDC&lt;&gt;strEmpty,calcSiteResilienceEnabled),ROUND(calcCPUUtilSDC*100,0) &amp;"% " &amp; " (" &amp; ROUND(calcActDBSDCWorst,0) &amp; " active)",strEmpty)</f>
        <v>--</v>
      </c>
      <c r="I264" s="10"/>
    </row>
    <row r="265" spans="1:9" x14ac:dyDescent="0.3">
      <c r="A265" s="10"/>
      <c r="F265" s="281"/>
      <c r="G265" s="281"/>
      <c r="I265" s="10"/>
    </row>
    <row r="266" spans="1:9" x14ac:dyDescent="0.3">
      <c r="A266" s="10"/>
      <c r="B266" s="559" t="s">
        <v>537</v>
      </c>
      <c r="C266" s="558"/>
      <c r="D266" s="558"/>
      <c r="E266" s="558"/>
      <c r="F266" s="558"/>
      <c r="G266" s="558"/>
      <c r="H266" s="558"/>
      <c r="I266" s="560"/>
    </row>
    <row r="267" spans="1:9" x14ac:dyDescent="0.3">
      <c r="A267" s="10"/>
      <c r="I267" s="10"/>
    </row>
    <row r="268" spans="1:9" ht="15" thickBot="1" x14ac:dyDescent="0.35">
      <c r="A268" s="10"/>
      <c r="B268" s="187" t="s">
        <v>194</v>
      </c>
      <c r="C268" s="229" t="s">
        <v>519</v>
      </c>
      <c r="D268" s="229" t="s">
        <v>326</v>
      </c>
      <c r="E268" s="188" t="s">
        <v>316</v>
      </c>
      <c r="F268" s="189" t="s">
        <v>317</v>
      </c>
      <c r="G268" s="361"/>
      <c r="I268" s="10"/>
    </row>
    <row r="269" spans="1:9" ht="15" thickTop="1" x14ac:dyDescent="0.3">
      <c r="A269" s="10"/>
      <c r="B269" s="227" t="s">
        <v>193</v>
      </c>
      <c r="C269" s="231">
        <f>IF(NOT(ValidationCheck),calcNumDBUserTLogs,strEmpty)</f>
        <v>0</v>
      </c>
      <c r="D269" s="231">
        <f>IF(NOT(ValidationCheck),IF(calcHAOption,calcNumUserTLogs/TotNumActiveMBXServers,calcNumUserTLogs),strEmpty)</f>
        <v>0</v>
      </c>
      <c r="E269" s="231">
        <f>IF(AND(calcHAOption,NOT(ValidationCheck)),calcNumUserTLogs,strEmpty)</f>
        <v>0</v>
      </c>
      <c r="F269" s="380">
        <f>IF(NOT(ValidationCheck),IF(calcHAOption,calcNumUserTLogs*calcNumDAGs,calcNumUserTLogs*numMBXServers),strEmpty)</f>
        <v>0</v>
      </c>
      <c r="G269" s="359"/>
      <c r="I269" s="10"/>
    </row>
    <row r="270" spans="1:9" x14ac:dyDescent="0.3">
      <c r="A270" s="10"/>
      <c r="B270" s="227" t="s">
        <v>192</v>
      </c>
      <c r="C270" s="231">
        <f>IF(NOT(ValidationCheck),NumDBMoveMbxTLogs,strEmpty)</f>
        <v>0</v>
      </c>
      <c r="D270" s="231">
        <f>IF(NOT(ValidationCheck),IF(calcHAOption,NumMoveMBXTLogs/TotNumActiveMBXServers,NumMoveMBXTLogs),strEmpty)</f>
        <v>0</v>
      </c>
      <c r="E270" s="231">
        <f>IF(AND(calcHAOption,NOT(ValidationCheck)),NumMoveMBXTLogs,strEmpty)</f>
        <v>0</v>
      </c>
      <c r="F270" s="380">
        <f>IF(NOT(ValidationCheck),IF(calcHAOption,NumMoveMBXTLogs*calcNumDAGs,NumMoveMBXTLogs*numMBXServers),strEmpty)</f>
        <v>0</v>
      </c>
      <c r="G270" s="359"/>
      <c r="H270" s="4"/>
      <c r="I270" s="10"/>
    </row>
    <row r="271" spans="1:9" x14ac:dyDescent="0.3">
      <c r="A271" s="10"/>
      <c r="B271" s="2" t="s">
        <v>302</v>
      </c>
      <c r="C271" s="115">
        <f>IF(NOT(ValidationCheck),TotDBTLogsGenerated,strEmpty)</f>
        <v>0</v>
      </c>
      <c r="D271" s="115">
        <f>IF(NOT(ValidationCheck),IF(calcHAOption,TotTLogsGenerated/TotNumActiveMBXServers,TotTLogsGenerated),strEmpty)</f>
        <v>0</v>
      </c>
      <c r="E271" s="115">
        <f>IF(AND(calcHAOption,NOT(ValidationCheck)),TotTLogsGenerated,strEmpty)</f>
        <v>0</v>
      </c>
      <c r="F271" s="115">
        <f>IF(NOT(ValidationCheck),IF(calcHAOption,TotTLogsGenerated*calcNumDAGs,TotTLogsGenerated*numMBXServers),strEmpty)</f>
        <v>0</v>
      </c>
      <c r="G271" s="359"/>
      <c r="H271" s="4"/>
      <c r="I271" s="10"/>
    </row>
    <row r="272" spans="1:9" x14ac:dyDescent="0.3">
      <c r="A272" s="10"/>
      <c r="G272" s="14"/>
      <c r="H272" s="4"/>
      <c r="I272" s="10"/>
    </row>
    <row r="273" spans="1:9" x14ac:dyDescent="0.3">
      <c r="A273" s="10"/>
      <c r="B273" s="112" t="s">
        <v>539</v>
      </c>
      <c r="C273" s="17" t="s">
        <v>519</v>
      </c>
      <c r="D273" s="17" t="s">
        <v>315</v>
      </c>
      <c r="E273" s="17" t="s">
        <v>316</v>
      </c>
      <c r="F273" s="17" t="s">
        <v>317</v>
      </c>
      <c r="G273" s="17"/>
      <c r="I273" s="10"/>
    </row>
    <row r="274" spans="1:9" x14ac:dyDescent="0.3">
      <c r="A274" s="10"/>
      <c r="B274" s="2" t="s">
        <v>1275</v>
      </c>
      <c r="C274" s="382" t="str">
        <f>strEmpty</f>
        <v>--</v>
      </c>
      <c r="D274" s="186">
        <f>IF(NOT(ValidationCheck),calcTransportDBSize,strEmpty)</f>
        <v>0</v>
      </c>
      <c r="E274" s="186">
        <f>IFERROR(IF(calcHAOption,Table28[[#This Row],[ / Server]]*TotNumMBXServersinDAG,strEmpty),strEmpty)</f>
        <v>0</v>
      </c>
      <c r="F274" s="186">
        <f>IFERROR(IF(calcHAOption,Table28[[#This Row],[/ DAG]]*calcNumDAGs,Table28[[#This Row],[ / Server]]*numMBXServers),strEmpty)</f>
        <v>0</v>
      </c>
      <c r="G274" s="17"/>
      <c r="I274" s="10"/>
    </row>
    <row r="275" spans="1:9" ht="15" customHeight="1" x14ac:dyDescent="0.3">
      <c r="A275" s="10"/>
      <c r="B275" s="2" t="s">
        <v>318</v>
      </c>
      <c r="C275" s="186">
        <f>IF(NOT(ValidationCheck),DBSizeOverhead,strEmpty)</f>
        <v>0</v>
      </c>
      <c r="D275" s="186">
        <f>IF(NOT(ValidationCheck),IF(calcHAOption,TotDBDiskSpaceReqDAGMember,TotDBDiskSpaceReq),strEmpty)</f>
        <v>0</v>
      </c>
      <c r="E275" s="186">
        <f>IFERROR(IF(calcHAOption,Table28[[#This Row],[ / Server]]*TotNumMBXServersinDAG,strEmpty),strEmpty)</f>
        <v>0</v>
      </c>
      <c r="F275" s="186">
        <f>IFERROR(IF(calcHAOption,Table28[[#This Row],[/ DAG]]*calcNumDAGs,Table28[[#This Row],[ / Server]]*numMBXServers),strEmpty)</f>
        <v>0</v>
      </c>
      <c r="G275" s="186"/>
      <c r="H275" s="1080" t="str">
        <f>IF(DBSizeOverhead&gt;2000,"The recommended maximum database size for Exchange is 2TB.  Alter your design (increasing the number of databases, decreasing the number of mailboxes per database, altering the mailbox size, etc.) to align with best practices.","")</f>
        <v/>
      </c>
      <c r="I275" s="10"/>
    </row>
    <row r="276" spans="1:9" x14ac:dyDescent="0.3">
      <c r="A276" s="10"/>
      <c r="B276" s="2" t="s">
        <v>319</v>
      </c>
      <c r="C276" s="186">
        <f>IF(NOT(ValidationCheck),LogOverheadperDB,strEmpty)</f>
        <v>0</v>
      </c>
      <c r="D276" s="186">
        <f>IF(NOT(ValidationCheck),IF(calcHAOption,TotLogDiskSpaceDAGMember,LogSizeOverhead),strEmpty)</f>
        <v>0</v>
      </c>
      <c r="E276" s="186">
        <f>IFERROR(IF(calcHAOption,Table28[[#This Row],[ / Server]]*TotNumMBXServersinDAG,strEmpty),strEmpty)</f>
        <v>0</v>
      </c>
      <c r="F276" s="186">
        <f>IFERROR(IF(calcHAOption,Table28[[#This Row],[/ DAG]]*calcNumDAGs,Table28[[#This Row],[ / Server]]*numMBXServers),strEmpty)</f>
        <v>0</v>
      </c>
      <c r="G276" s="186"/>
      <c r="H276" s="1080"/>
      <c r="I276" s="10"/>
    </row>
    <row r="277" spans="1:9" x14ac:dyDescent="0.3">
      <c r="A277" s="10"/>
      <c r="B277" s="2" t="str">
        <f>IF(OR(VolArchitecture=INDEX(varVolumeArchitecture,1),VolArchitecture=INDEX(varVolumeArchitecture,4)),"Database+Log Volume Space Required","Database Volume Space Required")</f>
        <v>Database+Log Volume Space Required</v>
      </c>
      <c r="C277" s="186">
        <f>IF(NOT(ValidationCheck),DBVolSize/RecDBperVolume,strEmpty)</f>
        <v>0</v>
      </c>
      <c r="D277" s="186">
        <f>IF(NOT(ValidationCheck),TotDBVolSpace,strEmpty)</f>
        <v>0</v>
      </c>
      <c r="E277" s="186">
        <f>IFERROR(IF(calcHAOption,Table28[[#This Row],[ / Server]]*TotNumMBXServersinDAG,strEmpty),strEmpty)</f>
        <v>0</v>
      </c>
      <c r="F277" s="186">
        <f>IFERROR(IF(calcHAOption,Table28[[#This Row],[/ DAG]]*calcNumDAGs,Table28[[#This Row],[ / Server]]*numMBXServers),strEmpty)</f>
        <v>0</v>
      </c>
      <c r="G277" s="186"/>
      <c r="H277" s="1080"/>
      <c r="I277" s="10"/>
    </row>
    <row r="278" spans="1:9" x14ac:dyDescent="0.3">
      <c r="A278" s="10"/>
      <c r="B278" s="2" t="s">
        <v>789</v>
      </c>
      <c r="C278" s="186" t="str">
        <f>IF(NOT(ValidationCheck),IF(NOT(OR(VolArchitecture=INDEX(varVolumeArchitecture,1),VolArchitecture=INDEX(varVolumeArchitecture,4))),LogOverheadperDB,strEmpty),strEmpty)</f>
        <v>--</v>
      </c>
      <c r="D278" s="186" t="str">
        <f>IF(NOT(ValidationCheck),IF(NOT(OR(VolArchitecture=INDEX(varVolumeArchitecture,1),VolArchitecture=INDEX(varVolumeArchitecture,4))),TotLogVolSpace,strEmpty),strEmpty)</f>
        <v>--</v>
      </c>
      <c r="E278" s="186" t="str">
        <f>IFERROR(IF(calcHAOption,Table28[[#This Row],[ / Server]]*TotNumMBXServersinDAG,strEmpty),strEmpty)</f>
        <v>--</v>
      </c>
      <c r="F278" s="186" t="str">
        <f>IFERROR(IF(calcHAOption,Table28[[#This Row],[/ DAG]]*calcNumDAGs,Table28[[#This Row],[ / Server]]*numMBXServers),strEmpty)</f>
        <v>--</v>
      </c>
      <c r="G278" s="186"/>
      <c r="H278" s="1080"/>
      <c r="I278" s="10"/>
    </row>
    <row r="279" spans="1:9" x14ac:dyDescent="0.3">
      <c r="A279" s="10"/>
      <c r="B279" s="2" t="s">
        <v>790</v>
      </c>
      <c r="C279" s="382" t="str">
        <f>strEmpty</f>
        <v>--</v>
      </c>
      <c r="D279" s="186">
        <f>IF(NOT(ValidationCheck),IF(RestoreVolSize&gt;0,RestoreVolSize,0),strEmpty)</f>
        <v>0</v>
      </c>
      <c r="E279" s="186">
        <f>IFERROR(IF(calcHAOption,Table28[[#This Row],[ / Server]]*TotNumMBXServersinDAG,strEmpty),strEmpty)</f>
        <v>0</v>
      </c>
      <c r="F279" s="186">
        <f>IFERROR(IF(calcHAOption,Table28[[#This Row],[/ DAG]]*calcNumDAGs,Table28[[#This Row],[ / Server]]*numMBXServers),strEmpty)</f>
        <v>0</v>
      </c>
      <c r="G279" s="186"/>
      <c r="H279" s="1080"/>
      <c r="I279" s="10"/>
    </row>
    <row r="280" spans="1:9" x14ac:dyDescent="0.3">
      <c r="A280" s="10"/>
      <c r="B280" s="2" t="s">
        <v>1985</v>
      </c>
      <c r="C280" s="382" t="str">
        <f>strEmpty</f>
        <v>--</v>
      </c>
      <c r="D280" s="186">
        <f>IF(NOT(ValidationCheck),IF(calcMCDBEnabled,IF(calcHAOption,(TotDBDiskSpaceReqDAGMember+TotLogDiskSpaceDAGMember)*varMCDBSizeRatio,(TotDBDiskSpaceReq+TotLogDiskSpace)*varMCDBSizeRatio),strEmpty),strEmpty)</f>
        <v>0</v>
      </c>
      <c r="E280" s="186">
        <f>IFERROR(IF(calcHAOption,Table28[[#This Row],[ / Server]]*TotNumMBXServersinDAG,strEmpty),strEmpty)</f>
        <v>0</v>
      </c>
      <c r="F280" s="186">
        <f>IFERROR(IF(calcHAOption,Table28[[#This Row],[/ DAG]]*calcNumDAGs,Table28[[#This Row],[ / Server]]*numMBXServers),strEmpty)</f>
        <v>0</v>
      </c>
      <c r="G280" s="186"/>
      <c r="H280" s="935"/>
      <c r="I280" s="10"/>
    </row>
    <row r="281" spans="1:9" x14ac:dyDescent="0.3">
      <c r="A281" s="10"/>
      <c r="B281" s="2" t="s">
        <v>1986</v>
      </c>
      <c r="C281" s="598" t="str">
        <f>strEmpty</f>
        <v>--</v>
      </c>
      <c r="D281" s="115">
        <f>IF(NOT(ValidationCheck),IF(calcMCDBEnabled,IF(RecDatabaseVols&gt;0,IF((RecDatabaseVols/varMCDBDeviceRatio)&gt;QUOTIENT(RecDatabaseVols,varMCDBDeviceRatio),QUOTIENT(RecDatabaseVols,varMCDBDeviceRatio)+1,QUOTIENT(RecDatabaseVols,varMCDBDeviceRatio)),0),strEmpty),strEmpty)</f>
        <v>0</v>
      </c>
      <c r="E281" s="115">
        <f>IFERROR(IF(calcHAOption,Table28[[#This Row],[ / Server]]*TotNumMBXServersinDAG,strEmpty),strEmpty)</f>
        <v>0</v>
      </c>
      <c r="F281" s="115">
        <f>IFERROR(IF(calcHAOption,Table28[[#This Row],[/ DAG]]*calcNumDAGs,Table28[[#This Row],[ / Server]]*numMBXServers),strEmpty)</f>
        <v>0</v>
      </c>
      <c r="G281" s="186"/>
      <c r="H281" s="550"/>
      <c r="I281" s="10"/>
    </row>
    <row r="282" spans="1:9" x14ac:dyDescent="0.3">
      <c r="A282" s="10"/>
      <c r="C282" s="127"/>
      <c r="D282" s="344"/>
      <c r="E282" s="344"/>
      <c r="F282" s="344"/>
      <c r="G282" s="344"/>
      <c r="I282" s="10"/>
    </row>
    <row r="283" spans="1:9" x14ac:dyDescent="0.3">
      <c r="B283" s="112" t="s">
        <v>726</v>
      </c>
      <c r="C283" s="17" t="s">
        <v>519</v>
      </c>
      <c r="D283" s="17" t="s">
        <v>315</v>
      </c>
      <c r="E283" s="17" t="s">
        <v>316</v>
      </c>
      <c r="F283" s="17" t="s">
        <v>317</v>
      </c>
      <c r="G283" s="17"/>
      <c r="I283" s="10"/>
    </row>
    <row r="284" spans="1:9" x14ac:dyDescent="0.3">
      <c r="B284" s="2" t="s">
        <v>320</v>
      </c>
      <c r="C284" s="115">
        <f>IF(NOT(ValidationCheck),calcIOPSPerDB,strEmpty)</f>
        <v>0</v>
      </c>
      <c r="D284" s="115">
        <f>IF(NOT(ValidationCheck),PeakIOPSperServer,strEmpty)</f>
        <v>0</v>
      </c>
      <c r="E284" s="115">
        <f>IF(AND(calcHAOption,NOT(ValidationCheck)),Table76[[#This Row],[ / Server]]*TotNumMBXServersinDAG,strEmpty)</f>
        <v>0</v>
      </c>
      <c r="F284" s="115">
        <f>IF(NOT(ValidationCheck),IF(calcHAOption,Table76[[#This Row],[/ DAG]]*calcNumDAGs,Table76[[#This Row],[ / Server]]*numMBXServers),strEmpty)</f>
        <v>0</v>
      </c>
      <c r="G284" s="115"/>
      <c r="I284" s="10"/>
    </row>
    <row r="285" spans="1:9" x14ac:dyDescent="0.3">
      <c r="B285" s="2" t="s">
        <v>321</v>
      </c>
      <c r="C285" s="115">
        <f>IF(NOT(ValidationCheck),calcIOPSPerLog,strEmpty)</f>
        <v>0</v>
      </c>
      <c r="D285" s="115">
        <f>IF(NOT(ValidationCheck),LogIOWriteTransfers+LogIOReadTransfers,strEmpty)</f>
        <v>0</v>
      </c>
      <c r="E285" s="115">
        <f>IF(AND(calcHAOption,NOT(ValidationCheck)),Table76[[#This Row],[ / Server]]*TotNumMBXServersinDAG,strEmpty)</f>
        <v>0</v>
      </c>
      <c r="F285" s="115">
        <f>IF(NOT(ValidationCheck),IF(calcHAOption,Table76[[#This Row],[/ DAG]]*calcNumDAGs,Table76[[#This Row],[ / Server]]*numMBXServers),strEmpty)</f>
        <v>0</v>
      </c>
      <c r="G285" s="115"/>
      <c r="I285" s="10"/>
    </row>
    <row r="286" spans="1:9" x14ac:dyDescent="0.3">
      <c r="B286" s="2" t="s">
        <v>258</v>
      </c>
      <c r="C286" s="381">
        <f>IF(NOT(ValidationCheck),aggRWRatio,strEmpty)</f>
        <v>0</v>
      </c>
      <c r="D286" s="344" t="str">
        <f>strEmpty</f>
        <v>--</v>
      </c>
      <c r="E286" s="344" t="str">
        <f>strEmpty</f>
        <v>--</v>
      </c>
      <c r="F286" s="344" t="str">
        <f>strEmpty</f>
        <v>--</v>
      </c>
      <c r="G286" s="344"/>
      <c r="I286" s="10"/>
    </row>
    <row r="287" spans="1:9" x14ac:dyDescent="0.3">
      <c r="B287" s="2" t="s">
        <v>725</v>
      </c>
      <c r="C287" s="446">
        <f>IF(NOT(ValidationCheck),1,strEmpty)</f>
        <v>1</v>
      </c>
      <c r="D287" s="436">
        <f>IF(NOT(ValidationCheck),Table76[[#This Row],[/ Database]]*IF(calcHAOption,TotNumDBCopiesServer,RecNumDBs),strEmpty)</f>
        <v>0</v>
      </c>
      <c r="E287" s="436">
        <f>IF(AND(calcHAOption,NOT(ValidationCheck)),Table76[[#This Row],[ / Server]]*TotNumMBXServersinDAG,strEmpty)</f>
        <v>0</v>
      </c>
      <c r="F287" s="436">
        <f>IF(NOT(ValidationCheck),IF(calcHAOption,Table76[[#This Row],[/ DAG]]*calcNumDAGs,Table76[[#This Row],[ / Server]]*numMBXServers),strEmpty)</f>
        <v>0</v>
      </c>
      <c r="G287" s="344"/>
      <c r="I287" s="10"/>
    </row>
    <row r="288" spans="1:9" x14ac:dyDescent="0.3">
      <c r="A288" s="10"/>
      <c r="I288" s="10"/>
    </row>
    <row r="289" spans="1:10" ht="15" thickBot="1" x14ac:dyDescent="0.35">
      <c r="A289" s="10"/>
      <c r="B289" s="554" t="s">
        <v>118</v>
      </c>
      <c r="C289" s="555"/>
      <c r="D289" s="555"/>
      <c r="E289" s="555"/>
      <c r="F289" s="555"/>
      <c r="G289" s="555"/>
      <c r="H289" s="555"/>
      <c r="I289" s="556"/>
    </row>
    <row r="290" spans="1:10" ht="15" customHeight="1" x14ac:dyDescent="0.3">
      <c r="A290" s="10"/>
      <c r="B290" s="1074" t="str">
        <f>IF(OR(DBVolSize&gt;2048,AND(ISNUMBER(LogVolSize),LogVolSize&gt;2048)),varVolSizeResponse,"N/A")</f>
        <v>N/A</v>
      </c>
      <c r="C290" s="1075"/>
      <c r="D290" s="1075"/>
      <c r="E290" s="1075"/>
      <c r="F290" s="1075"/>
      <c r="G290" s="1075"/>
      <c r="H290" s="1075"/>
      <c r="I290" s="1076"/>
    </row>
    <row r="291" spans="1:10" x14ac:dyDescent="0.3">
      <c r="A291" s="10"/>
      <c r="B291" s="1077"/>
      <c r="C291" s="1078"/>
      <c r="D291" s="1078"/>
      <c r="E291" s="1078"/>
      <c r="F291" s="1078"/>
      <c r="G291" s="1078"/>
      <c r="H291" s="1078"/>
      <c r="I291" s="1079"/>
    </row>
    <row r="292" spans="1:10" ht="15" thickBot="1" x14ac:dyDescent="0.35">
      <c r="B292" s="326"/>
      <c r="C292" s="327"/>
      <c r="D292" s="327"/>
      <c r="E292" s="327"/>
      <c r="F292" s="327"/>
      <c r="G292" s="327"/>
      <c r="H292" s="327"/>
      <c r="I292" s="327"/>
      <c r="J292" s="9"/>
    </row>
    <row r="294" spans="1:10" ht="15" customHeight="1" x14ac:dyDescent="0.3"/>
    <row r="320" spans="4:7" x14ac:dyDescent="0.3">
      <c r="D320" s="15"/>
      <c r="E320" s="15"/>
      <c r="F320" s="15"/>
      <c r="G320" s="15"/>
    </row>
    <row r="321" spans="4:7" x14ac:dyDescent="0.3">
      <c r="D321" s="15"/>
      <c r="E321" s="15"/>
      <c r="F321" s="15"/>
      <c r="G321" s="15"/>
    </row>
  </sheetData>
  <dataConsolidate/>
  <mergeCells count="7">
    <mergeCell ref="B290:I291"/>
    <mergeCell ref="H275:H279"/>
    <mergeCell ref="B1:I1"/>
    <mergeCell ref="B2:I2"/>
    <mergeCell ref="B3:I4"/>
    <mergeCell ref="H254:H257"/>
    <mergeCell ref="B5:I5"/>
  </mergeCells>
  <conditionalFormatting sqref="B290">
    <cfRule type="expression" dxfId="958" priority="41" stopIfTrue="1">
      <formula>IF($B$290&lt;&gt;"N/A",TRUE)</formula>
    </cfRule>
  </conditionalFormatting>
  <conditionalFormatting sqref="C256">
    <cfRule type="expression" dxfId="957" priority="30">
      <formula>IF(calcCPUUtilPDC&lt;&gt;"--",IF(calcCPUUtilPDC&gt;varMaxRecCpuUtil,TRUE,FALSE),FALSE)</formula>
    </cfRule>
  </conditionalFormatting>
  <conditionalFormatting sqref="D256">
    <cfRule type="expression" dxfId="956" priority="29">
      <formula>IF(calcCPUUtilSDC&lt;&gt;"--",IF(calcCPUUtilSDC&gt;varMaxRecCpuUtil,TRUE,FALSE),FALSE)</formula>
    </cfRule>
  </conditionalFormatting>
  <conditionalFormatting sqref="E256">
    <cfRule type="expression" dxfId="955" priority="28">
      <formula>IF(calcCPUUtilLCS&lt;&gt;"--",IF(calcCPUUtilLCS&gt;80%,TRUE,FALSE),FALSE)</formula>
    </cfRule>
  </conditionalFormatting>
  <conditionalFormatting sqref="H275:H279">
    <cfRule type="expression" dxfId="954" priority="23">
      <formula>IF(DBSizeOverhead&gt;2000,TRUE,FALSE)</formula>
    </cfRule>
  </conditionalFormatting>
  <conditionalFormatting sqref="C255">
    <cfRule type="expression" dxfId="953" priority="22">
      <formula>IF(AND($C$255&gt;numProcCoresPDC,$C$255&lt;&gt;"--"),TRUE,FALSE)</formula>
    </cfRule>
  </conditionalFormatting>
  <conditionalFormatting sqref="D255">
    <cfRule type="expression" dxfId="952" priority="21">
      <formula>IF(AND($D$255&gt;numProcCoresSDC,$D$255&lt;&gt;"--"),TRUE,FALSE)</formula>
    </cfRule>
  </conditionalFormatting>
  <conditionalFormatting sqref="C260">
    <cfRule type="expression" dxfId="951" priority="12">
      <formula>IF(calcTransportLocPDC="Dedicated RAID-1 Disk",TRUE,FALSE)</formula>
    </cfRule>
  </conditionalFormatting>
  <conditionalFormatting sqref="D260">
    <cfRule type="expression" dxfId="950" priority="11">
      <formula>IF(calcTransportLocSDC="Dedicated RAID-1 Disk",TRUE,FALSE)</formula>
    </cfRule>
  </conditionalFormatting>
  <conditionalFormatting sqref="B19">
    <cfRule type="expression" dxfId="949" priority="10">
      <formula>IF(NumTier1MBX=0,TRUE,FALSE)</formula>
    </cfRule>
  </conditionalFormatting>
  <conditionalFormatting sqref="H19">
    <cfRule type="expression" dxfId="948" priority="9">
      <formula>IF(NumTier1MBX=0,TRUE,FALSE)</formula>
    </cfRule>
  </conditionalFormatting>
  <conditionalFormatting sqref="B45">
    <cfRule type="expression" dxfId="947" priority="8">
      <formula>IF(NumTier1MBX=0,TRUE,FALSE)</formula>
    </cfRule>
  </conditionalFormatting>
  <conditionalFormatting sqref="H45">
    <cfRule type="expression" dxfId="946" priority="7">
      <formula>IF(NumTier1MBX=0,TRUE,FALSE)</formula>
    </cfRule>
  </conditionalFormatting>
  <conditionalFormatting sqref="H254:H257">
    <cfRule type="expression" dxfId="945" priority="3">
      <formula>ServerRAMConfig&gt;VLOOKUP(ServerVersion,tblServerMax,2,FALSE)</formula>
    </cfRule>
  </conditionalFormatting>
  <conditionalFormatting sqref="C254:D254">
    <cfRule type="expression" dxfId="944" priority="1">
      <formula>ServerRAMConfig&gt;VLOOKUP(ServerVersion,tblServerMax,2,FALSE)</formula>
    </cfRule>
  </conditionalFormatting>
  <pageMargins left="0.7" right="0.7" top="0.75" bottom="0.75" header="0.3" footer="0.3"/>
  <pageSetup scale="40" orientation="portrait" r:id="rId1"/>
  <ignoredErrors>
    <ignoredError sqref="E256 E259:E260 C184:C186 C188:C190 C187 E258 I85:I86 I104:I105 D122:D123 I167:I168 I109 I88 I90:I91 D126:D127" calculatedColumn="1"/>
  </ignoredErrors>
  <legacyDrawing r:id="rId2"/>
  <tableParts count="4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N61"/>
  <sheetViews>
    <sheetView showGridLines="0" showRowColHeaders="0" topLeftCell="B28" zoomScale="85" zoomScaleNormal="85" workbookViewId="0">
      <selection activeCell="D10" sqref="D10"/>
    </sheetView>
  </sheetViews>
  <sheetFormatPr defaultColWidth="9" defaultRowHeight="15" customHeight="1" outlineLevelRow="1" x14ac:dyDescent="0.3"/>
  <cols>
    <col min="1" max="1" width="3.3984375" customWidth="1"/>
    <col min="2" max="2" width="70.8984375" bestFit="1" customWidth="1"/>
    <col min="3" max="4" width="26.69921875" customWidth="1"/>
    <col min="5" max="7" width="18.69921875" customWidth="1"/>
    <col min="8" max="12" width="4.3984375" customWidth="1"/>
  </cols>
  <sheetData>
    <row r="1" spans="1:40" ht="15" customHeight="1" thickBot="1" x14ac:dyDescent="0.35">
      <c r="B1" s="1090" t="s">
        <v>711</v>
      </c>
      <c r="C1" s="1091"/>
      <c r="D1" s="1091"/>
      <c r="E1" s="1091"/>
      <c r="F1" s="1091"/>
      <c r="G1" s="1091"/>
      <c r="H1" s="1091"/>
      <c r="I1" s="1092"/>
    </row>
    <row r="2" spans="1:40" ht="45" customHeight="1" x14ac:dyDescent="0.3">
      <c r="B2" s="1095" t="s">
        <v>656</v>
      </c>
      <c r="C2" s="1096"/>
      <c r="D2" s="1096"/>
      <c r="E2" s="1096"/>
      <c r="F2" s="1096"/>
      <c r="G2" s="1096"/>
      <c r="H2" s="1096"/>
      <c r="I2" s="1097"/>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c r="AL2" s="474"/>
      <c r="AM2" s="477"/>
    </row>
    <row r="3" spans="1:40" ht="15" customHeight="1" x14ac:dyDescent="0.3">
      <c r="A3" s="176"/>
      <c r="B3" s="137"/>
      <c r="C3" s="20"/>
      <c r="D3" s="20"/>
      <c r="E3" s="20"/>
      <c r="F3" s="20"/>
      <c r="G3" s="20"/>
      <c r="H3" s="20"/>
      <c r="I3" s="22"/>
      <c r="AN3" s="175"/>
    </row>
    <row r="4" spans="1:40" ht="15" customHeight="1" x14ac:dyDescent="0.3">
      <c r="A4" s="176"/>
      <c r="B4" s="1093" t="s">
        <v>638</v>
      </c>
      <c r="C4" s="1093"/>
      <c r="D4" s="1093"/>
      <c r="E4" s="1093"/>
      <c r="F4" s="1093"/>
      <c r="G4" s="1093"/>
      <c r="H4" s="1093"/>
      <c r="I4" s="1093"/>
      <c r="J4" s="175"/>
      <c r="AN4" s="175"/>
    </row>
    <row r="5" spans="1:40" ht="15" hidden="1" customHeight="1" outlineLevel="1" x14ac:dyDescent="0.3">
      <c r="A5" s="176"/>
      <c r="I5" s="176"/>
      <c r="AN5" s="175"/>
    </row>
    <row r="6" spans="1:40" ht="15" customHeight="1" collapsed="1" x14ac:dyDescent="0.35">
      <c r="A6" s="176"/>
      <c r="B6" s="58"/>
      <c r="C6" s="19"/>
      <c r="D6" s="19"/>
      <c r="E6" s="19"/>
      <c r="F6" s="19"/>
      <c r="G6" s="40"/>
      <c r="H6" s="40"/>
      <c r="I6" s="57"/>
      <c r="AN6" s="175"/>
    </row>
    <row r="7" spans="1:40" ht="15" customHeight="1" x14ac:dyDescent="0.3">
      <c r="A7" s="176"/>
      <c r="B7" s="1094" t="s">
        <v>639</v>
      </c>
      <c r="C7" s="1094"/>
      <c r="D7" s="1094"/>
      <c r="E7" s="1094"/>
      <c r="F7" s="1094"/>
      <c r="G7" s="1094"/>
      <c r="H7" s="1094"/>
      <c r="I7" s="1094"/>
      <c r="J7" s="175"/>
      <c r="AN7" s="175"/>
    </row>
    <row r="8" spans="1:40" ht="15" customHeight="1" x14ac:dyDescent="0.35">
      <c r="A8" s="176"/>
      <c r="B8" s="136"/>
      <c r="C8" s="37"/>
      <c r="D8" s="38"/>
      <c r="E8" s="38"/>
      <c r="F8" s="139"/>
      <c r="G8" s="21"/>
      <c r="H8" s="21"/>
      <c r="I8" s="26"/>
      <c r="AN8" s="175"/>
    </row>
    <row r="9" spans="1:40" ht="15" customHeight="1" x14ac:dyDescent="0.3">
      <c r="A9" s="176"/>
      <c r="B9" s="117" t="s">
        <v>614</v>
      </c>
      <c r="C9" s="117" t="s">
        <v>664</v>
      </c>
      <c r="D9" s="117" t="s">
        <v>665</v>
      </c>
      <c r="F9" s="1089" t="str">
        <f>"Be sure to execute Set-MailboxServer &lt;Server Name&gt; -MaximumActiveDatabases " &amp; MaxActiveDBsPDC &amp; IF(MaxPreferredActiveDBsPDC&lt;&gt;"", " -MaximumPreferredActiveDatabases " &amp; MaxPreferredActiveDBsPDC,"") &amp; " on all Mailbox servers within the DAG" &amp; IF(AND(calcNumDBMemSizing&lt;&gt;calcNumDBMemSizingSDC,calcNumDBMemSizingSDC&lt;&gt;strEmpty)," that are located in the primary datacenter","") &amp; "."</f>
        <v>Be sure to execute Set-MailboxServer &lt;Server Name&gt; -MaximumActiveDatabases 0 on all Mailbox servers within the DAG.</v>
      </c>
      <c r="G9" s="1089"/>
      <c r="H9" s="1089"/>
      <c r="I9" s="176"/>
      <c r="AN9" s="175"/>
    </row>
    <row r="10" spans="1:40" ht="15" customHeight="1" x14ac:dyDescent="0.35">
      <c r="A10" s="176"/>
      <c r="B10" s="367" t="s">
        <v>631</v>
      </c>
      <c r="C10" s="371">
        <f>IF(calcNumAMBXServersDC1&gt;0,calcNumAMBXServersDC1,strEmpty)</f>
        <v>8</v>
      </c>
      <c r="D10" s="371" t="str">
        <f>IF(calcNumAMBXServersDC2&gt;0,calcNumAMBXServersDC2,strEmpty)</f>
        <v>--</v>
      </c>
      <c r="F10" s="1089"/>
      <c r="G10" s="1089"/>
      <c r="H10" s="1089"/>
      <c r="I10" s="176"/>
      <c r="AN10" s="175"/>
    </row>
    <row r="11" spans="1:40" ht="15" customHeight="1" x14ac:dyDescent="0.35">
      <c r="A11" s="176"/>
      <c r="B11" s="367" t="s">
        <v>667</v>
      </c>
      <c r="C11" s="371" t="str">
        <f>IF(calcNumPMBXServersDC1&gt;0,calcNumPMBXServersDC1,strEmpty)</f>
        <v>--</v>
      </c>
      <c r="D11" s="371" t="str">
        <f>IF(calcNumPMBXServersDC2&gt;0,calcNumPMBXServersDC2,strEmpty)</f>
        <v>--</v>
      </c>
      <c r="F11" s="1089"/>
      <c r="G11" s="1089"/>
      <c r="H11" s="1089"/>
      <c r="I11" s="176"/>
      <c r="AN11" s="175"/>
    </row>
    <row r="12" spans="1:40" ht="15" customHeight="1" x14ac:dyDescent="0.35">
      <c r="A12" s="176"/>
      <c r="B12" s="383" t="s">
        <v>666</v>
      </c>
      <c r="C12" s="371" t="str">
        <f>IF(calcNumLagMBXServersPDC&gt;0,calcNumLagMBXServersPDC,strEmpty)</f>
        <v>--</v>
      </c>
      <c r="D12" s="371" t="str">
        <f>IF(calcNumLagMBXServersSDC&gt;0,calcNumLagMBXServersSDC,strEmpty)</f>
        <v>--</v>
      </c>
      <c r="F12" s="1089"/>
      <c r="G12" s="1089"/>
      <c r="H12" s="1089"/>
      <c r="I12" s="176"/>
      <c r="AN12" s="175"/>
    </row>
    <row r="13" spans="1:40" ht="15" customHeight="1" x14ac:dyDescent="0.35">
      <c r="A13" s="176"/>
      <c r="B13" s="383"/>
      <c r="C13" s="371"/>
      <c r="D13" s="371"/>
      <c r="F13" s="550"/>
      <c r="G13" s="550"/>
      <c r="H13" s="550"/>
      <c r="I13" s="176"/>
      <c r="AN13" s="175"/>
    </row>
    <row r="14" spans="1:40" ht="15" customHeight="1" x14ac:dyDescent="0.3">
      <c r="A14" s="176"/>
      <c r="I14" s="176"/>
      <c r="AN14" s="175"/>
    </row>
    <row r="15" spans="1:40" ht="30" customHeight="1" x14ac:dyDescent="0.3">
      <c r="A15" s="176"/>
      <c r="B15" s="17" t="s">
        <v>584</v>
      </c>
      <c r="C15" s="17" t="s">
        <v>398</v>
      </c>
      <c r="D15" s="352" t="s">
        <v>399</v>
      </c>
      <c r="E15" s="17" t="s">
        <v>580</v>
      </c>
      <c r="F15" s="358" t="s">
        <v>541</v>
      </c>
      <c r="G15" s="358" t="s">
        <v>394</v>
      </c>
      <c r="H15" s="358"/>
      <c r="I15" s="176"/>
      <c r="AN15" s="175"/>
    </row>
    <row r="16" spans="1:40" ht="15" customHeight="1" x14ac:dyDescent="0.3">
      <c r="A16" s="176"/>
      <c r="B16" s="227" t="s">
        <v>517</v>
      </c>
      <c r="C16" s="484" t="str">
        <f>IF(OR(AND(HAOption="Yes",SiteResilienceEnabled="No",ValidationCheck=FALSE),AND(HAOption="Yes",SiteResilienceEnabled="Yes",ValidationCheck=FALSE,SRModel=INDEX(varSRModel,2))),calcNumActiveDBs,strEmpty)</f>
        <v>--</v>
      </c>
      <c r="D16" s="353" t="str">
        <f>strEmpty</f>
        <v>--</v>
      </c>
      <c r="E16" s="250" t="str">
        <f>IF(OR(AND(HAOption="Yes",SiteResilienceEnabled="No",ValidationCheck=FALSE),AND(HAOption="Yes",SiteResilienceEnabled="Yes",ValidationCheck=FALSE,SRModel=INDEX(varSRModel,2))),MBXPerDB*calcNumActiveDBs,strEmpty)</f>
        <v>--</v>
      </c>
      <c r="F16" s="364" t="str">
        <f>IF(OR(AND(HAOption="Yes",SiteResilienceEnabled="No",ValidationCheck=FALSE),AND(HAOption="Yes",SiteResilienceEnabled="Yes",ValidationCheck=FALSE,SRModel=INDEX(varSRModel,2))),RecNumDBsDC1,strEmpty)</f>
        <v>--</v>
      </c>
      <c r="G16" s="363" t="str">
        <f>strEmpty</f>
        <v>--</v>
      </c>
      <c r="H16" s="363"/>
      <c r="I16" s="176"/>
      <c r="AN16" s="175"/>
    </row>
    <row r="17" spans="1:40" ht="15" customHeight="1" x14ac:dyDescent="0.3">
      <c r="A17" s="176"/>
      <c r="B17" s="227" t="s">
        <v>582</v>
      </c>
      <c r="C17" s="484" t="str">
        <f>IF(OR(AND(HAOption="Yes",SiteResilienceEnabled="No",ValidationCheck=FALSE),AND(HAOption="Yes",SiteResilienceEnabled="Yes",ValidationCheck=FALSE,SRModel=INDEX(varSRModel,2))),calcNumActiveDBsFF,strEmpty)</f>
        <v>--</v>
      </c>
      <c r="D17" s="349" t="str">
        <f>IF(OR(AND(HAOption="Yes",SiteResilienceEnabled="No",ValidationCheck=FALSE),AND(HAOption="Yes",SiteResilienceEnabled="Yes",ValidationCheck=FALSE,SRModel=INDEX(varSRModel,2))),calcNumActiveDBsPDCFFinSDC,strEmpty)</f>
        <v>--</v>
      </c>
      <c r="E17" s="250" t="str">
        <f>IF(OR(AND(HAOption="Yes",SiteResilienceEnabled="No",ValidationCheck=FALSE),AND(HAOption="Yes",SiteResilienceEnabled="Yes",ValidationCheck=FALSE,SRModel=INDEX(varSRModel,2))),IF(calcNumActiveDBsFF&lt;&gt;strEmpty,MBXPerDB*calcNumActiveDBsFF,strEmpty),strEmpty)</f>
        <v>--</v>
      </c>
      <c r="F17" s="364" t="str">
        <f>IF(OR(AND(HAOption="Yes",SiteResilienceEnabled="No",ValidationCheck=FALSE),AND(HAOption="Yes",SiteResilienceEnabled="Yes",ValidationCheck=FALSE,SRModel=INDEX(varSRModel,2))),IF(calcNumActiveDBsFF=strEmpty,strEmpty,IF(calcTotActiveDBsPDCFFinPDC=strEmpty,RecNumDBs,calcTotActiveDBsPDCFFinPDC)),strEmpty)</f>
        <v>--</v>
      </c>
      <c r="G17" s="364" t="str">
        <f>IF(OR(AND(HAOption="Yes",SiteResilienceEnabled="No",ValidationCheck=FALSE),AND(HAOption="Yes",SiteResilienceEnabled="Yes",ValidationCheck=FALSE,SRModel=INDEX(varSRModel,2))),IF(calcTotActiveDBsPDCFFinSDC=strEmpty,strEmpty,calcTotActiveDBsPDCFFinSDC),strEmpty)</f>
        <v>--</v>
      </c>
      <c r="H17" s="364"/>
      <c r="I17" s="176"/>
      <c r="AN17" s="175"/>
    </row>
    <row r="18" spans="1:40" ht="15" customHeight="1" x14ac:dyDescent="0.35">
      <c r="A18" s="176"/>
      <c r="B18" s="367" t="s">
        <v>581</v>
      </c>
      <c r="C18" s="484" t="str">
        <f>IF(OR(AND(HAOption="Yes",SiteResilienceEnabled="No",ValidationCheck=FALSE),AND(HAOption="Yes",SiteResilienceEnabled="Yes",ValidationCheck=FALSE,SRModel=INDEX(varSRModel,2))),calcNumActiveDBsSF,strEmpty)</f>
        <v>--</v>
      </c>
      <c r="D18" s="348" t="str">
        <f>IF(OR(AND(HAOption="Yes",SiteResilienceEnabled="No",ValidationCheck=FALSE),AND(HAOption="Yes",SiteResilienceEnabled="Yes",ValidationCheck=FALSE,SRModel=INDEX(varSRModel,2))),calcNumActiveDBsPDCSFinSDC,strEmpty)</f>
        <v>--</v>
      </c>
      <c r="E18" s="250" t="str">
        <f>IF(OR(AND(HAOption="Yes",SiteResilienceEnabled="No",ValidationCheck=FALSE),AND(HAOption="Yes",SiteResilienceEnabled="Yes",ValidationCheck=FALSE,SRModel=INDEX(varSRModel,2))),IF(calcNumActiveDBsSF&lt;&gt;strEmpty,MBXPerDB*calcNumActiveDBsSF,strEmpty),strEmpty)</f>
        <v>--</v>
      </c>
      <c r="F18" s="364" t="str">
        <f>IF(OR(AND(HAOption="Yes",SiteResilienceEnabled="No",ValidationCheck=FALSE),AND(HAOption="Yes",SiteResilienceEnabled="Yes",ValidationCheck=FALSE,SRModel=INDEX(varSRModel,2))),IF(calcNumActiveDBsSF=strEmpty,strEmpty,IF(calcTotActiveDBsPDCSFinPDC=strEmpty,RecNumDBs,calcTotActiveDBsPDCSFinPDC)),strEmpty)</f>
        <v>--</v>
      </c>
      <c r="G18" s="364" t="str">
        <f>IF(OR(AND(HAOption="Yes",SiteResilienceEnabled="No",ValidationCheck=FALSE),AND(HAOption="Yes",SiteResilienceEnabled="Yes",ValidationCheck=FALSE,SRModel=INDEX(varSRModel,2))),IF(calcTotActiveDBsPDCSFinSDC=strEmpty,strEmpty,calcTotActiveDBsPDCSFinSDC),strEmpty)</f>
        <v>--</v>
      </c>
      <c r="H18" s="364"/>
      <c r="I18" s="176"/>
      <c r="AN18" s="175"/>
    </row>
    <row r="19" spans="1:40" ht="15" customHeight="1" x14ac:dyDescent="0.3">
      <c r="A19" s="176"/>
      <c r="B19" s="7"/>
      <c r="C19" s="248"/>
      <c r="D19" s="250"/>
      <c r="E19" s="15"/>
      <c r="F19" s="284"/>
      <c r="G19" s="284"/>
      <c r="H19" s="284"/>
      <c r="I19" s="176"/>
      <c r="AN19" s="175"/>
    </row>
    <row r="20" spans="1:40" ht="30" customHeight="1" x14ac:dyDescent="0.3">
      <c r="A20" s="176"/>
      <c r="B20" s="17" t="s">
        <v>668</v>
      </c>
      <c r="C20" s="17" t="s">
        <v>542</v>
      </c>
      <c r="D20" s="17" t="s">
        <v>397</v>
      </c>
      <c r="E20" s="631"/>
      <c r="F20" s="1088" t="str">
        <f>"Be sure to execute Set-MailboxServer &lt;Server Name&gt; -MaximumActiveDatabases " &amp; MaxActiveDBsSDC &amp; IF(MaxPreferredActiveDBsSDC&lt;&gt;"", " -MaximumPreferredActiveDatabases " &amp; MaxPreferredActiveDBsSDC,"") &amp; " on all Mailbox servers within the DAG that are located in the secondary datacenter."</f>
        <v>Be sure to execute Set-MailboxServer &lt;Server Name&gt; -MaximumActiveDatabases 0 -MaximumPreferredActiveDatabases 0 on all Mailbox servers within the DAG that are located in the secondary datacenter.</v>
      </c>
      <c r="G20" s="1088"/>
      <c r="H20" s="1088"/>
      <c r="I20" s="421"/>
      <c r="J20" s="437"/>
      <c r="K20" s="437"/>
      <c r="L20" s="437"/>
      <c r="AN20" s="175"/>
    </row>
    <row r="21" spans="1:40" ht="15" customHeight="1" x14ac:dyDescent="0.3">
      <c r="A21" s="176"/>
      <c r="B21" s="227" t="s">
        <v>518</v>
      </c>
      <c r="C21" s="484" t="str">
        <f>IF(OR(AND(HAOption="Yes",SiteResilienceEnabled="No",ValidationCheck=FALSE),AND(HAOption="Yes",SiteResilienceEnabled="Yes",ValidationCheck=FALSE,SRModel=INDEX(varSRModel,2))),calcNumActiveDBsSiteF,strEmpty)</f>
        <v>--</v>
      </c>
      <c r="D21" s="250" t="str">
        <f>IF(OR(AND(HAOption="Yes",SiteResilienceEnabled="No",ValidationCheck=FALSE),AND(HAOption="Yes",SiteResilienceEnabled="Yes",ValidationCheck=FALSE,SRModel=INDEX(varSRModel,2))),IF(Table24214079[[#This Row],[ / Secondary Datacenter Server]]&lt;&gt;strEmpty,MBXPerDB*calcNumActiveDBsSiteF,strEmpty),strEmpty)</f>
        <v>--</v>
      </c>
      <c r="E21" s="631"/>
      <c r="F21" s="1088"/>
      <c r="G21" s="1088"/>
      <c r="H21" s="1088"/>
      <c r="I21" s="421"/>
      <c r="J21" s="437"/>
      <c r="K21" s="437"/>
      <c r="L21" s="437"/>
      <c r="AN21" s="175"/>
    </row>
    <row r="22" spans="1:40" ht="15" customHeight="1" x14ac:dyDescent="0.3">
      <c r="A22" s="176"/>
      <c r="B22" s="227" t="s">
        <v>601</v>
      </c>
      <c r="C22" s="484" t="str">
        <f>IF(OR(AND(HAOption="Yes",SiteResilienceEnabled="No",ValidationCheck=FALSE),AND(HAOption="Yes",SiteResilienceEnabled="Yes",ValidationCheck=FALSE,SRModel=INDEX(varSRModel,2))),calcNumActiveDBsSiteF1F,strEmpty)</f>
        <v>--</v>
      </c>
      <c r="D22" s="250" t="str">
        <f>IF(OR(AND(HAOption="Yes",SiteResilienceEnabled="No",ValidationCheck=FALSE),AND(HAOption="Yes",SiteResilienceEnabled="Yes",ValidationCheck=FALSE,SRModel=INDEX(varSRModel,2))),IF(Table24214079[[#This Row],[ / Secondary Datacenter Server]]&lt;&gt;strEmpty,MBXPerDB*calcNumActiveDBsSiteF1F,strEmpty),strEmpty)</f>
        <v>--</v>
      </c>
      <c r="E22" s="631"/>
      <c r="F22" s="1088"/>
      <c r="G22" s="1088"/>
      <c r="H22" s="1088"/>
      <c r="I22" s="421"/>
      <c r="J22" s="437"/>
      <c r="K22" s="437"/>
      <c r="L22" s="437"/>
      <c r="AN22" s="175"/>
    </row>
    <row r="23" spans="1:40" ht="15" customHeight="1" x14ac:dyDescent="0.35">
      <c r="A23" s="176"/>
      <c r="B23" s="367" t="s">
        <v>602</v>
      </c>
      <c r="C23" s="248" t="str">
        <f>IF(OR(AND(HAOption="Yes",SiteResilienceEnabled="No",ValidationCheck=FALSE),AND(HAOption="Yes",SiteResilienceEnabled="Yes",ValidationCheck=FALSE,SRModel=INDEX(varSRModel,2))),calcNumActiveDBsSiteF2F,strEmpty)</f>
        <v>--</v>
      </c>
      <c r="D23" s="250" t="str">
        <f>IF(OR(AND(HAOption="Yes",SiteResilienceEnabled="No",ValidationCheck=FALSE),AND(HAOption="Yes",SiteResilienceEnabled="Yes",ValidationCheck=FALSE,SRModel=INDEX(varSRModel,2))),IF(Table24214079[[#This Row],[ / Secondary Datacenter Server]]&lt;&gt;strEmpty,MBXPerDB*calcNumActiveDBsSiteF2F,strEmpty),strEmpty)</f>
        <v>--</v>
      </c>
      <c r="E23" s="631"/>
      <c r="F23" s="1088"/>
      <c r="G23" s="1088"/>
      <c r="H23" s="1088"/>
      <c r="I23" s="421"/>
      <c r="J23" s="437"/>
      <c r="K23" s="437"/>
      <c r="L23" s="437"/>
      <c r="AN23" s="175"/>
    </row>
    <row r="24" spans="1:40" ht="15" customHeight="1" x14ac:dyDescent="0.3">
      <c r="A24" s="176"/>
      <c r="B24" s="647"/>
      <c r="C24" s="656" t="s">
        <v>2015</v>
      </c>
      <c r="D24" s="655" t="s">
        <v>2014</v>
      </c>
      <c r="E24" s="616"/>
      <c r="F24" s="616"/>
      <c r="G24" s="616"/>
      <c r="H24" s="616"/>
      <c r="I24" s="616"/>
      <c r="J24" s="616"/>
      <c r="K24" s="616"/>
      <c r="L24" s="616"/>
      <c r="AN24" s="175"/>
    </row>
    <row r="25" spans="1:40" ht="15" customHeight="1" x14ac:dyDescent="0.35">
      <c r="A25" s="176"/>
      <c r="B25" s="648" t="s">
        <v>648</v>
      </c>
      <c r="C25" s="630"/>
      <c r="D25" s="632"/>
      <c r="E25" s="638"/>
      <c r="F25" s="638"/>
      <c r="G25" s="638"/>
      <c r="H25" s="638"/>
      <c r="I25" s="638"/>
      <c r="J25" s="617"/>
      <c r="K25" s="617"/>
      <c r="L25" s="617"/>
      <c r="AN25" s="175"/>
    </row>
    <row r="26" spans="1:40" ht="15" customHeight="1" x14ac:dyDescent="0.3">
      <c r="A26" s="176"/>
      <c r="B26" s="649"/>
      <c r="C26" s="626"/>
      <c r="D26" s="615" t="str">
        <f>IF(OR(DAGQuroumStatus="DAG Quorum Failed",ISNA(MATCH(MIN(E26:T26),E26:T26,0))),"FAILED", IF(OR(IsSecSiteActive(),AND(IF(ISNA(MATCH(TEXT(VALUE(1),"#"),E26:T26,0)),MATCH(1,E26:T26,0),MATCH(TEXT(VALUE(1),"#"),E26:T26,0))&lt;=calcNumAMBXServersDC1,MATCH(MIN(E26:T26),E26:T26,0)&lt;=calcNumAMBXServersDC1),AND(IF(ISNA(MATCH(TEXT(VALUE(1),"#"),E26:T26,0)),MATCH(1,E26:T26,0),MATCH(TEXT(VALUE(1),"#"),E26:T26,0))&gt;17,MATCH(MIN(E26:T26),E26:T26,0)&gt;17)),GetServer(MATCH(MIN(E26:T26),E26:T26,0)),"FAILED"))</f>
        <v>FAILED</v>
      </c>
      <c r="E26" s="639"/>
      <c r="F26" s="639"/>
      <c r="G26" s="639"/>
      <c r="H26" s="639"/>
      <c r="I26" s="639"/>
      <c r="J26" s="617"/>
      <c r="K26" s="617"/>
      <c r="L26" s="617"/>
      <c r="AN26" s="175"/>
    </row>
    <row r="27" spans="1:40" ht="15" customHeight="1" x14ac:dyDescent="0.35">
      <c r="A27" s="176"/>
      <c r="B27" s="650" t="str">
        <f>IF(AND(HAOption="Yes",SiteResilienceEnabled="Yes",SRModel=INDEX(varSRModel,1)),"DAG-A Member Layout","DAG Member Layout")</f>
        <v>DAG-A Member Layout</v>
      </c>
      <c r="C27" s="628" t="s">
        <v>660</v>
      </c>
      <c r="D27" s="633" t="str">
        <f>IF(OR(DAGQuroumStatus="DAG Quorum Failed",ISNA(MATCH(MIN(E27:T27),E27:T27,0))),"FAILED", IF(OR(IsSecSiteActive(),AND(IF(ISNA(MATCH(TEXT(VALUE(1),"#"),E27:T27,0)),MATCH(1,E27:T27,0),MATCH(TEXT(VALUE(1),"#"),E27:T27,0))&lt;=calcNumAMBXServersDC1,MATCH(MIN(E27:T27),E27:T27,0)&lt;=calcNumAMBXServersDC1),AND(IF(ISNA(MATCH(TEXT(VALUE(1),"#"),E27:T27,0)),MATCH(1,E27:T27,0),MATCH(TEXT(VALUE(1),"#"),E27:T27,0))&gt;17,MATCH(MIN(E27:T27),E27:T27,0)&gt;17)),GetServer(MATCH(MIN(E27:T27),E27:T27,0)),"FAILED"))</f>
        <v>FAILED</v>
      </c>
      <c r="E27" s="639"/>
      <c r="F27" s="640" t="str">
        <f>"Be sure to execute Set-MailboxServer &lt;Server Name&gt; -MaximumActiveDatabases "&amp;MaxActiveDBsPDC&amp;IF(MaxPreferredActiveDBsPDC&lt;&gt;"", " -MaximumPreferredActiveDatabases " &amp; MaxPreferredActiveDBsPDC,"")&amp;" on all "&amp;IF(SRModel=INDEX(varSRModel,1),"DAG-A Mailbox servers","")&amp;IF(AND(calcNumDBMemSizing&lt;&gt;calcNumDBMemSizingSDC,calcNumDBMemSizingSDC&lt;&gt;strEmpty)," that are located in Datacenter 1 and Set-MailboxServer &lt;Server Name&gt; -MaximumActiveDatabases "&amp;MaxActiveDBsSDC&amp;IF(MaxPreferredActiveDBsSDC&lt;&gt;"", " -MaximumPreferredActiveDatabases " &amp; MaxPreferredActiveDBsSDC,"")&amp;" on all DAG-A Mailbox Servers that are located in Datacenter 2","Mailbox servers within the DAG")&amp;"."</f>
        <v>Be sure to execute Set-MailboxServer &lt;Server Name&gt; -MaximumActiveDatabases 0 on all DAG-A Mailbox serversMailbox servers within the DAG.</v>
      </c>
      <c r="G27" s="640"/>
      <c r="H27" s="640"/>
      <c r="I27" s="639"/>
      <c r="J27" s="617"/>
      <c r="K27" s="617"/>
      <c r="L27" s="617"/>
      <c r="M27" s="375"/>
      <c r="N27" s="375"/>
      <c r="O27" s="375"/>
      <c r="P27" s="375"/>
      <c r="Q27" s="375"/>
      <c r="R27" s="375"/>
      <c r="AN27" s="175"/>
    </row>
    <row r="28" spans="1:40" ht="15" customHeight="1" x14ac:dyDescent="0.35">
      <c r="A28" s="176"/>
      <c r="B28" s="651" t="s">
        <v>631</v>
      </c>
      <c r="C28" s="627">
        <f>IF(AND(HAOption="Yes",SiteResilienceEnabled="Yes",ValidationCheck=FALSE,SRModel&lt;&gt;INDEX(varSRModel,2)),calcNumAMBXServersDC1,strEmpty)</f>
        <v>8</v>
      </c>
      <c r="D28" s="634" t="str">
        <f>IF(OR(DAGQuroumStatus="DAG Quorum Failed",ISNA(MATCH(MIN(E28:T28),E28:T28,0))),"FAILED", IF(OR(IsSecSiteActive(),AND(IF(ISNA(MATCH(TEXT(VALUE(1),"#"),E28:T28,0)),MATCH(1,E28:T28,0),MATCH(TEXT(VALUE(1),"#"),E28:T28,0))&lt;=calcNumAMBXServersDC1,MATCH(MIN(E28:T28),E28:T28,0)&lt;=calcNumAMBXServersDC1),AND(IF(ISNA(MATCH(TEXT(VALUE(1),"#"),E28:T28,0)),MATCH(1,E28:T28,0),MATCH(TEXT(VALUE(1),"#"),E28:T28,0))&gt;17,MATCH(MIN(E28:T28),E28:T28,0)&gt;17)),GetServer(MATCH(MIN(E28:T28),E28:T28,0)),"FAILED"))</f>
        <v>FAILED</v>
      </c>
      <c r="E28" s="639"/>
      <c r="F28" s="640"/>
      <c r="G28" s="640"/>
      <c r="H28" s="640"/>
      <c r="I28" s="639"/>
      <c r="J28" s="617"/>
      <c r="K28" s="617"/>
      <c r="L28" s="617"/>
      <c r="M28" s="375"/>
      <c r="N28" s="375"/>
      <c r="O28" s="375"/>
      <c r="P28" s="375"/>
      <c r="Q28" s="375"/>
      <c r="R28" s="375"/>
      <c r="AN28" s="175"/>
    </row>
    <row r="29" spans="1:40" ht="15" customHeight="1" x14ac:dyDescent="0.35">
      <c r="A29" s="176"/>
      <c r="B29" s="651" t="s">
        <v>667</v>
      </c>
      <c r="C29" s="627">
        <f>IF(AND(HAOption="Yes",SiteResilienceEnabled="Yes",ValidationCheck=FALSE,SRModel&lt;&gt;INDEX(varSRModel,2)),calcNumPMBXServersDC1,strEmpty)</f>
        <v>0</v>
      </c>
      <c r="D29" s="634" t="str">
        <f>IF(OR(DAGQuroumStatus="DAG Quorum Failed",ISNA(MATCH(MIN(E29:T29),E29:T29,0))),"FAILED", IF(OR(IsSecSiteActive(),AND(IF(ISNA(MATCH(TEXT(VALUE(1),"#"),E29:T29,0)),MATCH(1,E29:T29,0),MATCH(TEXT(VALUE(1),"#"),E29:T29,0))&lt;=calcNumAMBXServersDC1,MATCH(MIN(E29:T29),E29:T29,0)&lt;=calcNumAMBXServersDC1),AND(IF(ISNA(MATCH(TEXT(VALUE(1),"#"),E29:T29,0)),MATCH(1,E29:T29,0),MATCH(TEXT(VALUE(1),"#"),E29:T29,0))&gt;17,MATCH(MIN(E29:T29),E29:T29,0)&gt;17)),GetServer(MATCH(MIN(E29:T29),E29:T29,0)),"FAILED"))</f>
        <v>FAILED</v>
      </c>
      <c r="E29" s="639"/>
      <c r="F29" s="640"/>
      <c r="G29" s="640"/>
      <c r="H29" s="640"/>
      <c r="I29" s="639"/>
      <c r="J29" s="617"/>
      <c r="K29" s="617"/>
      <c r="L29" s="617"/>
      <c r="M29" s="375"/>
      <c r="N29" s="375"/>
      <c r="O29" s="375"/>
      <c r="P29" s="375"/>
      <c r="Q29" s="375"/>
      <c r="R29" s="375"/>
      <c r="AN29" s="175"/>
    </row>
    <row r="30" spans="1:40" ht="15" customHeight="1" x14ac:dyDescent="0.35">
      <c r="A30" s="176"/>
      <c r="B30" s="652" t="s">
        <v>666</v>
      </c>
      <c r="C30" s="627">
        <f>IF(AND(HAOption="Yes",SiteResilienceEnabled="Yes",ValidationCheck=FALSE,SRModel&lt;&gt;INDEX(varSRModel,2)),calcNumLagMBXServersPDC,strEmpty)</f>
        <v>0</v>
      </c>
      <c r="D30" s="634" t="str">
        <f>IF(OR(DAGQuroumStatus="DAG Quorum Failed",ISNA(MATCH(MIN(E30:T30),E30:T30,0))),"FAILED", IF(OR(IsSecSiteActive(),AND(IF(ISNA(MATCH(TEXT(VALUE(1),"#"),E30:T30,0)),MATCH(1,E30:T30,0),MATCH(TEXT(VALUE(1),"#"),E30:T30,0))&lt;=calcNumAMBXServersDC1,MATCH(MIN(E30:T30),E30:T30,0)&lt;=calcNumAMBXServersDC1),AND(IF(ISNA(MATCH(TEXT(VALUE(1),"#"),E30:T30,0)),MATCH(1,E30:T30,0),MATCH(TEXT(VALUE(1),"#"),E30:T30,0))&gt;17,MATCH(MIN(E30:T30),E30:T30,0)&gt;17)),GetServer(MATCH(MIN(E30:T30),E30:T30,0)),"FAILED"))</f>
        <v>FAILED</v>
      </c>
      <c r="E30" s="639"/>
      <c r="F30" s="640"/>
      <c r="G30" s="640"/>
      <c r="H30" s="640"/>
      <c r="I30" s="639"/>
      <c r="J30" s="617"/>
      <c r="K30" s="617"/>
      <c r="L30" s="617"/>
      <c r="M30" s="375"/>
      <c r="N30" s="375"/>
      <c r="O30" s="375"/>
      <c r="P30" s="375"/>
      <c r="Q30" s="375"/>
      <c r="R30" s="375"/>
      <c r="AN30" s="175"/>
    </row>
    <row r="31" spans="1:40" ht="15" customHeight="1" x14ac:dyDescent="0.35">
      <c r="A31" s="176"/>
      <c r="B31" s="651"/>
      <c r="C31" s="627"/>
      <c r="D31" s="634" t="str">
        <f>IF(OR(DAGQuroumStatus="DAG Quorum Failed",ISNA(MATCH(MIN(E31:T31),E31:T31,0))),"FAILED", IF(OR(IsSecSiteActive(),AND(IF(ISNA(MATCH(TEXT(VALUE(1),"#"),E31:T31,0)),MATCH(1,E31:T31,0),MATCH(TEXT(VALUE(1),"#"),E31:T31,0))&lt;=calcNumAMBXServersDC1,MATCH(MIN(E31:T31),E31:T31,0)&lt;=calcNumAMBXServersDC1),AND(IF(ISNA(MATCH(TEXT(VALUE(1),"#"),E31:T31,0)),MATCH(1,E31:T31,0),MATCH(TEXT(VALUE(1),"#"),E31:T31,0))&gt;17,MATCH(MIN(E31:T31),E31:T31,0)&gt;17)),GetServer(MATCH(MIN(E31:T31),E31:T31,0)),"FAILED"))</f>
        <v>FAILED</v>
      </c>
      <c r="E31" s="639"/>
      <c r="F31" s="639"/>
      <c r="G31" s="639"/>
      <c r="H31" s="639"/>
      <c r="I31" s="639"/>
      <c r="J31" s="617"/>
      <c r="K31" s="617"/>
      <c r="L31" s="617"/>
      <c r="AN31" s="175"/>
    </row>
    <row r="32" spans="1:40" ht="15" customHeight="1" x14ac:dyDescent="0.35">
      <c r="A32" s="176"/>
      <c r="B32" s="650" t="str">
        <f>IF(AND(HAOption="Yes",SiteResilienceEnabled="Yes",SRModel=INDEX(varSRModel,1)),"DAG-A Active Database Configuration / DAG","DAG Active Database Configuration / DAG")</f>
        <v>DAG-A Active Database Configuration / DAG</v>
      </c>
      <c r="C32" s="628" t="s">
        <v>643</v>
      </c>
      <c r="D32" s="633" t="str">
        <f>IF(OR(DAGQuroumStatus="DAG Quorum Failed",ISNA(MATCH(MIN(E32:T32),E32:T32,0))),"FAILED", IF(OR(IsSecSiteActive(),AND(IF(ISNA(MATCH(TEXT(VALUE(1),"#"),E32:T32,0)),MATCH(1,E32:T32,0),MATCH(TEXT(VALUE(1),"#"),E32:T32,0))&lt;=calcNumAMBXServersDC1,MATCH(MIN(E32:T32),E32:T32,0)&lt;=calcNumAMBXServersDC1),AND(IF(ISNA(MATCH(TEXT(VALUE(1),"#"),E32:T32,0)),MATCH(1,E32:T32,0),MATCH(TEXT(VALUE(1),"#"),E32:T32,0))&gt;17,MATCH(MIN(E32:T32),E32:T32,0)&gt;17)),GetServer(MATCH(MIN(E32:T32),E32:T32,0)),"FAILED"))</f>
        <v>FAILED</v>
      </c>
      <c r="E32" s="641" t="s">
        <v>642</v>
      </c>
      <c r="F32" s="641" t="s">
        <v>640</v>
      </c>
      <c r="G32" s="641" t="s">
        <v>641</v>
      </c>
      <c r="H32" s="642"/>
      <c r="I32" s="639"/>
      <c r="J32" s="617"/>
      <c r="K32" s="617"/>
      <c r="L32" s="617"/>
      <c r="M32" s="553"/>
      <c r="N32" s="553"/>
      <c r="O32" s="553"/>
      <c r="P32" s="553"/>
      <c r="Q32" s="553"/>
      <c r="R32" s="553"/>
      <c r="AN32" s="175"/>
    </row>
    <row r="33" spans="1:40" ht="15" customHeight="1" x14ac:dyDescent="0.35">
      <c r="A33" s="176"/>
      <c r="B33" s="653" t="s">
        <v>517</v>
      </c>
      <c r="C33" s="629">
        <f>IF(AND(HAOption="Yes",SiteResilienceEnabled="Yes",ValidationCheck=FALSE,SRModel&lt;&gt;INDEX(varSRModel,2)),calcNumActiveDBs,strEmpty)</f>
        <v>0</v>
      </c>
      <c r="D33" s="635" t="e">
        <f>IF(OR(DAGQuroumStatus="DAG Quorum Failed",ISNA(MATCH(MIN(E33:T33),E33:T33,0))),"FAILED", IF(OR(IsSecSiteActive(),AND(IF(ISNA(MATCH(TEXT(VALUE(1),"#"),E33:T33,0)),MATCH(1,E33:T33,0),MATCH(TEXT(VALUE(1),"#"),E33:T33,0))&lt;=calcNumAMBXServersDC1,MATCH(MIN(E33:T33),E33:T33,0)&lt;=calcNumAMBXServersDC1),AND(IF(ISNA(MATCH(TEXT(VALUE(1),"#"),E33:T33,0)),MATCH(1,E33:T33,0),MATCH(TEXT(VALUE(1),"#"),E33:T33,0))&gt;17,MATCH(MIN(E33:T33),E33:T33,0)&gt;17)),GetServer(MATCH(MIN(E33:T33),E33:T33,0)),"FAILED"))</f>
        <v>#N/A</v>
      </c>
      <c r="E33" s="643">
        <f>IF(AND(HAOption="Yes",SiteResilienceEnabled="Yes",ValidationCheck=FALSE,SRModel&lt;&gt;INDEX(varSRModel,2)),MBXPerDB*calcNumActiveDBs,strEmpty)</f>
        <v>0</v>
      </c>
      <c r="F33" s="644">
        <f>IF(AND(HAOption="Yes",SiteResilienceEnabled="Yes",ValidationCheck=FALSE,SRModel&lt;&gt;INDEX(varSRModel,2)),RecNumDBsDC1,strEmpty)</f>
        <v>0</v>
      </c>
      <c r="G33" s="645" t="str">
        <f>strEmpty</f>
        <v>--</v>
      </c>
      <c r="H33" s="645"/>
      <c r="I33" s="639"/>
      <c r="J33" s="617"/>
      <c r="K33" s="617"/>
      <c r="L33" s="617"/>
      <c r="M33" s="553"/>
      <c r="N33" s="553"/>
      <c r="O33" s="553"/>
      <c r="P33" s="553"/>
      <c r="Q33" s="553"/>
      <c r="R33" s="553"/>
      <c r="AN33" s="175"/>
    </row>
    <row r="34" spans="1:40" ht="15" customHeight="1" x14ac:dyDescent="0.35">
      <c r="A34" s="176"/>
      <c r="B34" s="653" t="s">
        <v>582</v>
      </c>
      <c r="C34" s="629">
        <f>IF(AND(HAOption="Yes",SiteResilienceEnabled="Yes",ValidationCheck=FALSE,SRModel&lt;&gt;INDEX(varSRModel,2)),calcNumActiveDBsFF,strEmpty)</f>
        <v>0</v>
      </c>
      <c r="D34" s="635" t="e">
        <f>IF(OR(DAGQuroumStatus="DAG Quorum Failed",ISNA(MATCH(MIN(E34:T34),E34:T34,0))),"FAILED", IF(OR(IsSecSiteActive(),AND(IF(ISNA(MATCH(TEXT(VALUE(1),"#"),E34:T34,0)),MATCH(1,E34:T34,0),MATCH(TEXT(VALUE(1),"#"),E34:T34,0))&lt;=calcNumAMBXServersDC1,MATCH(MIN(E34:T34),E34:T34,0)&lt;=calcNumAMBXServersDC1),AND(IF(ISNA(MATCH(TEXT(VALUE(1),"#"),E34:T34,0)),MATCH(1,E34:T34,0),MATCH(TEXT(VALUE(1),"#"),E34:T34,0))&gt;17,MATCH(MIN(E34:T34),E34:T34,0)&gt;17)),GetServer(MATCH(MIN(E34:T34),E34:T34,0)),"FAILED"))</f>
        <v>#N/A</v>
      </c>
      <c r="E34" s="643">
        <f>IF(AND(HAOption="Yes",SiteResilienceEnabled="Yes",ValidationCheck=FALSE,SRModel&lt;&gt;INDEX(varSRModel,2)),IF(calcNumActiveDBsFF&lt;&gt;strEmpty,MBXPerDB*calcNumActiveDBsFF,strEmpty),strEmpty)</f>
        <v>0</v>
      </c>
      <c r="F34" s="644">
        <f>IF(AND(HAOption="Yes",SiteResilienceEnabled="Yes",ValidationCheck=FALSE,SRModel&lt;&gt;INDEX(varSRModel,2)),IF(calcNumActiveDBsFF=strEmpty,strEmpty,IF(calcTotActiveDBsPDCFFinPDC=strEmpty,RecNumDBsDC1,calcTotActiveDBsPDCFFinPDC)),strEmpty)</f>
        <v>0</v>
      </c>
      <c r="G34" s="644">
        <f>IF(AND(HAOption="Yes",SiteResilienceEnabled="Yes",ValidationCheck=FALSE,SRModel&lt;&gt;INDEX(varSRModel,2)),IF(calcTotActiveDBsPDCFFinSDC=strEmpty,strEmpty,calcTotActiveDBsPDCFFinSDC),strEmpty)</f>
        <v>0</v>
      </c>
      <c r="H34" s="644"/>
      <c r="I34" s="639"/>
      <c r="J34" s="617"/>
      <c r="K34" s="617"/>
      <c r="L34" s="617"/>
      <c r="M34" s="553"/>
      <c r="N34" s="553"/>
      <c r="O34" s="553"/>
      <c r="P34" s="553"/>
      <c r="Q34" s="553"/>
      <c r="R34" s="553"/>
      <c r="AN34" s="175"/>
    </row>
    <row r="35" spans="1:40" ht="15" customHeight="1" x14ac:dyDescent="0.35">
      <c r="A35" s="176"/>
      <c r="B35" s="651" t="s">
        <v>581</v>
      </c>
      <c r="C35" s="629">
        <f>IF(AND(HAOption="Yes",SiteResilienceEnabled="Yes",ValidationCheck=FALSE,SRModel&lt;&gt;INDEX(varSRModel,2)),calcNumActiveDBsSF,strEmpty)</f>
        <v>0</v>
      </c>
      <c r="D35" s="636" t="e">
        <f>IF(OR(DAGQuroumStatus="DAG Quorum Failed",ISNA(MATCH(MIN(E35:T35),E35:T35,0))),"FAILED", IF(OR(IsSecSiteActive(),AND(IF(ISNA(MATCH(TEXT(VALUE(1),"#"),E35:T35,0)),MATCH(1,E35:T35,0),MATCH(TEXT(VALUE(1),"#"),E35:T35,0))&lt;=calcNumAMBXServersDC1,MATCH(MIN(E35:T35),E35:T35,0)&lt;=calcNumAMBXServersDC1),AND(IF(ISNA(MATCH(TEXT(VALUE(1),"#"),E35:T35,0)),MATCH(1,E35:T35,0),MATCH(TEXT(VALUE(1),"#"),E35:T35,0))&gt;17,MATCH(MIN(E35:T35),E35:T35,0)&gt;17)),GetServer(MATCH(MIN(E35:T35),E35:T35,0)),"FAILED"))</f>
        <v>#N/A</v>
      </c>
      <c r="E35" s="643">
        <f>IF(AND(HAOption="Yes",SiteResilienceEnabled="Yes",ValidationCheck=FALSE,SRModel&lt;&gt;INDEX(varSRModel,2)),IF(calcNumActiveDBsSF&lt;&gt;strEmpty,MBXPerDB*calcNumActiveDBsSF,strEmpty),strEmpty)</f>
        <v>0</v>
      </c>
      <c r="F35" s="644">
        <f>IF(AND(HAOption="Yes",SiteResilienceEnabled="Yes",ValidationCheck=FALSE,SRModel&lt;&gt;INDEX(varSRModel,2)),IF(calcNumActiveDBsSF=strEmpty,strEmpty,IF(calcTotActiveDBsPDCSFinPDC=strEmpty,RecNumDBsDC1,calcTotActiveDBsPDCSFinPDC)),strEmpty)</f>
        <v>0</v>
      </c>
      <c r="G35" s="644">
        <f>IF(AND(HAOption="Yes",SiteResilienceEnabled="Yes",ValidationCheck=FALSE,SRModel&lt;&gt;INDEX(varSRModel,2)),IF(calcTotActiveDBsPDCSFinSDC=strEmpty,strEmpty,calcTotActiveDBsPDCSFinSDC),strEmpty)</f>
        <v>0</v>
      </c>
      <c r="H35" s="644"/>
      <c r="I35" s="639"/>
      <c r="J35" s="617"/>
      <c r="K35" s="617"/>
      <c r="L35" s="617"/>
      <c r="M35" s="553"/>
      <c r="N35" s="553"/>
      <c r="O35" s="553"/>
      <c r="P35" s="553"/>
      <c r="Q35" s="553"/>
      <c r="R35" s="553"/>
      <c r="AN35" s="175"/>
    </row>
    <row r="36" spans="1:40" ht="15" customHeight="1" x14ac:dyDescent="0.35">
      <c r="A36" s="176"/>
      <c r="B36" s="651"/>
      <c r="C36" s="627"/>
      <c r="D36" s="637" t="str">
        <f>IF(OR(DAGQuroumStatus="DAG Quorum Failed",ISNA(MATCH(MIN(E36:T36),E36:T36,0))),"FAILED", IF(OR(IsSecSiteActive(),AND(IF(ISNA(MATCH(TEXT(VALUE(1),"#"),E36:T36,0)),MATCH(1,E36:T36,0),MATCH(TEXT(VALUE(1),"#"),E36:T36,0))&lt;=calcNumAMBXServersDC1,MATCH(MIN(E36:T36),E36:T36,0)&lt;=calcNumAMBXServersDC1),AND(IF(ISNA(MATCH(TEXT(VALUE(1),"#"),E36:T36,0)),MATCH(1,E36:T36,0),MATCH(TEXT(VALUE(1),"#"),E36:T36,0))&gt;17,MATCH(MIN(E36:T36),E36:T36,0)&gt;17)),GetServer(MATCH(MIN(E36:T36),E36:T36,0)),"FAILED"))</f>
        <v>FAILED</v>
      </c>
      <c r="E36" s="642"/>
      <c r="F36" s="643"/>
      <c r="G36" s="643"/>
      <c r="H36" s="646"/>
      <c r="I36" s="639"/>
      <c r="J36" s="617"/>
      <c r="K36" s="617"/>
      <c r="L36" s="617"/>
      <c r="M36" s="553"/>
      <c r="N36" s="553"/>
      <c r="O36" s="553"/>
      <c r="P36" s="553"/>
      <c r="Q36" s="553"/>
      <c r="R36" s="553"/>
      <c r="AN36" s="175"/>
    </row>
    <row r="37" spans="1:40" ht="15" customHeight="1" x14ac:dyDescent="0.35">
      <c r="A37" s="176"/>
      <c r="B37" s="650" t="str">
        <f>IF(AND(HAOption="Yes",SiteResilienceEnabled="Yes",SRModel=INDEX(varSRModel,1)),"DAG-A Active Database Activation Configuration (DC1 Site Failure) / DAG","Active Database Activation Configuration (DC1 Site Failure) / DAG")</f>
        <v>DAG-A Active Database Activation Configuration (DC1 Site Failure) / DAG</v>
      </c>
      <c r="C37" s="628" t="str">
        <f>IF(AND(SRModel=INDEX(varSRModel,1),calcSRAASDDRServers="No"),"/ Datacenter 2 Active Server","/ Datacenter 2 DR Server")</f>
        <v>/ Datacenter 2 Active Server</v>
      </c>
      <c r="D37" s="633" t="str">
        <f>IF(OR(DAGQuroumStatus="DAG Quorum Failed",ISNA(MATCH(MIN(E37:T37),E37:T37,0))),"FAILED", IF(OR(IsSecSiteActive(),AND(IF(ISNA(MATCH(TEXT(VALUE(1),"#"),E37:T37,0)),MATCH(1,E37:T37,0),MATCH(TEXT(VALUE(1),"#"),E37:T37,0))&lt;=calcNumAMBXServersDC1,MATCH(MIN(E37:T37),E37:T37,0)&lt;=calcNumAMBXServersDC1),AND(IF(ISNA(MATCH(TEXT(VALUE(1),"#"),E37:T37,0)),MATCH(1,E37:T37,0),MATCH(TEXT(VALUE(1),"#"),E37:T37,0))&gt;17,MATCH(MIN(E37:T37),E37:T37,0)&gt;17)),GetServer(MATCH(MIN(E37:T37),E37:T37,0)),"FAILED"))</f>
        <v>FAILED</v>
      </c>
      <c r="E37" s="641" t="s">
        <v>641</v>
      </c>
      <c r="F37" s="641" t="s">
        <v>647</v>
      </c>
      <c r="G37" s="639"/>
      <c r="H37" s="639"/>
      <c r="I37" s="639"/>
      <c r="J37" s="617"/>
      <c r="K37" s="617"/>
      <c r="L37" s="617"/>
      <c r="AN37" s="175"/>
    </row>
    <row r="38" spans="1:40" ht="15" customHeight="1" x14ac:dyDescent="0.35">
      <c r="A38" s="176"/>
      <c r="B38" s="653" t="s">
        <v>663</v>
      </c>
      <c r="C38" s="629">
        <f>IF(AND(HAOption="Yes",SiteResilienceEnabled="Yes",ValidationCheck=FALSE,SRModel&lt;&gt;INDEX(varSRModel,2)),calcNumActiveDBsSiteF,strEmpty)</f>
        <v>0</v>
      </c>
      <c r="D38" s="637" t="e">
        <f>IF(OR(DAGQuroumStatus="DAG Quorum Failed",ISNA(MATCH(MIN(E38:T38),E38:T38,0))),"FAILED", IF(OR(IsSecSiteActive(),AND(IF(ISNA(MATCH(TEXT(VALUE(1),"#"),E38:T38,0)),MATCH(1,E38:T38,0),MATCH(TEXT(VALUE(1),"#"),E38:T38,0))&lt;=calcNumAMBXServersDC1,MATCH(MIN(E38:T38),E38:T38,0)&lt;=calcNumAMBXServersDC1),AND(IF(ISNA(MATCH(TEXT(VALUE(1),"#"),E38:T38,0)),MATCH(1,E38:T38,0),MATCH(TEXT(VALUE(1),"#"),E38:T38,0))&gt;17,MATCH(MIN(E38:T38),E38:T38,0)&gt;17)),GetServer(MATCH(MIN(E38:T38),E38:T38,0)),"FAILED"))</f>
        <v>#N/A</v>
      </c>
      <c r="E38" s="642">
        <f>IF(AND(HAOption="Yes",SiteResilienceEnabled="Yes",ValidationCheck=FALSE,SRModel&lt;&gt;INDEX(varSRModel,2)),IF(Table242140799597[[#This Row],[/ Datacenter 2 DR Server]]&lt;&gt;strEmpty,RecNumDBs,strEmpty),strEmpty)</f>
        <v>0</v>
      </c>
      <c r="F38" s="643">
        <f>IF(AND(HAOption="Yes",SiteResilienceEnabled="Yes",ValidationCheck=FALSE,SRModel&lt;&gt;INDEX(varSRModel,2)),IF(Table242140799597[[#This Row],[/ Datacenter 2 DR Server]]&lt;&gt;strEmpty,TotMBXPerDAG,strEmpty),strEmpty)</f>
        <v>0</v>
      </c>
      <c r="G38" s="639"/>
      <c r="H38" s="639"/>
      <c r="I38" s="639"/>
      <c r="J38" s="617"/>
      <c r="K38" s="617"/>
      <c r="L38" s="617"/>
      <c r="AN38" s="175"/>
    </row>
    <row r="39" spans="1:40" ht="15" customHeight="1" x14ac:dyDescent="0.35">
      <c r="A39" s="176"/>
      <c r="B39" s="653" t="s">
        <v>601</v>
      </c>
      <c r="C39" s="629">
        <f>IF(AND(HAOption="Yes",SiteResilienceEnabled="Yes",ValidationCheck=FALSE,SRModel&lt;&gt;INDEX(varSRModel,2)),calcNumActiveDBsSiteF1F,strEmpty)</f>
        <v>0</v>
      </c>
      <c r="D39" s="637" t="e">
        <f>IF(OR(DAGQuroumStatus="DAG Quorum Failed",ISNA(MATCH(MIN(E39:T39),E39:T39,0))),"FAILED", IF(OR(IsSecSiteActive(),AND(IF(ISNA(MATCH(TEXT(VALUE(1),"#"),E39:T39,0)),MATCH(1,E39:T39,0),MATCH(TEXT(VALUE(1),"#"),E39:T39,0))&lt;=calcNumAMBXServersDC1,MATCH(MIN(E39:T39),E39:T39,0)&lt;=calcNumAMBXServersDC1),AND(IF(ISNA(MATCH(TEXT(VALUE(1),"#"),E39:T39,0)),MATCH(1,E39:T39,0),MATCH(TEXT(VALUE(1),"#"),E39:T39,0))&gt;17,MATCH(MIN(E39:T39),E39:T39,0)&gt;17)),GetServer(MATCH(MIN(E39:T39),E39:T39,0)),"FAILED"))</f>
        <v>#N/A</v>
      </c>
      <c r="E39" s="642">
        <f>IF(AND(HAOption="Yes",SiteResilienceEnabled="Yes",ValidationCheck=FALSE,SRModel&lt;&gt;INDEX(varSRModel,2)),IF(Table242140799597[[#This Row],[/ Datacenter 2 DR Server]]&lt;&gt;strEmpty,RecNumDBs,strEmpty),strEmpty)</f>
        <v>0</v>
      </c>
      <c r="F39" s="643">
        <f>IF(AND(HAOption="Yes",SiteResilienceEnabled="Yes",ValidationCheck=FALSE,SRModel&lt;&gt;INDEX(varSRModel,2)),IF(Table242140799597[[#This Row],[/ Datacenter 2 DR Server]]&lt;&gt;strEmpty,TotMBXPerDAG,strEmpty),strEmpty)</f>
        <v>0</v>
      </c>
      <c r="G39" s="639"/>
      <c r="H39" s="639"/>
      <c r="I39" s="639"/>
      <c r="J39" s="617"/>
      <c r="K39" s="617"/>
      <c r="L39" s="617"/>
      <c r="AN39" s="175"/>
    </row>
    <row r="40" spans="1:40" ht="15" customHeight="1" x14ac:dyDescent="0.35">
      <c r="A40" s="176"/>
      <c r="B40" s="651" t="s">
        <v>602</v>
      </c>
      <c r="C40" s="629">
        <f>IF(AND(HAOption="Yes",SiteResilienceEnabled="Yes",ValidationCheck=FALSE,SRModel&lt;&gt;INDEX(varSRModel,2)),calcNumActiveDBsSiteF2F,strEmpty)</f>
        <v>0</v>
      </c>
      <c r="D40" s="637" t="e">
        <f>IF(OR(DAGQuroumStatus="DAG Quorum Failed",ISNA(MATCH(MIN(E40:T40),E40:T40,0))),"FAILED", IF(OR(IsSecSiteActive(),AND(IF(ISNA(MATCH(TEXT(VALUE(1),"#"),E40:T40,0)),MATCH(1,E40:T40,0),MATCH(TEXT(VALUE(1),"#"),E40:T40,0))&lt;=calcNumAMBXServersDC1,MATCH(MIN(E40:T40),E40:T40,0)&lt;=calcNumAMBXServersDC1),AND(IF(ISNA(MATCH(TEXT(VALUE(1),"#"),E40:T40,0)),MATCH(1,E40:T40,0),MATCH(TEXT(VALUE(1),"#"),E40:T40,0))&gt;17,MATCH(MIN(E40:T40),E40:T40,0)&gt;17)),GetServer(MATCH(MIN(E40:T40),E40:T40,0)),"FAILED"))</f>
        <v>#N/A</v>
      </c>
      <c r="E40" s="642">
        <f>IF(AND(HAOption="Yes",SiteResilienceEnabled="Yes",ValidationCheck=FALSE,SRModel&lt;&gt;INDEX(varSRModel,2)),IF(Table242140799597[[#This Row],[/ Datacenter 2 DR Server]]&lt;&gt;strEmpty,RecNumDBs,strEmpty),strEmpty)</f>
        <v>0</v>
      </c>
      <c r="F40" s="643">
        <f>IF(AND(HAOption="Yes",SiteResilienceEnabled="Yes",ValidationCheck=FALSE,SRModel&lt;&gt;INDEX(varSRModel,2)),IF(Table242140799597[[#This Row],[/ Datacenter 2 DR Server]]&lt;&gt;strEmpty,TotMBXPerDAG,strEmpty),strEmpty)</f>
        <v>0</v>
      </c>
      <c r="G40" s="639"/>
      <c r="H40" s="639"/>
      <c r="I40" s="639"/>
      <c r="J40" s="617"/>
      <c r="K40" s="617"/>
      <c r="L40" s="617"/>
      <c r="AN40" s="175"/>
    </row>
    <row r="41" spans="1:40" ht="15" customHeight="1" x14ac:dyDescent="0.35">
      <c r="A41" s="176"/>
      <c r="B41" s="651"/>
      <c r="C41" s="627"/>
      <c r="D41" s="634" t="str">
        <f>IF(OR(DAGQuroumStatus="DAG Quorum Failed",ISNA(MATCH(MIN(E41:T41),E41:T41,0))),"FAILED", IF(OR(IsSecSiteActive(),AND(IF(ISNA(MATCH(TEXT(VALUE(1),"#"),E41:T41,0)),MATCH(1,E41:T41,0),MATCH(TEXT(VALUE(1),"#"),E41:T41,0))&lt;=calcNumAMBXServersDC1,MATCH(MIN(E41:T41),E41:T41,0)&lt;=calcNumAMBXServersDC1),AND(IF(ISNA(MATCH(TEXT(VALUE(1),"#"),E41:T41,0)),MATCH(1,E41:T41,0),MATCH(TEXT(VALUE(1),"#"),E41:T41,0))&gt;17,MATCH(MIN(E41:T41),E41:T41,0)&gt;17)),GetServer(MATCH(MIN(E41:T41),E41:T41,0)),"FAILED"))</f>
        <v>FAILED</v>
      </c>
      <c r="E41" s="642"/>
      <c r="F41" s="642"/>
      <c r="G41" s="639"/>
      <c r="H41" s="639"/>
      <c r="I41" s="639"/>
      <c r="J41" s="617"/>
      <c r="K41" s="617"/>
      <c r="L41" s="617"/>
      <c r="AN41" s="175"/>
    </row>
    <row r="42" spans="1:40" ht="15" customHeight="1" x14ac:dyDescent="0.35">
      <c r="A42" s="176"/>
      <c r="B42" s="650" t="str">
        <f>IF(AND(HAOption="Yes",SiteResilienceEnabled="Yes",SRModel=INDEX(varSRModel,1)),"DAG-B Member Layout","DAG Member Layout")</f>
        <v>DAG-B Member Layout</v>
      </c>
      <c r="C42" s="628" t="s">
        <v>661</v>
      </c>
      <c r="D42" s="633" t="str">
        <f>IF(OR(DAGQuroumStatus="DAG Quorum Failed",ISNA(MATCH(MIN(E42:T42),E42:T42,0))),"FAILED", IF(OR(IsSecSiteActive(),AND(IF(ISNA(MATCH(TEXT(VALUE(1),"#"),E42:T42,0)),MATCH(1,E42:T42,0),MATCH(TEXT(VALUE(1),"#"),E42:T42,0))&lt;=calcNumAMBXServersDC1,MATCH(MIN(E42:T42),E42:T42,0)&lt;=calcNumAMBXServersDC1),AND(IF(ISNA(MATCH(TEXT(VALUE(1),"#"),E42:T42,0)),MATCH(1,E42:T42,0),MATCH(TEXT(VALUE(1),"#"),E42:T42,0))&gt;17,MATCH(MIN(E42:T42),E42:T42,0)&gt;17)),GetServer(MATCH(MIN(E42:T42),E42:T42,0)),"FAILED"))</f>
        <v>FAILED</v>
      </c>
      <c r="E42" s="639"/>
      <c r="F42" s="640" t="str">
        <f>"Be sure to execute Set-MailboxServer &lt;Server Name&gt; -MaximumActiveDatabases " &amp; MaxActiveDBsPDC &amp; IF(MaxPreferredActiveDBsPDC&lt;&gt;"", " -MaximumPreferredActiveDatabases " &amp; MaxPreferredActiveDBsPDC,"") &amp; " on all DAG-B Mailbox servers that are located in Datacenter 2 and Set-MailboxServer &lt;Server Name&gt; -MaximumActiveDatabases " &amp; MaxActiveDBsSDC &amp; IF(MaxPreferredActiveDBsSDC&lt;&gt;"", " -MaximumPreferredActiveDatabases " &amp; MaxPreferredActiveDBsSDC,"") &amp; " on all DAG-B Mailbox servers that are located in Datacenter 1."</f>
        <v>Be sure to execute Set-MailboxServer &lt;Server Name&gt; -MaximumActiveDatabases 0 on all DAG-B Mailbox servers that are located in Datacenter 2 and Set-MailboxServer &lt;Server Name&gt; -MaximumActiveDatabases 0 -MaximumPreferredActiveDatabases 0 on all DAG-B Mailbox servers that are located in Datacenter 1.</v>
      </c>
      <c r="G42" s="640"/>
      <c r="H42" s="640"/>
      <c r="I42" s="639"/>
      <c r="J42" s="617"/>
      <c r="K42" s="617"/>
      <c r="L42" s="617"/>
      <c r="AN42" s="175"/>
    </row>
    <row r="43" spans="1:40" ht="15" customHeight="1" x14ac:dyDescent="0.35">
      <c r="A43" s="176"/>
      <c r="B43" s="651" t="s">
        <v>631</v>
      </c>
      <c r="C43" s="627">
        <f>IF(AND(HAOption="Yes",SiteResilienceEnabled="Yes",ValidationCheck=FALSE),IF(SRModel=INDEX(varSRModel,1),calcNumAMBXServersDC1,IF(SRModel=INDEX(varSRModel,1),calcNumAMBXServersDC2,strEmpty)),strEmpty)</f>
        <v>8</v>
      </c>
      <c r="D43" s="634" t="str">
        <f>IF(OR(DAGQuroumStatus="DAG Quorum Failed",ISNA(MATCH(MIN(E43:T43),E43:T43,0))),"FAILED", IF(OR(IsSecSiteActive(),AND(IF(ISNA(MATCH(TEXT(VALUE(1),"#"),E43:T43,0)),MATCH(1,E43:T43,0),MATCH(TEXT(VALUE(1),"#"),E43:T43,0))&lt;=calcNumAMBXServersDC1,MATCH(MIN(E43:T43),E43:T43,0)&lt;=calcNumAMBXServersDC1),AND(IF(ISNA(MATCH(TEXT(VALUE(1),"#"),E43:T43,0)),MATCH(1,E43:T43,0),MATCH(TEXT(VALUE(1),"#"),E43:T43,0))&gt;17,MATCH(MIN(E43:T43),E43:T43,0)&gt;17)),GetServer(MATCH(MIN(E43:T43),E43:T43,0)),"FAILED"))</f>
        <v>FAILED</v>
      </c>
      <c r="E43" s="639"/>
      <c r="F43" s="640"/>
      <c r="G43" s="640"/>
      <c r="H43" s="640"/>
      <c r="I43" s="639"/>
      <c r="J43" s="617"/>
      <c r="K43" s="617"/>
      <c r="L43" s="617"/>
      <c r="AN43" s="175"/>
    </row>
    <row r="44" spans="1:40" ht="15" customHeight="1" x14ac:dyDescent="0.35">
      <c r="A44" s="176"/>
      <c r="B44" s="651" t="s">
        <v>667</v>
      </c>
      <c r="C44" s="627">
        <f>IF(AND(HAOption="Yes",SiteResilienceEnabled="Yes",ValidationCheck=FALSE),IF(SRModel=INDEX(varSRModel,1),calcNumPMBXServersDC1,IF(SRModel=INDEX(varSRModel,1),calcNumPMBXServersDC2,strEmpty)),strEmpty)</f>
        <v>0</v>
      </c>
      <c r="D44" s="634" t="str">
        <f>IF(OR(DAGQuroumStatus="DAG Quorum Failed",ISNA(MATCH(MIN(E44:T44),E44:T44,0))),"FAILED", IF(OR(IsSecSiteActive(),AND(IF(ISNA(MATCH(TEXT(VALUE(1),"#"),E44:T44,0)),MATCH(1,E44:T44,0),MATCH(TEXT(VALUE(1),"#"),E44:T44,0))&lt;=calcNumAMBXServersDC1,MATCH(MIN(E44:T44),E44:T44,0)&lt;=calcNumAMBXServersDC1),AND(IF(ISNA(MATCH(TEXT(VALUE(1),"#"),E44:T44,0)),MATCH(1,E44:T44,0),MATCH(TEXT(VALUE(1),"#"),E44:T44,0))&gt;17,MATCH(MIN(E44:T44),E44:T44,0)&gt;17)),GetServer(MATCH(MIN(E44:T44),E44:T44,0)),"FAILED"))</f>
        <v>FAILED</v>
      </c>
      <c r="E44" s="639"/>
      <c r="F44" s="640"/>
      <c r="G44" s="640"/>
      <c r="H44" s="640"/>
      <c r="I44" s="639"/>
      <c r="J44" s="617"/>
      <c r="K44" s="617"/>
      <c r="L44" s="617"/>
      <c r="AN44" s="175"/>
    </row>
    <row r="45" spans="1:40" ht="15" customHeight="1" x14ac:dyDescent="0.35">
      <c r="A45" s="176"/>
      <c r="B45" s="652" t="s">
        <v>666</v>
      </c>
      <c r="C45" s="627">
        <f>IF(AND(HAOption="Yes",SiteResilienceEnabled="Yes",ValidationCheck=FALSE),IF(SRModel=INDEX(varSRModel,1),calcNumLagMBXServersPDC,IF(SRModel=INDEX(varSRModel,1),calcNumLagMBXServersSDC,strEmpty)),strEmpty)</f>
        <v>0</v>
      </c>
      <c r="D45" s="634" t="str">
        <f>IF(OR(DAGQuroumStatus="DAG Quorum Failed",ISNA(MATCH(MIN(E45:T45),E45:T45,0))),"FAILED", IF(OR(IsSecSiteActive(),AND(IF(ISNA(MATCH(TEXT(VALUE(1),"#"),E45:T45,0)),MATCH(1,E45:T45,0),MATCH(TEXT(VALUE(1),"#"),E45:T45,0))&lt;=calcNumAMBXServersDC1,MATCH(MIN(E45:T45),E45:T45,0)&lt;=calcNumAMBXServersDC1),AND(IF(ISNA(MATCH(TEXT(VALUE(1),"#"),E45:T45,0)),MATCH(1,E45:T45,0),MATCH(TEXT(VALUE(1),"#"),E45:T45,0))&gt;17,MATCH(MIN(E45:T45),E45:T45,0)&gt;17)),GetServer(MATCH(MIN(E45:T45),E45:T45,0)),"FAILED"))</f>
        <v>FAILED</v>
      </c>
      <c r="E45" s="639"/>
      <c r="F45" s="640"/>
      <c r="G45" s="640"/>
      <c r="H45" s="640"/>
      <c r="I45" s="639"/>
      <c r="J45" s="617"/>
      <c r="K45" s="617"/>
      <c r="L45" s="617"/>
      <c r="AN45" s="175"/>
    </row>
    <row r="46" spans="1:40" ht="15" customHeight="1" x14ac:dyDescent="0.35">
      <c r="A46" s="176"/>
      <c r="B46" s="651"/>
      <c r="C46" s="627"/>
      <c r="D46" s="634" t="str">
        <f>IF(OR(DAGQuroumStatus="DAG Quorum Failed",ISNA(MATCH(MIN(E46:T46),E46:T46,0))),"FAILED", IF(OR(IsSecSiteActive(),AND(IF(ISNA(MATCH(TEXT(VALUE(1),"#"),E46:T46,0)),MATCH(1,E46:T46,0),MATCH(TEXT(VALUE(1),"#"),E46:T46,0))&lt;=calcNumAMBXServersDC1,MATCH(MIN(E46:T46),E46:T46,0)&lt;=calcNumAMBXServersDC1),AND(IF(ISNA(MATCH(TEXT(VALUE(1),"#"),E46:T46,0)),MATCH(1,E46:T46,0),MATCH(TEXT(VALUE(1),"#"),E46:T46,0))&gt;17,MATCH(MIN(E46:T46),E46:T46,0)&gt;17)),GetServer(MATCH(MIN(E46:T46),E46:T46,0)),"FAILED"))</f>
        <v>FAILED</v>
      </c>
      <c r="E46" s="639"/>
      <c r="F46" s="639"/>
      <c r="G46" s="639"/>
      <c r="H46" s="639"/>
      <c r="I46" s="639"/>
      <c r="J46" s="617"/>
      <c r="K46" s="617"/>
      <c r="L46" s="617"/>
      <c r="AN46" s="175"/>
    </row>
    <row r="47" spans="1:40" ht="15" customHeight="1" x14ac:dyDescent="0.35">
      <c r="A47" s="176"/>
      <c r="B47" s="650" t="str">
        <f>IF(AND(HAOption="Yes",SiteResilienceEnabled="Yes",SRModel=INDEX(varSRModel,1)),"DAG-B Active Database Configuration / DAG","DAG Active Database Configuration / DAG")</f>
        <v>DAG-B Active Database Configuration / DAG</v>
      </c>
      <c r="C47" s="628" t="s">
        <v>645</v>
      </c>
      <c r="D47" s="633" t="str">
        <f>IF(OR(DAGQuroumStatus="DAG Quorum Failed",ISNA(MATCH(MIN(E47:T47),E47:T47,0))),"FAILED", IF(OR(IsSecSiteActive(),AND(IF(ISNA(MATCH(TEXT(VALUE(1),"#"),E47:T47,0)),MATCH(1,E47:T47,0),MATCH(TEXT(VALUE(1),"#"),E47:T47,0))&lt;=calcNumAMBXServersDC1,MATCH(MIN(E47:T47),E47:T47,0)&lt;=calcNumAMBXServersDC1),AND(IF(ISNA(MATCH(TEXT(VALUE(1),"#"),E47:T47,0)),MATCH(1,E47:T47,0),MATCH(TEXT(VALUE(1),"#"),E47:T47,0))&gt;17,MATCH(MIN(E47:T47),E47:T47,0)&gt;17)),GetServer(MATCH(MIN(E47:T47),E47:T47,0)),"FAILED"))</f>
        <v>FAILED</v>
      </c>
      <c r="E47" s="641" t="s">
        <v>646</v>
      </c>
      <c r="F47" s="641" t="s">
        <v>641</v>
      </c>
      <c r="G47" s="641" t="s">
        <v>640</v>
      </c>
      <c r="H47" s="642"/>
      <c r="I47" s="639"/>
      <c r="J47" s="617"/>
      <c r="K47" s="617"/>
      <c r="L47" s="617"/>
      <c r="AN47" s="175"/>
    </row>
    <row r="48" spans="1:40" ht="15" customHeight="1" x14ac:dyDescent="0.35">
      <c r="A48" s="176"/>
      <c r="B48" s="653" t="s">
        <v>517</v>
      </c>
      <c r="C48" s="629">
        <f>IF(AND(HAOption="Yes",SiteResilienceEnabled="Yes",ValidationCheck=FALSE,SRModel&lt;&gt;INDEX(varSRModel,2)),IF(SRModel=INDEX(varSRModel,1),calcNumActiveDBsDC2,calcNumActiveDBs),strEmpty)</f>
        <v>0</v>
      </c>
      <c r="D48" s="635" t="e">
        <f>IF(OR(DAGQuroumStatus="DAG Quorum Failed",ISNA(MATCH(MIN(E48:T48),E48:T48,0))),"FAILED", IF(OR(IsSecSiteActive(),AND(IF(ISNA(MATCH(TEXT(VALUE(1),"#"),E48:T48,0)),MATCH(1,E48:T48,0),MATCH(TEXT(VALUE(1),"#"),E48:T48,0))&lt;=calcNumAMBXServersDC1,MATCH(MIN(E48:T48),E48:T48,0)&lt;=calcNumAMBXServersDC1),AND(IF(ISNA(MATCH(TEXT(VALUE(1),"#"),E48:T48,0)),MATCH(1,E48:T48,0),MATCH(TEXT(VALUE(1),"#"),E48:T48,0))&gt;17,MATCH(MIN(E48:T48),E48:T48,0)&gt;17)),GetServer(MATCH(MIN(E48:T48),E48:T48,0)),"FAILED"))</f>
        <v>#N/A</v>
      </c>
      <c r="E48" s="643">
        <f>IF(AND(HAOption="Yes",SiteResilienceEnabled="Yes",ValidationCheck=FALSE,SRModel&lt;&gt;INDEX(varSRModel,2)),MBXPerDB*IF(SRModel=INDEX(varSRModel,1),calcNumActiveDBsDC2,calcNumActiveDBs),strEmpty)</f>
        <v>0</v>
      </c>
      <c r="F48" s="644">
        <f>IF(AND(HAOption="Yes",SiteResilienceEnabled="Yes",ValidationCheck=FALSE,SRModel&lt;&gt;INDEX(varSRModel,2)),IF(SRModel=INDEX(varSRModel,1),RecNumDBsDC2,RecNumDBsDC1),strEmpty)</f>
        <v>0</v>
      </c>
      <c r="G48" s="645" t="str">
        <f>strEmpty</f>
        <v>--</v>
      </c>
      <c r="H48" s="645"/>
      <c r="I48" s="639"/>
      <c r="J48" s="617"/>
      <c r="K48" s="617"/>
      <c r="L48" s="617"/>
      <c r="AN48" s="175"/>
    </row>
    <row r="49" spans="1:40" ht="15" customHeight="1" x14ac:dyDescent="0.35">
      <c r="A49" s="176"/>
      <c r="B49" s="653" t="s">
        <v>582</v>
      </c>
      <c r="C49" s="629">
        <f>IF(AND(HAOption="Yes",SiteResilienceEnabled="Yes",ValidationCheck=FALSE,SRModel&lt;&gt;INDEX(varSRModel,2)),IF(SRModel=INDEX(varSRModel,1),calcNumActiveDBsFFDC2,calcNumActiveDBsFF),strEmpty)</f>
        <v>0</v>
      </c>
      <c r="D49" s="635" t="e">
        <f>IF(OR(DAGQuroumStatus="DAG Quorum Failed",ISNA(MATCH(MIN(E49:T49),E49:T49,0))),"FAILED", IF(OR(IsSecSiteActive(),AND(IF(ISNA(MATCH(TEXT(VALUE(1),"#"),E49:T49,0)),MATCH(1,E49:T49,0),MATCH(TEXT(VALUE(1),"#"),E49:T49,0))&lt;=calcNumAMBXServersDC1,MATCH(MIN(E49:T49),E49:T49,0)&lt;=calcNumAMBXServersDC1),AND(IF(ISNA(MATCH(TEXT(VALUE(1),"#"),E49:T49,0)),MATCH(1,E49:T49,0),MATCH(TEXT(VALUE(1),"#"),E49:T49,0))&gt;17,MATCH(MIN(E49:T49),E49:T49,0)&gt;17)),GetServer(MATCH(MIN(E49:T49),E49:T49,0)),"FAILED"))</f>
        <v>#N/A</v>
      </c>
      <c r="E49" s="643">
        <f>IF(AND(HAOption="Yes",SiteResilienceEnabled="Yes",ValidationCheck=FALSE,SRModel&lt;&gt;INDEX(varSRModel,2)),IF(calcNumActiveDBsFF&lt;&gt;strEmpty,MBXPerDB*IF(SRModel=INDEX(varSRModel,1),calcNumActiveDBsFFDC2,calcNumActiveDBsFF),strEmpty),strEmpty)</f>
        <v>0</v>
      </c>
      <c r="F49" s="644">
        <f>IF(AND(HAOption="Yes",SiteResilienceEnabled="Yes",ValidationCheck=FALSE,SRModel&lt;&gt;INDEX(varSRModel,2)),IF(calcNumActiveDBsFF=strEmpty,strEmpty,IF(SRModel=INDEX(varSRModel,1),IF(calcTotActiveDBsPDCFFinPDCDC2=strEmpty,RecNumDBsDC2,calcTotActiveDBsPDCFFinPDCDC2),IF(calcTotActiveDBsPDCFFinPDC=strEmpty,RecNumDBsDC1,calcTotActiveDBsPDCFFinPDC))),strEmpty)</f>
        <v>0</v>
      </c>
      <c r="G49" s="644">
        <f>IF(AND(HAOption="Yes",SiteResilienceEnabled="Yes",ValidationCheck=FALSE,SRModel&lt;&gt;INDEX(varSRModel,2)),IF(SRModel=INDEX(varSRModel,1),IF(calcTotActiveDBsPDCFFinSDCDC2=strEmpty,strEmpty,calcTotActiveDBsPDCFFinSDCDC2),IF(calcTotActiveDBsPDCFFinSDC=strEmpty,strEmpty,calcTotActiveDBsPDCFFinSDC)),strEmpty)</f>
        <v>0</v>
      </c>
      <c r="H49" s="644"/>
      <c r="I49" s="639"/>
      <c r="J49" s="617"/>
      <c r="K49" s="617"/>
      <c r="L49" s="617"/>
      <c r="AN49" s="175"/>
    </row>
    <row r="50" spans="1:40" ht="15" customHeight="1" x14ac:dyDescent="0.35">
      <c r="A50" s="176"/>
      <c r="B50" s="651" t="s">
        <v>581</v>
      </c>
      <c r="C50" s="629">
        <f>IF(AND(HAOption="Yes",SiteResilienceEnabled="Yes",ValidationCheck=FALSE,SRModel&lt;&gt;INDEX(varSRModel,2)),IF(SRModel=INDEX(varSRModel,1),calcNumActiveDBsSFDC2,calcNumActiveDBsSF),strEmpty)</f>
        <v>0</v>
      </c>
      <c r="D50" s="636" t="e">
        <f>IF(OR(DAGQuroumStatus="DAG Quorum Failed",ISNA(MATCH(MIN(E50:T50),E50:T50,0))),"FAILED", IF(OR(IsSecSiteActive(),AND(IF(ISNA(MATCH(TEXT(VALUE(1),"#"),E50:T50,0)),MATCH(1,E50:T50,0),MATCH(TEXT(VALUE(1),"#"),E50:T50,0))&lt;=calcNumAMBXServersDC1,MATCH(MIN(E50:T50),E50:T50,0)&lt;=calcNumAMBXServersDC1),AND(IF(ISNA(MATCH(TEXT(VALUE(1),"#"),E50:T50,0)),MATCH(1,E50:T50,0),MATCH(TEXT(VALUE(1),"#"),E50:T50,0))&gt;17,MATCH(MIN(E50:T50),E50:T50,0)&gt;17)),GetServer(MATCH(MIN(E50:T50),E50:T50,0)),"FAILED"))</f>
        <v>#N/A</v>
      </c>
      <c r="E50" s="643">
        <f>IF(AND(HAOption="Yes",SiteResilienceEnabled="Yes",ValidationCheck=FALSE,SRModel&lt;&gt;INDEX(varSRModel,2)),IF(calcNumActiveDBsSF&lt;&gt;strEmpty,MBXPerDB*IF(SRModel=INDEX(varSRModel,1),calcNumActiveDBsSFDC2,calcNumActiveDBsSF),strEmpty),strEmpty)</f>
        <v>0</v>
      </c>
      <c r="F50" s="644">
        <f>IF(AND(HAOption="Yes",SiteResilienceEnabled="Yes",ValidationCheck=FALSE,SRModel&lt;&gt;INDEX(varSRModel,2)),IF(calcNumActiveDBsSF=strEmpty,strEmpty,IF(SRModel=INDEX(varSRModel,1),IF(calcTotActiveDBsPDCSFinPDCDC2=strEmpty,RecNumDBsDC2,calcTotActiveDBsPDCSFinPDCDC2),IF(calcTotActiveDBsPDCSFinPDC=strEmpty,RecNumDBsDC1,calcTotActiveDBsPDCSFinPDC))),strEmpty)</f>
        <v>0</v>
      </c>
      <c r="G50" s="644">
        <f>IF(AND(HAOption="Yes",SiteResilienceEnabled="Yes",ValidationCheck=FALSE,SRModel&lt;&gt;INDEX(varSRModel,2)),IF(SRModel=INDEX(varSRModel,1),IF(calcTotActiveDBsPDCSFinSDCDC2=strEmpty,strEmpty,calcTotActiveDBsPDCSFinSDCDC2),IF(calcTotActiveDBsPDCSFinSDC=strEmpty,strEmpty,calcTotActiveDBsPDCSFinSDC)),strEmpty)</f>
        <v>0</v>
      </c>
      <c r="H50" s="644"/>
      <c r="I50" s="639"/>
      <c r="J50" s="617"/>
      <c r="K50" s="617"/>
      <c r="L50" s="617"/>
      <c r="AN50" s="175"/>
    </row>
    <row r="51" spans="1:40" ht="15" customHeight="1" x14ac:dyDescent="0.35">
      <c r="A51" s="176"/>
      <c r="B51" s="651"/>
      <c r="C51" s="627"/>
      <c r="D51" s="634" t="str">
        <f>IF(OR(DAGQuroumStatus="DAG Quorum Failed",ISNA(MATCH(MIN(E51:T51),E51:T51,0))),"FAILED", IF(OR(IsSecSiteActive(),AND(IF(ISNA(MATCH(TEXT(VALUE(1),"#"),E51:T51,0)),MATCH(1,E51:T51,0),MATCH(TEXT(VALUE(1),"#"),E51:T51,0))&lt;=calcNumAMBXServersDC1,MATCH(MIN(E51:T51),E51:T51,0)&lt;=calcNumAMBXServersDC1),AND(IF(ISNA(MATCH(TEXT(VALUE(1),"#"),E51:T51,0)),MATCH(1,E51:T51,0),MATCH(TEXT(VALUE(1),"#"),E51:T51,0))&gt;17,MATCH(MIN(E51:T51),E51:T51,0)&gt;17)),GetServer(MATCH(MIN(E51:T51),E51:T51,0)),"FAILED"))</f>
        <v>FAILED</v>
      </c>
      <c r="E51" s="643"/>
      <c r="F51" s="642"/>
      <c r="G51" s="642"/>
      <c r="H51" s="644"/>
      <c r="I51" s="639"/>
      <c r="J51" s="617"/>
      <c r="K51" s="617"/>
      <c r="L51" s="617"/>
      <c r="AN51" s="175"/>
    </row>
    <row r="52" spans="1:40" ht="15" customHeight="1" x14ac:dyDescent="0.35">
      <c r="A52" s="176"/>
      <c r="B52" s="650" t="str">
        <f>IF(AND(HAOption="Yes",SiteResilienceEnabled="Yes",SRModel=INDEX(varSRModel,1)),"DAG-B Active Database Activation Configuration (DC2 Site Failure) / DAG","Active Database Activation Configuration (DC2 Site Failure) / DAG")</f>
        <v>DAG-B Active Database Activation Configuration (DC2 Site Failure) / DAG</v>
      </c>
      <c r="C52" s="628" t="str">
        <f>IF(AND(SRModel=INDEX(varSRModel,1),calcSRAASDDRServers="No"),"/ Datacenter 1 Active Server","/ Datacenter 1 DR Server")</f>
        <v>/ Datacenter 1 Active Server</v>
      </c>
      <c r="D52" s="633" t="str">
        <f>IF(OR(DAGQuroumStatus="DAG Quorum Failed",ISNA(MATCH(MIN(E52:T52),E52:T52,0))),"FAILED", IF(OR(IsSecSiteActive(),AND(IF(ISNA(MATCH(TEXT(VALUE(1),"#"),E52:T52,0)),MATCH(1,E52:T52,0),MATCH(TEXT(VALUE(1),"#"),E52:T52,0))&lt;=calcNumAMBXServersDC1,MATCH(MIN(E52:T52),E52:T52,0)&lt;=calcNumAMBXServersDC1),AND(IF(ISNA(MATCH(TEXT(VALUE(1),"#"),E52:T52,0)),MATCH(1,E52:T52,0),MATCH(TEXT(VALUE(1),"#"),E52:T52,0))&gt;17,MATCH(MIN(E52:T52),E52:T52,0)&gt;17)),GetServer(MATCH(MIN(E52:T52),E52:T52,0)),"FAILED"))</f>
        <v>FAILED</v>
      </c>
      <c r="E52" s="641" t="s">
        <v>640</v>
      </c>
      <c r="F52" s="641" t="s">
        <v>644</v>
      </c>
      <c r="G52" s="639"/>
      <c r="H52" s="639"/>
      <c r="I52" s="639"/>
      <c r="J52" s="617"/>
      <c r="K52" s="617"/>
      <c r="L52" s="617"/>
      <c r="AN52" s="175"/>
    </row>
    <row r="53" spans="1:40" ht="15" customHeight="1" x14ac:dyDescent="0.35">
      <c r="A53" s="176"/>
      <c r="B53" s="653" t="s">
        <v>662</v>
      </c>
      <c r="C53" s="629">
        <f>IF(AND(HAOption="Yes",SiteResilienceEnabled="Yes",ValidationCheck=FALSE,SRModel&lt;&gt;INDEX(varSRModel,2)),calcNumActiveDBsSiteF,strEmpty)</f>
        <v>0</v>
      </c>
      <c r="D53" s="637" t="e">
        <f>IF(OR(DAGQuroumStatus="DAG Quorum Failed",ISNA(MATCH(MIN(E53:T53),E53:T53,0))),"FAILED", IF(OR(IsSecSiteActive(),AND(IF(ISNA(MATCH(TEXT(VALUE(1),"#"),E53:T53,0)),MATCH(1,E53:T53,0),MATCH(TEXT(VALUE(1),"#"),E53:T53,0))&lt;=calcNumAMBXServersDC1,MATCH(MIN(E53:T53),E53:T53,0)&lt;=calcNumAMBXServersDC1),AND(IF(ISNA(MATCH(TEXT(VALUE(1),"#"),E53:T53,0)),MATCH(1,E53:T53,0),MATCH(TEXT(VALUE(1),"#"),E53:T53,0))&gt;17,MATCH(MIN(E53:T53),E53:T53,0)&gt;17)),GetServer(MATCH(MIN(E53:T53),E53:T53,0)),"FAILED"))</f>
        <v>#N/A</v>
      </c>
      <c r="E53" s="642">
        <f>IF(AND(HAOption="Yes",SiteResilienceEnabled="Yes",ValidationCheck=FALSE,SRModel&lt;&gt;INDEX(varSRModel,2)),IF(Table2421407995[[#This Row],[/ Datacenter 1 DR Server]]&lt;&gt;strEmpty,RecNumDBs,strEmpty),strEmpty)</f>
        <v>0</v>
      </c>
      <c r="F53" s="643">
        <f>IF(AND(HAOption="Yes",SiteResilienceEnabled="Yes",ValidationCheck=FALSE,SRModel&lt;&gt;INDEX(varSRModel,2)),IF(Table2421407995[[#This Row],[/ Datacenter 1 DR Server]]&lt;&gt;strEmpty,TotMBXPerDAG,strEmpty),strEmpty)</f>
        <v>0</v>
      </c>
      <c r="G53" s="639"/>
      <c r="H53" s="639"/>
      <c r="I53" s="639"/>
      <c r="J53" s="617"/>
      <c r="K53" s="617"/>
      <c r="L53" s="617"/>
      <c r="AN53" s="175"/>
    </row>
    <row r="54" spans="1:40" ht="15" customHeight="1" x14ac:dyDescent="0.35">
      <c r="A54" s="176"/>
      <c r="B54" s="653" t="s">
        <v>601</v>
      </c>
      <c r="C54" s="629">
        <f>IF(AND(HAOption="Yes",SiteResilienceEnabled="Yes",ValidationCheck=FALSE,SRModel&lt;&gt;INDEX(varSRModel,2)),calcNumActiveDBsSiteF1F,strEmpty)</f>
        <v>0</v>
      </c>
      <c r="D54" s="637" t="e">
        <f>IF(OR(DAGQuroumStatus="DAG Quorum Failed",ISNA(MATCH(MIN(E54:T54),E54:T54,0))),"FAILED", IF(OR(IsSecSiteActive(),AND(IF(ISNA(MATCH(TEXT(VALUE(1),"#"),E54:T54,0)),MATCH(1,E54:T54,0),MATCH(TEXT(VALUE(1),"#"),E54:T54,0))&lt;=calcNumAMBXServersDC1,MATCH(MIN(E54:T54),E54:T54,0)&lt;=calcNumAMBXServersDC1),AND(IF(ISNA(MATCH(TEXT(VALUE(1),"#"),E54:T54,0)),MATCH(1,E54:T54,0),MATCH(TEXT(VALUE(1),"#"),E54:T54,0))&gt;17,MATCH(MIN(E54:T54),E54:T54,0)&gt;17)),GetServer(MATCH(MIN(E54:T54),E54:T54,0)),"FAILED"))</f>
        <v>#N/A</v>
      </c>
      <c r="E54" s="642">
        <f>IF(AND(HAOption="Yes",SiteResilienceEnabled="Yes",ValidationCheck=FALSE,SRModel&lt;&gt;INDEX(varSRModel,2)),IF(Table2421407995[[#This Row],[/ Datacenter 1 DR Server]]&lt;&gt;strEmpty,RecNumDBs,strEmpty),strEmpty)</f>
        <v>0</v>
      </c>
      <c r="F54" s="643">
        <f>IF(AND(HAOption="Yes",SiteResilienceEnabled="Yes",ValidationCheck=FALSE,SRModel&lt;&gt;INDEX(varSRModel,2)),IF(Table2421407995[[#This Row],[/ Datacenter 1 DR Server]]&lt;&gt;strEmpty,TotMBXPerDAG,strEmpty),strEmpty)</f>
        <v>0</v>
      </c>
      <c r="G54" s="639"/>
      <c r="H54" s="639"/>
      <c r="I54" s="639"/>
      <c r="J54" s="617"/>
      <c r="K54" s="617"/>
      <c r="L54" s="617"/>
      <c r="AN54" s="175"/>
    </row>
    <row r="55" spans="1:40" ht="15" customHeight="1" x14ac:dyDescent="0.35">
      <c r="A55" s="176"/>
      <c r="B55" s="651" t="s">
        <v>602</v>
      </c>
      <c r="C55" s="629">
        <f>IF(AND(HAOption="Yes",SiteResilienceEnabled="Yes",ValidationCheck=FALSE,SRModel&lt;&gt;INDEX(varSRModel,2)),calcNumActiveDBsSiteF2F,strEmpty)</f>
        <v>0</v>
      </c>
      <c r="D55" s="637" t="e">
        <f>IF(OR(DAGQuroumStatus="DAG Quorum Failed",ISNA(MATCH(MIN(E55:T55),E55:T55,0))),"FAILED", IF(OR(IsSecSiteActive(),AND(IF(ISNA(MATCH(TEXT(VALUE(1),"#"),E55:T55,0)),MATCH(1,E55:T55,0),MATCH(TEXT(VALUE(1),"#"),E55:T55,0))&lt;=calcNumAMBXServersDC1,MATCH(MIN(E55:T55),E55:T55,0)&lt;=calcNumAMBXServersDC1),AND(IF(ISNA(MATCH(TEXT(VALUE(1),"#"),E55:T55,0)),MATCH(1,E55:T55,0),MATCH(TEXT(VALUE(1),"#"),E55:T55,0))&gt;17,MATCH(MIN(E55:T55),E55:T55,0)&gt;17)),GetServer(MATCH(MIN(E55:T55),E55:T55,0)),"FAILED"))</f>
        <v>#N/A</v>
      </c>
      <c r="E55" s="642">
        <f>IF(AND(HAOption="Yes",SiteResilienceEnabled="Yes",ValidationCheck=FALSE,SRModel&lt;&gt;INDEX(varSRModel,2)),IF(Table2421407995[[#This Row],[/ Datacenter 1 DR Server]]&lt;&gt;strEmpty,RecNumDBs,strEmpty),strEmpty)</f>
        <v>0</v>
      </c>
      <c r="F55" s="643">
        <f>IF(AND(HAOption="Yes",SiteResilienceEnabled="Yes",ValidationCheck=FALSE,SRModel&lt;&gt;INDEX(varSRModel,2)),IF(Table2421407995[[#This Row],[/ Datacenter 1 DR Server]]&lt;&gt;strEmpty,TotMBXPerDAG,strEmpty),strEmpty)</f>
        <v>0</v>
      </c>
      <c r="G55" s="639"/>
      <c r="H55" s="639"/>
      <c r="I55" s="639"/>
      <c r="J55" s="617"/>
      <c r="K55" s="617"/>
      <c r="L55" s="617"/>
      <c r="AN55" s="175"/>
    </row>
    <row r="56" spans="1:40" ht="15" customHeight="1" x14ac:dyDescent="0.35">
      <c r="A56" s="176"/>
      <c r="B56" s="651"/>
      <c r="C56" s="627"/>
      <c r="D56" s="634" t="str">
        <f>IF(OR(DAGQuroumStatus="DAG Quorum Failed",ISNA(MATCH(MIN(E56:T56),E56:T56,0))),"FAILED", IF(OR(IsSecSiteActive(),AND(IF(ISNA(MATCH(TEXT(VALUE(1),"#"),E56:T56,0)),MATCH(1,E56:T56,0),MATCH(TEXT(VALUE(1),"#"),E56:T56,0))&lt;=calcNumAMBXServersDC1,MATCH(MIN(E56:T56),E56:T56,0)&lt;=calcNumAMBXServersDC1),AND(IF(ISNA(MATCH(TEXT(VALUE(1),"#"),E56:T56,0)),MATCH(1,E56:T56,0),MATCH(TEXT(VALUE(1),"#"),E56:T56,0))&gt;17,MATCH(MIN(E56:T56),E56:T56,0)&gt;17)),GetServer(MATCH(MIN(E56:T56),E56:T56,0)),"FAILED"))</f>
        <v>FAILED</v>
      </c>
      <c r="E56" s="642"/>
      <c r="F56" s="642"/>
      <c r="G56" s="639"/>
      <c r="H56" s="639"/>
      <c r="I56" s="639"/>
      <c r="J56" s="617"/>
      <c r="K56" s="617"/>
      <c r="L56" s="617"/>
      <c r="AN56" s="175"/>
    </row>
    <row r="57" spans="1:40" ht="15" customHeight="1" thickBot="1" x14ac:dyDescent="0.35">
      <c r="B57" s="654"/>
      <c r="C57" s="618"/>
      <c r="D57" s="618"/>
      <c r="E57" s="618"/>
      <c r="F57" s="618"/>
      <c r="G57" s="618"/>
      <c r="H57" s="618"/>
      <c r="I57" s="618"/>
      <c r="J57" s="618"/>
      <c r="K57" s="618"/>
      <c r="L57" s="618"/>
      <c r="M57" s="618"/>
      <c r="N57" s="618"/>
      <c r="O57" s="618"/>
      <c r="P57" s="618"/>
      <c r="Q57" s="618"/>
      <c r="R57" s="618"/>
      <c r="S57" s="618"/>
      <c r="T57" s="618"/>
      <c r="U57" s="618"/>
      <c r="V57" s="618"/>
      <c r="W57" s="618"/>
      <c r="X57" s="618"/>
      <c r="Y57" s="618"/>
      <c r="Z57" s="618"/>
      <c r="AA57" s="618"/>
      <c r="AB57" s="618"/>
      <c r="AC57" s="618"/>
      <c r="AD57" s="618"/>
      <c r="AE57" s="618"/>
      <c r="AF57" s="618"/>
      <c r="AG57" s="618"/>
      <c r="AH57" s="618"/>
      <c r="AI57" s="618"/>
      <c r="AJ57" s="618"/>
      <c r="AK57" s="618"/>
      <c r="AL57" s="618"/>
      <c r="AM57" s="479"/>
    </row>
    <row r="61" spans="1:40" ht="15" customHeight="1" x14ac:dyDescent="0.3">
      <c r="B61" s="375"/>
    </row>
  </sheetData>
  <dataConsolidate/>
  <mergeCells count="6">
    <mergeCell ref="F20:H23"/>
    <mergeCell ref="F9:H12"/>
    <mergeCell ref="B1:I1"/>
    <mergeCell ref="B4:I4"/>
    <mergeCell ref="B7:I7"/>
    <mergeCell ref="B2:I2"/>
  </mergeCells>
  <conditionalFormatting sqref="F9:H12">
    <cfRule type="expression" dxfId="682" priority="4">
      <formula>IF(OR(AND(HAOption="Yes",SiteResilienceEnabled="No",ValidationCheck=FALSE),AND(HAOption="Yes",SiteResilienceEnabled="Yes",SRModel="Active/Passive",ValidationCheck=FALSE)),TRUE,FALSE)</formula>
    </cfRule>
  </conditionalFormatting>
  <conditionalFormatting sqref="F27:H30">
    <cfRule type="expression" dxfId="681" priority="3">
      <formula>IF(AND(HAOption="Yes",ValidationCheck=FALSE,SiteResilienceEnabled="Yes",SRModel&lt;&gt;"Active/Passive"),TRUE,FALSE)</formula>
    </cfRule>
  </conditionalFormatting>
  <conditionalFormatting sqref="F20:H23">
    <cfRule type="expression" dxfId="680"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2:H45">
    <cfRule type="expression" dxfId="679"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R416"/>
  <sheetViews>
    <sheetView showGridLines="0" showRowColHeaders="0" zoomScale="85" zoomScaleNormal="85" workbookViewId="0"/>
  </sheetViews>
  <sheetFormatPr defaultColWidth="9" defaultRowHeight="13" x14ac:dyDescent="0.3"/>
  <cols>
    <col min="1" max="1" width="3.3984375" style="913" customWidth="1"/>
    <col min="2" max="2" width="5.69921875" style="913" customWidth="1"/>
    <col min="3" max="3" width="11.69921875" style="913" customWidth="1"/>
    <col min="4" max="4" width="13.69921875" style="913" customWidth="1"/>
    <col min="5" max="39" width="4.3984375" style="913" customWidth="1"/>
    <col min="40" max="16384" width="9" style="913"/>
  </cols>
  <sheetData>
    <row r="1" spans="1:40" ht="15" thickBot="1" x14ac:dyDescent="0.4">
      <c r="B1" s="913" t="s">
        <v>711</v>
      </c>
      <c r="C1" s="914"/>
    </row>
    <row r="2" spans="1:40" ht="12.75" customHeight="1" x14ac:dyDescent="0.3">
      <c r="B2" s="476"/>
      <c r="C2" s="474"/>
      <c r="D2" s="474"/>
      <c r="E2" s="474"/>
      <c r="F2" s="474"/>
      <c r="G2" s="474"/>
      <c r="H2" s="474"/>
      <c r="I2" s="474"/>
      <c r="J2" s="474"/>
      <c r="K2" s="474"/>
      <c r="L2" s="474"/>
      <c r="M2" s="474"/>
      <c r="N2" s="973"/>
      <c r="O2" s="973"/>
      <c r="P2" s="973"/>
      <c r="Q2" s="474"/>
      <c r="R2" s="474"/>
      <c r="S2" s="474"/>
      <c r="T2" s="474"/>
      <c r="U2" s="474"/>
      <c r="V2" s="474"/>
      <c r="W2" s="474"/>
      <c r="X2" s="474"/>
      <c r="Y2" s="474"/>
      <c r="Z2" s="474"/>
      <c r="AA2" s="474"/>
      <c r="AB2" s="474"/>
      <c r="AC2" s="474"/>
      <c r="AD2" s="474"/>
      <c r="AE2" s="474"/>
      <c r="AF2" s="474"/>
      <c r="AG2" s="474"/>
      <c r="AH2" s="474"/>
      <c r="AI2" s="474"/>
      <c r="AJ2" s="474"/>
      <c r="AK2" s="474"/>
      <c r="AL2" s="474"/>
      <c r="AM2" s="477"/>
    </row>
    <row r="3" spans="1:40" ht="12.75" customHeight="1" x14ac:dyDescent="0.3">
      <c r="A3" s="176"/>
      <c r="J3" s="1101" t="s">
        <v>782</v>
      </c>
      <c r="K3" s="1101"/>
      <c r="N3" s="915"/>
      <c r="O3" s="915"/>
      <c r="P3" s="915"/>
      <c r="AN3" s="175"/>
    </row>
    <row r="4" spans="1:40" x14ac:dyDescent="0.3">
      <c r="A4" s="176"/>
      <c r="J4" s="1101"/>
      <c r="K4" s="1101"/>
      <c r="N4" s="915"/>
      <c r="O4" s="915"/>
      <c r="P4" s="915"/>
      <c r="AN4" s="175"/>
    </row>
    <row r="5" spans="1:40" x14ac:dyDescent="0.3">
      <c r="A5" s="176"/>
      <c r="J5" s="1101"/>
      <c r="K5" s="1101"/>
      <c r="N5" s="915"/>
      <c r="O5" s="915"/>
      <c r="P5" s="915"/>
      <c r="AN5" s="175"/>
    </row>
    <row r="6" spans="1:40" x14ac:dyDescent="0.3">
      <c r="A6" s="176"/>
      <c r="J6" s="1101"/>
      <c r="K6" s="1101"/>
      <c r="AN6" s="175"/>
    </row>
    <row r="7" spans="1:40" x14ac:dyDescent="0.3">
      <c r="A7" s="176"/>
      <c r="AN7" s="175"/>
    </row>
    <row r="8" spans="1:40" x14ac:dyDescent="0.3">
      <c r="A8" s="176"/>
      <c r="C8" s="1102" t="s">
        <v>2148</v>
      </c>
      <c r="D8" s="1102"/>
      <c r="E8" s="1102"/>
      <c r="F8" s="1102"/>
      <c r="G8" s="1102"/>
      <c r="H8" s="1102"/>
      <c r="I8" s="1102"/>
      <c r="J8" s="1102"/>
      <c r="K8" s="1102"/>
      <c r="L8" s="1102"/>
      <c r="M8" s="1102"/>
      <c r="N8" s="1102"/>
      <c r="O8" s="1102"/>
      <c r="P8" s="1102"/>
      <c r="Q8" s="1102"/>
      <c r="R8" s="1102"/>
      <c r="S8" s="1102"/>
      <c r="T8" s="1102"/>
      <c r="U8" s="1102"/>
      <c r="V8" s="1102"/>
      <c r="W8" s="1102"/>
      <c r="X8" s="1102"/>
      <c r="Y8" s="1102"/>
      <c r="Z8" s="1102"/>
      <c r="AA8" s="1102"/>
      <c r="AB8" s="1102"/>
      <c r="AC8" s="1102"/>
      <c r="AD8" s="1102"/>
      <c r="AE8" s="1102"/>
      <c r="AF8" s="1102"/>
      <c r="AG8" s="1102"/>
      <c r="AH8" s="1102"/>
      <c r="AI8" s="1102"/>
      <c r="AN8" s="175"/>
    </row>
    <row r="9" spans="1:40" x14ac:dyDescent="0.3">
      <c r="A9" s="176"/>
      <c r="C9" s="913" t="s">
        <v>2050</v>
      </c>
      <c r="AN9" s="175"/>
    </row>
    <row r="10" spans="1:40" x14ac:dyDescent="0.3">
      <c r="A10" s="176"/>
      <c r="AN10" s="175"/>
    </row>
    <row r="11" spans="1:40" x14ac:dyDescent="0.3">
      <c r="A11" s="176"/>
      <c r="AN11" s="175"/>
    </row>
    <row r="12" spans="1:40" x14ac:dyDescent="0.3">
      <c r="A12" s="176"/>
      <c r="AN12" s="175"/>
    </row>
    <row r="13" spans="1:40" x14ac:dyDescent="0.3">
      <c r="A13" s="176"/>
      <c r="AN13" s="175"/>
    </row>
    <row r="14" spans="1:40" x14ac:dyDescent="0.3">
      <c r="A14" s="176"/>
      <c r="AN14" s="175"/>
    </row>
    <row r="15" spans="1:40" x14ac:dyDescent="0.3">
      <c r="A15" s="176"/>
      <c r="D15" s="915"/>
      <c r="AN15" s="175"/>
    </row>
    <row r="16" spans="1:40" x14ac:dyDescent="0.3">
      <c r="A16" s="176"/>
      <c r="D16" s="915"/>
      <c r="AN16" s="175"/>
    </row>
    <row r="17" spans="1:44" x14ac:dyDescent="0.3">
      <c r="A17" s="176"/>
      <c r="D17" s="915" t="s">
        <v>1195</v>
      </c>
      <c r="AN17" s="175"/>
    </row>
    <row r="18" spans="1:44" x14ac:dyDescent="0.3">
      <c r="A18" s="176"/>
      <c r="D18" s="915" t="e">
        <f>CONCATENATE(2,"/",SUM(#REF!))</f>
        <v>#REF!</v>
      </c>
      <c r="AN18" s="175"/>
    </row>
    <row r="19" spans="1:44" s="916" customFormat="1" x14ac:dyDescent="0.3">
      <c r="A19" s="421"/>
      <c r="C19" s="913"/>
      <c r="D19" s="913"/>
      <c r="E19" s="913"/>
      <c r="F19" s="913"/>
      <c r="G19" s="913"/>
      <c r="H19" s="913"/>
      <c r="I19" s="913"/>
      <c r="J19" s="913"/>
      <c r="K19" s="913"/>
      <c r="L19" s="913"/>
      <c r="M19" s="913"/>
      <c r="N19" s="913"/>
      <c r="O19" s="913"/>
      <c r="P19" s="913"/>
      <c r="Q19" s="913"/>
      <c r="R19" s="913"/>
      <c r="S19" s="913"/>
      <c r="T19" s="913"/>
      <c r="U19" s="913"/>
      <c r="V19" s="913"/>
      <c r="W19" s="913"/>
      <c r="X19" s="913"/>
      <c r="Y19" s="913"/>
      <c r="Z19" s="913"/>
      <c r="AA19" s="913"/>
      <c r="AB19" s="913"/>
      <c r="AC19" s="913"/>
      <c r="AD19" s="913"/>
      <c r="AE19" s="913"/>
      <c r="AF19" s="913"/>
      <c r="AG19" s="913"/>
      <c r="AH19" s="913"/>
      <c r="AI19" s="913"/>
      <c r="AJ19" s="913"/>
      <c r="AK19" s="913"/>
      <c r="AL19" s="913"/>
      <c r="AM19" s="913"/>
      <c r="AN19" s="475"/>
    </row>
    <row r="20" spans="1:44" ht="14.15" customHeight="1" x14ac:dyDescent="0.3">
      <c r="A20" s="176"/>
      <c r="B20" s="975"/>
      <c r="AN20" s="175"/>
    </row>
    <row r="21" spans="1:44" ht="12.75" customHeight="1" x14ac:dyDescent="0.3">
      <c r="A21" s="176"/>
      <c r="B21" s="975"/>
      <c r="AN21" s="175"/>
      <c r="AR21" s="917"/>
    </row>
    <row r="22" spans="1:44" x14ac:dyDescent="0.3">
      <c r="A22" s="176"/>
      <c r="B22" s="975"/>
      <c r="AN22" s="175"/>
    </row>
    <row r="23" spans="1:44" ht="12.75" customHeight="1" x14ac:dyDescent="0.3">
      <c r="A23" s="176"/>
      <c r="B23" s="975"/>
      <c r="AN23" s="175"/>
    </row>
    <row r="24" spans="1:44" ht="85" customHeight="1" thickBot="1" x14ac:dyDescent="0.35">
      <c r="A24" s="176"/>
      <c r="B24" s="975"/>
      <c r="AN24" s="175"/>
    </row>
    <row r="25" spans="1:44" ht="12.75" customHeight="1" x14ac:dyDescent="0.3">
      <c r="A25" s="176"/>
      <c r="B25" s="1098" t="s">
        <v>2114</v>
      </c>
      <c r="AN25" s="175"/>
    </row>
    <row r="26" spans="1:44" ht="12.75" customHeight="1" x14ac:dyDescent="0.3">
      <c r="A26" s="176"/>
      <c r="B26" s="1099"/>
      <c r="AN26" s="175"/>
    </row>
    <row r="27" spans="1:44" ht="12.75" customHeight="1" x14ac:dyDescent="0.3">
      <c r="A27" s="176"/>
      <c r="B27" s="1099"/>
      <c r="AN27" s="175"/>
    </row>
    <row r="28" spans="1:44" ht="12.75" customHeight="1" x14ac:dyDescent="0.3">
      <c r="B28" s="1099"/>
    </row>
    <row r="29" spans="1:44" ht="12.75" customHeight="1" x14ac:dyDescent="0.3">
      <c r="B29" s="1099"/>
    </row>
    <row r="30" spans="1:44" ht="13" customHeight="1" x14ac:dyDescent="0.3">
      <c r="B30" s="1099"/>
    </row>
    <row r="31" spans="1:44" ht="12.75" customHeight="1" x14ac:dyDescent="0.3">
      <c r="B31" s="1099"/>
    </row>
    <row r="32" spans="1:44" ht="12.75" customHeight="1" thickBot="1" x14ac:dyDescent="0.35">
      <c r="B32" s="1100"/>
    </row>
    <row r="33" spans="2:2" ht="12.75" customHeight="1" x14ac:dyDescent="0.3">
      <c r="B33" s="975"/>
    </row>
    <row r="34" spans="2:2" ht="12.75" customHeight="1" x14ac:dyDescent="0.3">
      <c r="B34" s="975"/>
    </row>
    <row r="35" spans="2:2" ht="12.75" customHeight="1" x14ac:dyDescent="0.3">
      <c r="B35" s="975"/>
    </row>
    <row r="36" spans="2:2" ht="12.75" customHeight="1" x14ac:dyDescent="0.3">
      <c r="B36" s="975"/>
    </row>
    <row r="37" spans="2:2" ht="12.75" customHeight="1" x14ac:dyDescent="0.3">
      <c r="B37" s="975"/>
    </row>
    <row r="38" spans="2:2" ht="12.75" customHeight="1" x14ac:dyDescent="0.3">
      <c r="B38" s="975"/>
    </row>
    <row r="39" spans="2:2" ht="12.75" customHeight="1" x14ac:dyDescent="0.3">
      <c r="B39" s="975"/>
    </row>
    <row r="40" spans="2:2" ht="13" customHeight="1" x14ac:dyDescent="0.3">
      <c r="B40" s="975"/>
    </row>
    <row r="41" spans="2:2" ht="12.75" customHeight="1" x14ac:dyDescent="0.3">
      <c r="B41" s="975"/>
    </row>
    <row r="42" spans="2:2" ht="12.75" customHeight="1" x14ac:dyDescent="0.3">
      <c r="B42" s="975"/>
    </row>
    <row r="43" spans="2:2" ht="12.75" customHeight="1" x14ac:dyDescent="0.3">
      <c r="B43" s="975"/>
    </row>
    <row r="44" spans="2:2" ht="12.75" customHeight="1" x14ac:dyDescent="0.3">
      <c r="B44" s="975"/>
    </row>
    <row r="45" spans="2:2" ht="12.75" customHeight="1" x14ac:dyDescent="0.3">
      <c r="B45" s="975"/>
    </row>
    <row r="46" spans="2:2" ht="12.75" customHeight="1" x14ac:dyDescent="0.3">
      <c r="B46" s="975"/>
    </row>
    <row r="47" spans="2:2" ht="12.75" customHeight="1" x14ac:dyDescent="0.3">
      <c r="B47" s="975"/>
    </row>
    <row r="48" spans="2:2" x14ac:dyDescent="0.3">
      <c r="B48" s="975"/>
    </row>
    <row r="49" spans="2:2" ht="12.75" customHeight="1" x14ac:dyDescent="0.3">
      <c r="B49" s="975"/>
    </row>
    <row r="50" spans="2:2" ht="12.75" customHeight="1" x14ac:dyDescent="0.3">
      <c r="B50" s="975"/>
    </row>
    <row r="51" spans="2:2" ht="12.75" customHeight="1" x14ac:dyDescent="0.3">
      <c r="B51" s="975"/>
    </row>
    <row r="52" spans="2:2" ht="13" customHeight="1" x14ac:dyDescent="0.3">
      <c r="B52" s="975"/>
    </row>
    <row r="53" spans="2:2" ht="12.75" customHeight="1" x14ac:dyDescent="0.3">
      <c r="B53" s="975"/>
    </row>
    <row r="54" spans="2:2" ht="12.75" customHeight="1" x14ac:dyDescent="0.3">
      <c r="B54" s="975"/>
    </row>
    <row r="55" spans="2:2" ht="12.75" customHeight="1" x14ac:dyDescent="0.3">
      <c r="B55" s="975"/>
    </row>
    <row r="56" spans="2:2" ht="12.75" customHeight="1" x14ac:dyDescent="0.3">
      <c r="B56" s="975"/>
    </row>
    <row r="57" spans="2:2" ht="12.75" customHeight="1" x14ac:dyDescent="0.3">
      <c r="B57" s="975"/>
    </row>
    <row r="58" spans="2:2" ht="13" customHeight="1" x14ac:dyDescent="0.3">
      <c r="B58" s="975"/>
    </row>
    <row r="59" spans="2:2" ht="12.75" customHeight="1" x14ac:dyDescent="0.3">
      <c r="B59" s="975"/>
    </row>
    <row r="60" spans="2:2" ht="12.75" customHeight="1" x14ac:dyDescent="0.3">
      <c r="B60" s="975"/>
    </row>
    <row r="61" spans="2:2" ht="12.75" customHeight="1" x14ac:dyDescent="0.3">
      <c r="B61" s="975"/>
    </row>
    <row r="62" spans="2:2" ht="12.75" customHeight="1" x14ac:dyDescent="0.3">
      <c r="B62" s="975"/>
    </row>
    <row r="63" spans="2:2" ht="12.75" customHeight="1" x14ac:dyDescent="0.3">
      <c r="B63" s="975"/>
    </row>
    <row r="64" spans="2:2" ht="12.75" customHeight="1" x14ac:dyDescent="0.3">
      <c r="B64" s="975"/>
    </row>
    <row r="65" spans="2:2" ht="12.75" customHeight="1" x14ac:dyDescent="0.3">
      <c r="B65" s="975"/>
    </row>
    <row r="66" spans="2:2" ht="12.75" customHeight="1" x14ac:dyDescent="0.3">
      <c r="B66" s="975"/>
    </row>
    <row r="67" spans="2:2" ht="12.75" customHeight="1" x14ac:dyDescent="0.3">
      <c r="B67" s="975"/>
    </row>
    <row r="68" spans="2:2" ht="12.75" customHeight="1" x14ac:dyDescent="0.3">
      <c r="B68" s="975"/>
    </row>
    <row r="69" spans="2:2" ht="12.75" customHeight="1" x14ac:dyDescent="0.3">
      <c r="B69" s="975"/>
    </row>
    <row r="70" spans="2:2" ht="12.75" customHeight="1" x14ac:dyDescent="0.3">
      <c r="B70" s="975"/>
    </row>
    <row r="71" spans="2:2" ht="12.75" customHeight="1" x14ac:dyDescent="0.3">
      <c r="B71" s="975"/>
    </row>
    <row r="72" spans="2:2" x14ac:dyDescent="0.3">
      <c r="B72" s="975"/>
    </row>
    <row r="73" spans="2:2" ht="12.75" customHeight="1" x14ac:dyDescent="0.3">
      <c r="B73" s="975"/>
    </row>
    <row r="74" spans="2:2" ht="12.75" customHeight="1" x14ac:dyDescent="0.3">
      <c r="B74" s="975"/>
    </row>
    <row r="75" spans="2:2" ht="12.75" customHeight="1" x14ac:dyDescent="0.3">
      <c r="B75" s="975"/>
    </row>
    <row r="76" spans="2:2" ht="12.75" customHeight="1" x14ac:dyDescent="0.3">
      <c r="B76" s="975"/>
    </row>
    <row r="77" spans="2:2" ht="12.75" customHeight="1" x14ac:dyDescent="0.3">
      <c r="B77" s="975"/>
    </row>
    <row r="78" spans="2:2" x14ac:dyDescent="0.3">
      <c r="B78" s="975"/>
    </row>
    <row r="79" spans="2:2" ht="12.75" customHeight="1" x14ac:dyDescent="0.3">
      <c r="B79" s="975"/>
    </row>
    <row r="80" spans="2:2" ht="12.75" customHeight="1" x14ac:dyDescent="0.3">
      <c r="B80" s="975"/>
    </row>
    <row r="81" spans="2:2" ht="12.75" customHeight="1" x14ac:dyDescent="0.3">
      <c r="B81" s="975"/>
    </row>
    <row r="82" spans="2:2" ht="12.75" customHeight="1" x14ac:dyDescent="0.3">
      <c r="B82" s="975"/>
    </row>
    <row r="83" spans="2:2" ht="12.75" customHeight="1" x14ac:dyDescent="0.3">
      <c r="B83" s="975"/>
    </row>
    <row r="84" spans="2:2" ht="12.75" customHeight="1" x14ac:dyDescent="0.3">
      <c r="B84" s="975"/>
    </row>
    <row r="85" spans="2:2" ht="12.75" customHeight="1" x14ac:dyDescent="0.3">
      <c r="B85" s="975"/>
    </row>
    <row r="86" spans="2:2" ht="12.75" customHeight="1" x14ac:dyDescent="0.3">
      <c r="B86" s="975"/>
    </row>
    <row r="87" spans="2:2" ht="12.75" customHeight="1" x14ac:dyDescent="0.3">
      <c r="B87" s="975"/>
    </row>
    <row r="88" spans="2:2" ht="12.75" customHeight="1" x14ac:dyDescent="0.3">
      <c r="B88" s="975"/>
    </row>
    <row r="89" spans="2:2" ht="12.75" customHeight="1" x14ac:dyDescent="0.3">
      <c r="B89" s="975"/>
    </row>
    <row r="90" spans="2:2" ht="13" customHeight="1" x14ac:dyDescent="0.3">
      <c r="B90" s="975"/>
    </row>
    <row r="91" spans="2:2" ht="12.75" customHeight="1" x14ac:dyDescent="0.3">
      <c r="B91" s="975"/>
    </row>
    <row r="92" spans="2:2" ht="12.75" customHeight="1" x14ac:dyDescent="0.3">
      <c r="B92" s="975"/>
    </row>
    <row r="93" spans="2:2" ht="12.75" customHeight="1" x14ac:dyDescent="0.3">
      <c r="B93" s="975"/>
    </row>
    <row r="94" spans="2:2" ht="12.75" customHeight="1" x14ac:dyDescent="0.3">
      <c r="B94" s="975"/>
    </row>
    <row r="95" spans="2:2" ht="12.75" customHeight="1" x14ac:dyDescent="0.3">
      <c r="B95" s="975"/>
    </row>
    <row r="96" spans="2:2" x14ac:dyDescent="0.3">
      <c r="B96" s="975"/>
    </row>
    <row r="97" spans="2:2" ht="12.75" customHeight="1" x14ac:dyDescent="0.3">
      <c r="B97" s="975"/>
    </row>
    <row r="98" spans="2:2" ht="12.75" customHeight="1" x14ac:dyDescent="0.3">
      <c r="B98" s="975"/>
    </row>
    <row r="99" spans="2:2" ht="12.75" customHeight="1" x14ac:dyDescent="0.3">
      <c r="B99" s="975"/>
    </row>
    <row r="100" spans="2:2" ht="13" customHeight="1" x14ac:dyDescent="0.3">
      <c r="B100" s="975"/>
    </row>
    <row r="101" spans="2:2" ht="12.75" customHeight="1" x14ac:dyDescent="0.3">
      <c r="B101" s="975"/>
    </row>
    <row r="102" spans="2:2" ht="12.75" customHeight="1" x14ac:dyDescent="0.3">
      <c r="B102" s="975"/>
    </row>
    <row r="103" spans="2:2" ht="12.75" customHeight="1" x14ac:dyDescent="0.3">
      <c r="B103" s="975"/>
    </row>
    <row r="104" spans="2:2" ht="12.75" customHeight="1" x14ac:dyDescent="0.3">
      <c r="B104" s="975"/>
    </row>
    <row r="105" spans="2:2" ht="12.75" customHeight="1" x14ac:dyDescent="0.3">
      <c r="B105" s="975"/>
    </row>
    <row r="106" spans="2:2" ht="12.75" customHeight="1" x14ac:dyDescent="0.3">
      <c r="B106" s="975"/>
    </row>
    <row r="107" spans="2:2" ht="12.75" customHeight="1" x14ac:dyDescent="0.3">
      <c r="B107" s="975"/>
    </row>
    <row r="108" spans="2:2" x14ac:dyDescent="0.3">
      <c r="B108" s="975"/>
    </row>
    <row r="109" spans="2:2" ht="12.75" customHeight="1" x14ac:dyDescent="0.3">
      <c r="B109" s="975"/>
    </row>
    <row r="110" spans="2:2" ht="12.75" customHeight="1" x14ac:dyDescent="0.3">
      <c r="B110" s="975"/>
    </row>
    <row r="111" spans="2:2" ht="12.75" customHeight="1" x14ac:dyDescent="0.3">
      <c r="B111" s="975"/>
    </row>
    <row r="112" spans="2:2" ht="12.75" customHeight="1" x14ac:dyDescent="0.3">
      <c r="B112" s="975"/>
    </row>
    <row r="113" spans="2:2" ht="12.75" customHeight="1" x14ac:dyDescent="0.3">
      <c r="B113" s="975"/>
    </row>
    <row r="114" spans="2:2" x14ac:dyDescent="0.3">
      <c r="B114" s="975"/>
    </row>
    <row r="115" spans="2:2" ht="12.75" customHeight="1" x14ac:dyDescent="0.3">
      <c r="B115" s="975"/>
    </row>
    <row r="116" spans="2:2" ht="12.75" customHeight="1" x14ac:dyDescent="0.3">
      <c r="B116" s="975"/>
    </row>
    <row r="117" spans="2:2" ht="12.75" customHeight="1" x14ac:dyDescent="0.3">
      <c r="B117" s="975"/>
    </row>
    <row r="118" spans="2:2" ht="12.75" customHeight="1" x14ac:dyDescent="0.3">
      <c r="B118" s="975"/>
    </row>
    <row r="119" spans="2:2" ht="12.75" customHeight="1" x14ac:dyDescent="0.3">
      <c r="B119" s="975"/>
    </row>
    <row r="120" spans="2:2" ht="13" customHeight="1" x14ac:dyDescent="0.3">
      <c r="B120" s="975"/>
    </row>
    <row r="121" spans="2:2" ht="12.75" customHeight="1" x14ac:dyDescent="0.3">
      <c r="B121" s="975"/>
    </row>
    <row r="122" spans="2:2" ht="12.75" customHeight="1" x14ac:dyDescent="0.3">
      <c r="B122" s="975"/>
    </row>
    <row r="123" spans="2:2" ht="12.75" customHeight="1" x14ac:dyDescent="0.3">
      <c r="B123" s="975"/>
    </row>
    <row r="124" spans="2:2" ht="12.75" customHeight="1" x14ac:dyDescent="0.3">
      <c r="B124" s="975"/>
    </row>
    <row r="125" spans="2:2" ht="12.75" customHeight="1" x14ac:dyDescent="0.3">
      <c r="B125" s="975"/>
    </row>
    <row r="126" spans="2:2" ht="12.75" customHeight="1" x14ac:dyDescent="0.3">
      <c r="B126" s="975"/>
    </row>
    <row r="127" spans="2:2" ht="12.75" customHeight="1" x14ac:dyDescent="0.3">
      <c r="B127" s="975"/>
    </row>
    <row r="128" spans="2:2" ht="12.75" customHeight="1" x14ac:dyDescent="0.3">
      <c r="B128" s="975"/>
    </row>
    <row r="129" spans="2:2" ht="12.75" customHeight="1" x14ac:dyDescent="0.3">
      <c r="B129" s="975"/>
    </row>
    <row r="130" spans="2:2" ht="12.75" customHeight="1" x14ac:dyDescent="0.3">
      <c r="B130" s="975"/>
    </row>
    <row r="131" spans="2:2" ht="12.75" customHeight="1" x14ac:dyDescent="0.3">
      <c r="B131" s="975"/>
    </row>
    <row r="132" spans="2:2" x14ac:dyDescent="0.3">
      <c r="B132" s="975"/>
    </row>
    <row r="133" spans="2:2" ht="12.75" customHeight="1" x14ac:dyDescent="0.3">
      <c r="B133" s="975"/>
    </row>
    <row r="134" spans="2:2" x14ac:dyDescent="0.3">
      <c r="B134" s="975"/>
    </row>
    <row r="135" spans="2:2" ht="12.75" customHeight="1" x14ac:dyDescent="0.3">
      <c r="B135" s="975"/>
    </row>
    <row r="136" spans="2:2" ht="12.75" customHeight="1" x14ac:dyDescent="0.3">
      <c r="B136" s="975"/>
    </row>
    <row r="137" spans="2:2" ht="12.75" customHeight="1" x14ac:dyDescent="0.3">
      <c r="B137" s="975"/>
    </row>
    <row r="138" spans="2:2" x14ac:dyDescent="0.3">
      <c r="B138" s="975"/>
    </row>
    <row r="139" spans="2:2" ht="12.75" customHeight="1" x14ac:dyDescent="0.3">
      <c r="B139" s="975"/>
    </row>
    <row r="140" spans="2:2" ht="13" customHeight="1" x14ac:dyDescent="0.3">
      <c r="B140" s="975"/>
    </row>
    <row r="141" spans="2:2" ht="12.75" customHeight="1" x14ac:dyDescent="0.3">
      <c r="B141" s="975"/>
    </row>
    <row r="142" spans="2:2" x14ac:dyDescent="0.3">
      <c r="B142" s="975"/>
    </row>
    <row r="143" spans="2:2" ht="12.75" customHeight="1" x14ac:dyDescent="0.3">
      <c r="B143" s="975"/>
    </row>
    <row r="144" spans="2:2" ht="12.75" customHeight="1" x14ac:dyDescent="0.3">
      <c r="B144" s="975"/>
    </row>
    <row r="145" spans="2:2" ht="12.75" customHeight="1" x14ac:dyDescent="0.3">
      <c r="B145" s="975"/>
    </row>
    <row r="146" spans="2:2" x14ac:dyDescent="0.3">
      <c r="B146" s="975"/>
    </row>
    <row r="147" spans="2:2" ht="12.75" customHeight="1" x14ac:dyDescent="0.3">
      <c r="B147" s="975"/>
    </row>
    <row r="148" spans="2:2" x14ac:dyDescent="0.3">
      <c r="B148" s="975"/>
    </row>
    <row r="149" spans="2:2" ht="12.75" customHeight="1" x14ac:dyDescent="0.3">
      <c r="B149" s="975"/>
    </row>
    <row r="150" spans="2:2" ht="13" customHeight="1" x14ac:dyDescent="0.3">
      <c r="B150" s="975"/>
    </row>
    <row r="151" spans="2:2" ht="12.75" customHeight="1" x14ac:dyDescent="0.3">
      <c r="B151" s="975"/>
    </row>
    <row r="152" spans="2:2" x14ac:dyDescent="0.3">
      <c r="B152" s="975"/>
    </row>
    <row r="153" spans="2:2" ht="12.75" customHeight="1" x14ac:dyDescent="0.3">
      <c r="B153" s="975"/>
    </row>
    <row r="154" spans="2:2" x14ac:dyDescent="0.3">
      <c r="B154" s="975"/>
    </row>
    <row r="155" spans="2:2" ht="12.75" customHeight="1" x14ac:dyDescent="0.3">
      <c r="B155" s="975"/>
    </row>
    <row r="156" spans="2:2" x14ac:dyDescent="0.3">
      <c r="B156" s="975"/>
    </row>
    <row r="157" spans="2:2" ht="12.75" customHeight="1" x14ac:dyDescent="0.3">
      <c r="B157" s="975"/>
    </row>
    <row r="158" spans="2:2" x14ac:dyDescent="0.3">
      <c r="B158" s="975"/>
    </row>
    <row r="159" spans="2:2" ht="12.75" customHeight="1" x14ac:dyDescent="0.3">
      <c r="B159" s="975"/>
    </row>
    <row r="160" spans="2:2" ht="13" customHeight="1" x14ac:dyDescent="0.3">
      <c r="B160" s="975"/>
    </row>
    <row r="161" spans="2:2" ht="12.75" customHeight="1" x14ac:dyDescent="0.3">
      <c r="B161" s="975"/>
    </row>
    <row r="162" spans="2:2" x14ac:dyDescent="0.3">
      <c r="B162" s="975"/>
    </row>
    <row r="163" spans="2:2" ht="12.75" customHeight="1" x14ac:dyDescent="0.3">
      <c r="B163" s="975"/>
    </row>
    <row r="164" spans="2:2" x14ac:dyDescent="0.3">
      <c r="B164" s="975"/>
    </row>
    <row r="165" spans="2:2" ht="12.75" customHeight="1" x14ac:dyDescent="0.3">
      <c r="B165" s="975"/>
    </row>
    <row r="166" spans="2:2" x14ac:dyDescent="0.3">
      <c r="B166" s="975"/>
    </row>
    <row r="167" spans="2:2" ht="12.75" customHeight="1" x14ac:dyDescent="0.3">
      <c r="B167" s="975"/>
    </row>
    <row r="168" spans="2:2" x14ac:dyDescent="0.3">
      <c r="B168" s="975"/>
    </row>
    <row r="169" spans="2:2" ht="12.75" customHeight="1" x14ac:dyDescent="0.3">
      <c r="B169" s="975"/>
    </row>
    <row r="170" spans="2:2" x14ac:dyDescent="0.3">
      <c r="B170" s="975"/>
    </row>
    <row r="171" spans="2:2" ht="12.75" customHeight="1" x14ac:dyDescent="0.3">
      <c r="B171" s="975"/>
    </row>
    <row r="172" spans="2:2" x14ac:dyDescent="0.3">
      <c r="B172" s="975"/>
    </row>
    <row r="173" spans="2:2" ht="12.75" customHeight="1" x14ac:dyDescent="0.3">
      <c r="B173" s="975"/>
    </row>
    <row r="174" spans="2:2" x14ac:dyDescent="0.3">
      <c r="B174" s="975"/>
    </row>
    <row r="175" spans="2:2" ht="12.75" customHeight="1" x14ac:dyDescent="0.3">
      <c r="B175" s="975"/>
    </row>
    <row r="176" spans="2:2" x14ac:dyDescent="0.3">
      <c r="B176" s="975"/>
    </row>
    <row r="177" spans="2:2" ht="12.75" customHeight="1" x14ac:dyDescent="0.3">
      <c r="B177" s="975"/>
    </row>
    <row r="178" spans="2:2" x14ac:dyDescent="0.3">
      <c r="B178" s="975"/>
    </row>
    <row r="179" spans="2:2" ht="12.75" customHeight="1" x14ac:dyDescent="0.3">
      <c r="B179" s="975"/>
    </row>
    <row r="180" spans="2:2" x14ac:dyDescent="0.3">
      <c r="B180" s="975"/>
    </row>
    <row r="181" spans="2:2" ht="12.75" customHeight="1" x14ac:dyDescent="0.3">
      <c r="B181" s="975"/>
    </row>
    <row r="182" spans="2:2" x14ac:dyDescent="0.3">
      <c r="B182" s="975"/>
    </row>
    <row r="183" spans="2:2" ht="14.15" customHeight="1" x14ac:dyDescent="0.3">
      <c r="B183" s="975"/>
    </row>
    <row r="184" spans="2:2" x14ac:dyDescent="0.3">
      <c r="B184" s="975"/>
    </row>
    <row r="185" spans="2:2" ht="14.15" customHeight="1" x14ac:dyDescent="0.3">
      <c r="B185" s="975"/>
    </row>
    <row r="186" spans="2:2" x14ac:dyDescent="0.3">
      <c r="B186" s="975"/>
    </row>
    <row r="187" spans="2:2" x14ac:dyDescent="0.3">
      <c r="B187" s="975"/>
    </row>
    <row r="188" spans="2:2" x14ac:dyDescent="0.3">
      <c r="B188" s="975"/>
    </row>
    <row r="189" spans="2:2" ht="12.75" customHeight="1" x14ac:dyDescent="0.3">
      <c r="B189" s="975"/>
    </row>
    <row r="190" spans="2:2" x14ac:dyDescent="0.3">
      <c r="B190" s="975"/>
    </row>
    <row r="191" spans="2:2" x14ac:dyDescent="0.3">
      <c r="B191" s="975"/>
    </row>
    <row r="192" spans="2:2" x14ac:dyDescent="0.3">
      <c r="B192" s="975"/>
    </row>
    <row r="193" spans="2:2" ht="14.15" customHeight="1" x14ac:dyDescent="0.3">
      <c r="B193" s="975"/>
    </row>
    <row r="194" spans="2:2" x14ac:dyDescent="0.3">
      <c r="B194" s="975"/>
    </row>
    <row r="195" spans="2:2" x14ac:dyDescent="0.3">
      <c r="B195" s="975"/>
    </row>
    <row r="196" spans="2:2" x14ac:dyDescent="0.3">
      <c r="B196" s="975"/>
    </row>
    <row r="197" spans="2:2" ht="12.75" customHeight="1" x14ac:dyDescent="0.3">
      <c r="B197" s="975"/>
    </row>
    <row r="198" spans="2:2" x14ac:dyDescent="0.3">
      <c r="B198" s="975"/>
    </row>
    <row r="199" spans="2:2" ht="14.15" customHeight="1" x14ac:dyDescent="0.3">
      <c r="B199" s="975"/>
    </row>
    <row r="200" spans="2:2" x14ac:dyDescent="0.3">
      <c r="B200" s="975"/>
    </row>
    <row r="201" spans="2:2" ht="14.15" customHeight="1" x14ac:dyDescent="0.3">
      <c r="B201" s="975"/>
    </row>
    <row r="202" spans="2:2" x14ac:dyDescent="0.3">
      <c r="B202" s="975"/>
    </row>
    <row r="203" spans="2:2" x14ac:dyDescent="0.3">
      <c r="B203" s="975"/>
    </row>
    <row r="204" spans="2:2" x14ac:dyDescent="0.3">
      <c r="B204" s="975"/>
    </row>
    <row r="205" spans="2:2" ht="12.75" customHeight="1" x14ac:dyDescent="0.3">
      <c r="B205" s="975"/>
    </row>
    <row r="206" spans="2:2" x14ac:dyDescent="0.3">
      <c r="B206" s="975"/>
    </row>
    <row r="207" spans="2:2" ht="12.75" customHeight="1" x14ac:dyDescent="0.3">
      <c r="B207" s="975"/>
    </row>
    <row r="208" spans="2:2" x14ac:dyDescent="0.3">
      <c r="B208" s="975"/>
    </row>
    <row r="209" spans="2:2" ht="13" customHeight="1" x14ac:dyDescent="0.3">
      <c r="B209" s="975"/>
    </row>
    <row r="210" spans="2:2" x14ac:dyDescent="0.3">
      <c r="B210" s="975"/>
    </row>
    <row r="211" spans="2:2" x14ac:dyDescent="0.3">
      <c r="B211" s="975"/>
    </row>
    <row r="212" spans="2:2" x14ac:dyDescent="0.3">
      <c r="B212" s="975"/>
    </row>
    <row r="213" spans="2:2" ht="14.15" customHeight="1" x14ac:dyDescent="0.3">
      <c r="B213" s="975"/>
    </row>
    <row r="214" spans="2:2" x14ac:dyDescent="0.3">
      <c r="B214" s="975"/>
    </row>
    <row r="215" spans="2:2" ht="14.15" customHeight="1" x14ac:dyDescent="0.3">
      <c r="B215" s="975"/>
    </row>
    <row r="216" spans="2:2" x14ac:dyDescent="0.3">
      <c r="B216" s="975"/>
    </row>
    <row r="217" spans="2:2" ht="14.15" customHeight="1" x14ac:dyDescent="0.3">
      <c r="B217" s="975"/>
    </row>
    <row r="218" spans="2:2" x14ac:dyDescent="0.3">
      <c r="B218" s="975"/>
    </row>
    <row r="219" spans="2:2" x14ac:dyDescent="0.3">
      <c r="B219" s="975"/>
    </row>
    <row r="220" spans="2:2" x14ac:dyDescent="0.3">
      <c r="B220" s="975"/>
    </row>
    <row r="221" spans="2:2" x14ac:dyDescent="0.3">
      <c r="B221" s="975"/>
    </row>
    <row r="222" spans="2:2" x14ac:dyDescent="0.3">
      <c r="B222" s="975"/>
    </row>
    <row r="223" spans="2:2" x14ac:dyDescent="0.3">
      <c r="B223" s="975"/>
    </row>
    <row r="224" spans="2:2" x14ac:dyDescent="0.3">
      <c r="B224" s="975"/>
    </row>
    <row r="225" spans="2:2" ht="13" customHeight="1" x14ac:dyDescent="0.3">
      <c r="B225" s="975"/>
    </row>
    <row r="226" spans="2:2" x14ac:dyDescent="0.3">
      <c r="B226" s="975"/>
    </row>
    <row r="227" spans="2:2" x14ac:dyDescent="0.3">
      <c r="B227" s="975"/>
    </row>
    <row r="228" spans="2:2" x14ac:dyDescent="0.3">
      <c r="B228" s="975"/>
    </row>
    <row r="229" spans="2:2" ht="14.15" customHeight="1" x14ac:dyDescent="0.3">
      <c r="B229" s="975"/>
    </row>
    <row r="230" spans="2:2" x14ac:dyDescent="0.3">
      <c r="B230" s="975"/>
    </row>
    <row r="231" spans="2:2" ht="14.15" customHeight="1" x14ac:dyDescent="0.3">
      <c r="B231" s="975"/>
    </row>
    <row r="232" spans="2:2" x14ac:dyDescent="0.3">
      <c r="B232" s="975"/>
    </row>
    <row r="233" spans="2:2" ht="14.15" customHeight="1" x14ac:dyDescent="0.3">
      <c r="B233" s="975"/>
    </row>
    <row r="234" spans="2:2" x14ac:dyDescent="0.3">
      <c r="B234" s="975"/>
    </row>
    <row r="235" spans="2:2" x14ac:dyDescent="0.3">
      <c r="B235" s="975"/>
    </row>
    <row r="236" spans="2:2" x14ac:dyDescent="0.3">
      <c r="B236" s="975"/>
    </row>
    <row r="237" spans="2:2" x14ac:dyDescent="0.3">
      <c r="B237" s="975"/>
    </row>
    <row r="238" spans="2:2" x14ac:dyDescent="0.3">
      <c r="B238" s="975"/>
    </row>
    <row r="239" spans="2:2" x14ac:dyDescent="0.3">
      <c r="B239" s="975"/>
    </row>
    <row r="240" spans="2:2" x14ac:dyDescent="0.3">
      <c r="B240" s="975"/>
    </row>
    <row r="241" spans="2:2" ht="13" customHeight="1" x14ac:dyDescent="0.3">
      <c r="B241" s="975"/>
    </row>
    <row r="242" spans="2:2" x14ac:dyDescent="0.3">
      <c r="B242" s="975"/>
    </row>
    <row r="243" spans="2:2" x14ac:dyDescent="0.3">
      <c r="B243" s="975"/>
    </row>
    <row r="244" spans="2:2" x14ac:dyDescent="0.3">
      <c r="B244" s="975"/>
    </row>
    <row r="245" spans="2:2" x14ac:dyDescent="0.3">
      <c r="B245" s="975"/>
    </row>
    <row r="246" spans="2:2" x14ac:dyDescent="0.3">
      <c r="B246" s="975"/>
    </row>
    <row r="247" spans="2:2" x14ac:dyDescent="0.3">
      <c r="B247" s="975"/>
    </row>
    <row r="248" spans="2:2" x14ac:dyDescent="0.3">
      <c r="B248" s="975"/>
    </row>
    <row r="249" spans="2:2" ht="13" customHeight="1" x14ac:dyDescent="0.3">
      <c r="B249" s="975"/>
    </row>
    <row r="250" spans="2:2" x14ac:dyDescent="0.3">
      <c r="B250" s="975"/>
    </row>
    <row r="251" spans="2:2" x14ac:dyDescent="0.3">
      <c r="B251" s="975"/>
    </row>
    <row r="252" spans="2:2" x14ac:dyDescent="0.3">
      <c r="B252" s="975"/>
    </row>
    <row r="253" spans="2:2" x14ac:dyDescent="0.3">
      <c r="B253" s="975"/>
    </row>
    <row r="254" spans="2:2" x14ac:dyDescent="0.3">
      <c r="B254" s="975"/>
    </row>
    <row r="255" spans="2:2" x14ac:dyDescent="0.3">
      <c r="B255" s="975"/>
    </row>
    <row r="256" spans="2:2" x14ac:dyDescent="0.3">
      <c r="B256" s="975"/>
    </row>
    <row r="257" spans="2:2" ht="13" customHeight="1" x14ac:dyDescent="0.3">
      <c r="B257" s="975"/>
    </row>
    <row r="258" spans="2:2" x14ac:dyDescent="0.3">
      <c r="B258" s="975"/>
    </row>
    <row r="259" spans="2:2" x14ac:dyDescent="0.3">
      <c r="B259" s="975"/>
    </row>
    <row r="260" spans="2:2" x14ac:dyDescent="0.3">
      <c r="B260" s="975"/>
    </row>
    <row r="261" spans="2:2" x14ac:dyDescent="0.3">
      <c r="B261" s="975"/>
    </row>
    <row r="262" spans="2:2" x14ac:dyDescent="0.3">
      <c r="B262" s="975"/>
    </row>
    <row r="263" spans="2:2" x14ac:dyDescent="0.3">
      <c r="B263" s="975"/>
    </row>
    <row r="264" spans="2:2" x14ac:dyDescent="0.3">
      <c r="B264" s="975"/>
    </row>
    <row r="265" spans="2:2" ht="13" customHeight="1" x14ac:dyDescent="0.3">
      <c r="B265" s="975"/>
    </row>
    <row r="266" spans="2:2" x14ac:dyDescent="0.3">
      <c r="B266" s="975"/>
    </row>
    <row r="267" spans="2:2" x14ac:dyDescent="0.3">
      <c r="B267" s="975"/>
    </row>
    <row r="268" spans="2:2" x14ac:dyDescent="0.3">
      <c r="B268" s="975"/>
    </row>
    <row r="269" spans="2:2" x14ac:dyDescent="0.3">
      <c r="B269" s="975"/>
    </row>
    <row r="270" spans="2:2" x14ac:dyDescent="0.3">
      <c r="B270" s="975"/>
    </row>
    <row r="271" spans="2:2" x14ac:dyDescent="0.3">
      <c r="B271" s="975"/>
    </row>
    <row r="272" spans="2:2" x14ac:dyDescent="0.3">
      <c r="B272" s="975"/>
    </row>
    <row r="273" spans="2:2" ht="13" customHeight="1" x14ac:dyDescent="0.3">
      <c r="B273" s="975"/>
    </row>
    <row r="274" spans="2:2" x14ac:dyDescent="0.3">
      <c r="B274" s="975"/>
    </row>
    <row r="275" spans="2:2" x14ac:dyDescent="0.3">
      <c r="B275" s="975"/>
    </row>
    <row r="276" spans="2:2" x14ac:dyDescent="0.3">
      <c r="B276" s="975"/>
    </row>
    <row r="277" spans="2:2" x14ac:dyDescent="0.3">
      <c r="B277" s="975"/>
    </row>
    <row r="278" spans="2:2" x14ac:dyDescent="0.3">
      <c r="B278" s="975"/>
    </row>
    <row r="279" spans="2:2" x14ac:dyDescent="0.3">
      <c r="B279" s="975"/>
    </row>
    <row r="280" spans="2:2" x14ac:dyDescent="0.3">
      <c r="B280" s="975"/>
    </row>
    <row r="281" spans="2:2" ht="13" customHeight="1" x14ac:dyDescent="0.3">
      <c r="B281" s="975"/>
    </row>
    <row r="282" spans="2:2" x14ac:dyDescent="0.3">
      <c r="B282" s="975"/>
    </row>
    <row r="283" spans="2:2" x14ac:dyDescent="0.3">
      <c r="B283" s="975"/>
    </row>
    <row r="284" spans="2:2" x14ac:dyDescent="0.3">
      <c r="B284" s="975"/>
    </row>
    <row r="285" spans="2:2" x14ac:dyDescent="0.3">
      <c r="B285" s="975"/>
    </row>
    <row r="286" spans="2:2" x14ac:dyDescent="0.3">
      <c r="B286" s="975"/>
    </row>
    <row r="287" spans="2:2" x14ac:dyDescent="0.3">
      <c r="B287" s="975"/>
    </row>
    <row r="288" spans="2:2" x14ac:dyDescent="0.3">
      <c r="B288" s="975"/>
    </row>
    <row r="289" spans="2:2" ht="13" customHeight="1" x14ac:dyDescent="0.3">
      <c r="B289" s="975"/>
    </row>
    <row r="290" spans="2:2" x14ac:dyDescent="0.3">
      <c r="B290" s="975"/>
    </row>
    <row r="291" spans="2:2" x14ac:dyDescent="0.3">
      <c r="B291" s="975"/>
    </row>
    <row r="292" spans="2:2" x14ac:dyDescent="0.3">
      <c r="B292" s="975"/>
    </row>
    <row r="293" spans="2:2" x14ac:dyDescent="0.3">
      <c r="B293" s="975"/>
    </row>
    <row r="294" spans="2:2" x14ac:dyDescent="0.3">
      <c r="B294" s="975"/>
    </row>
    <row r="295" spans="2:2" x14ac:dyDescent="0.3">
      <c r="B295" s="975"/>
    </row>
    <row r="296" spans="2:2" x14ac:dyDescent="0.3">
      <c r="B296" s="975"/>
    </row>
    <row r="297" spans="2:2" ht="13" customHeight="1" x14ac:dyDescent="0.3">
      <c r="B297" s="975"/>
    </row>
    <row r="298" spans="2:2" x14ac:dyDescent="0.3">
      <c r="B298" s="975"/>
    </row>
    <row r="299" spans="2:2" x14ac:dyDescent="0.3">
      <c r="B299" s="975"/>
    </row>
    <row r="300" spans="2:2" x14ac:dyDescent="0.3">
      <c r="B300" s="975"/>
    </row>
    <row r="301" spans="2:2" x14ac:dyDescent="0.3">
      <c r="B301" s="975"/>
    </row>
    <row r="302" spans="2:2" x14ac:dyDescent="0.3">
      <c r="B302" s="975"/>
    </row>
    <row r="303" spans="2:2" x14ac:dyDescent="0.3">
      <c r="B303" s="975"/>
    </row>
    <row r="304" spans="2:2" x14ac:dyDescent="0.3">
      <c r="B304" s="975"/>
    </row>
    <row r="305" spans="2:2" ht="13" customHeight="1" x14ac:dyDescent="0.3">
      <c r="B305" s="975"/>
    </row>
    <row r="306" spans="2:2" x14ac:dyDescent="0.3">
      <c r="B306" s="975"/>
    </row>
    <row r="307" spans="2:2" x14ac:dyDescent="0.3">
      <c r="B307" s="975"/>
    </row>
    <row r="308" spans="2:2" x14ac:dyDescent="0.3">
      <c r="B308" s="975"/>
    </row>
    <row r="309" spans="2:2" x14ac:dyDescent="0.3">
      <c r="B309" s="975"/>
    </row>
    <row r="310" spans="2:2" x14ac:dyDescent="0.3">
      <c r="B310" s="975"/>
    </row>
    <row r="311" spans="2:2" x14ac:dyDescent="0.3">
      <c r="B311" s="975"/>
    </row>
    <row r="312" spans="2:2" x14ac:dyDescent="0.3">
      <c r="B312" s="975"/>
    </row>
    <row r="313" spans="2:2" ht="13" customHeight="1" x14ac:dyDescent="0.3">
      <c r="B313" s="975"/>
    </row>
    <row r="314" spans="2:2" x14ac:dyDescent="0.3">
      <c r="B314" s="975"/>
    </row>
    <row r="315" spans="2:2" x14ac:dyDescent="0.3">
      <c r="B315" s="975"/>
    </row>
    <row r="316" spans="2:2" x14ac:dyDescent="0.3">
      <c r="B316" s="975"/>
    </row>
    <row r="317" spans="2:2" x14ac:dyDescent="0.3">
      <c r="B317" s="975"/>
    </row>
    <row r="318" spans="2:2" x14ac:dyDescent="0.3">
      <c r="B318" s="975"/>
    </row>
    <row r="319" spans="2:2" x14ac:dyDescent="0.3">
      <c r="B319" s="975"/>
    </row>
    <row r="320" spans="2:2" x14ac:dyDescent="0.3">
      <c r="B320" s="975"/>
    </row>
    <row r="321" spans="2:2" ht="13" customHeight="1" x14ac:dyDescent="0.3">
      <c r="B321" s="975"/>
    </row>
    <row r="322" spans="2:2" x14ac:dyDescent="0.3">
      <c r="B322" s="975"/>
    </row>
    <row r="323" spans="2:2" x14ac:dyDescent="0.3">
      <c r="B323" s="975"/>
    </row>
    <row r="324" spans="2:2" x14ac:dyDescent="0.3">
      <c r="B324" s="975"/>
    </row>
    <row r="325" spans="2:2" x14ac:dyDescent="0.3">
      <c r="B325" s="975"/>
    </row>
    <row r="326" spans="2:2" x14ac:dyDescent="0.3">
      <c r="B326" s="975"/>
    </row>
    <row r="327" spans="2:2" x14ac:dyDescent="0.3">
      <c r="B327" s="975"/>
    </row>
    <row r="328" spans="2:2" x14ac:dyDescent="0.3">
      <c r="B328" s="975"/>
    </row>
    <row r="329" spans="2:2" ht="13" customHeight="1" x14ac:dyDescent="0.3">
      <c r="B329" s="975"/>
    </row>
    <row r="330" spans="2:2" x14ac:dyDescent="0.3">
      <c r="B330" s="975"/>
    </row>
    <row r="331" spans="2:2" x14ac:dyDescent="0.3">
      <c r="B331" s="975"/>
    </row>
    <row r="332" spans="2:2" x14ac:dyDescent="0.3">
      <c r="B332" s="975"/>
    </row>
    <row r="333" spans="2:2" x14ac:dyDescent="0.3">
      <c r="B333" s="975"/>
    </row>
    <row r="334" spans="2:2" x14ac:dyDescent="0.3">
      <c r="B334" s="975"/>
    </row>
    <row r="335" spans="2:2" x14ac:dyDescent="0.3">
      <c r="B335" s="975"/>
    </row>
    <row r="336" spans="2:2" x14ac:dyDescent="0.3">
      <c r="B336" s="975"/>
    </row>
    <row r="337" spans="2:2" ht="13" customHeight="1" x14ac:dyDescent="0.3">
      <c r="B337" s="975"/>
    </row>
    <row r="338" spans="2:2" x14ac:dyDescent="0.3">
      <c r="B338" s="975"/>
    </row>
    <row r="339" spans="2:2" x14ac:dyDescent="0.3">
      <c r="B339" s="975"/>
    </row>
    <row r="340" spans="2:2" x14ac:dyDescent="0.3">
      <c r="B340" s="975"/>
    </row>
    <row r="341" spans="2:2" x14ac:dyDescent="0.3">
      <c r="B341" s="975"/>
    </row>
    <row r="342" spans="2:2" x14ac:dyDescent="0.3">
      <c r="B342" s="975"/>
    </row>
    <row r="343" spans="2:2" x14ac:dyDescent="0.3">
      <c r="B343" s="975"/>
    </row>
    <row r="344" spans="2:2" x14ac:dyDescent="0.3">
      <c r="B344" s="975"/>
    </row>
    <row r="345" spans="2:2" ht="13" customHeight="1" x14ac:dyDescent="0.3">
      <c r="B345" s="975"/>
    </row>
    <row r="346" spans="2:2" x14ac:dyDescent="0.3">
      <c r="B346" s="975"/>
    </row>
    <row r="347" spans="2:2" x14ac:dyDescent="0.3">
      <c r="B347" s="975"/>
    </row>
    <row r="348" spans="2:2" x14ac:dyDescent="0.3">
      <c r="B348" s="975"/>
    </row>
    <row r="349" spans="2:2" x14ac:dyDescent="0.3">
      <c r="B349" s="975"/>
    </row>
    <row r="350" spans="2:2" x14ac:dyDescent="0.3">
      <c r="B350" s="975"/>
    </row>
    <row r="351" spans="2:2" x14ac:dyDescent="0.3">
      <c r="B351" s="975"/>
    </row>
    <row r="352" spans="2:2" x14ac:dyDescent="0.3">
      <c r="B352" s="975"/>
    </row>
    <row r="353" spans="2:2" ht="13" customHeight="1" x14ac:dyDescent="0.3">
      <c r="B353" s="975"/>
    </row>
    <row r="354" spans="2:2" x14ac:dyDescent="0.3">
      <c r="B354" s="975"/>
    </row>
    <row r="355" spans="2:2" x14ac:dyDescent="0.3">
      <c r="B355" s="975"/>
    </row>
    <row r="356" spans="2:2" x14ac:dyDescent="0.3">
      <c r="B356" s="975"/>
    </row>
    <row r="357" spans="2:2" x14ac:dyDescent="0.3">
      <c r="B357" s="975"/>
    </row>
    <row r="358" spans="2:2" x14ac:dyDescent="0.3">
      <c r="B358" s="975"/>
    </row>
    <row r="359" spans="2:2" x14ac:dyDescent="0.3">
      <c r="B359" s="975"/>
    </row>
    <row r="360" spans="2:2" x14ac:dyDescent="0.3">
      <c r="B360" s="975"/>
    </row>
    <row r="361" spans="2:2" ht="13" customHeight="1" x14ac:dyDescent="0.3">
      <c r="B361" s="975"/>
    </row>
    <row r="362" spans="2:2" x14ac:dyDescent="0.3">
      <c r="B362" s="975"/>
    </row>
    <row r="363" spans="2:2" x14ac:dyDescent="0.3">
      <c r="B363" s="975"/>
    </row>
    <row r="364" spans="2:2" x14ac:dyDescent="0.3">
      <c r="B364" s="975"/>
    </row>
    <row r="365" spans="2:2" x14ac:dyDescent="0.3">
      <c r="B365" s="975"/>
    </row>
    <row r="366" spans="2:2" x14ac:dyDescent="0.3">
      <c r="B366" s="975"/>
    </row>
    <row r="367" spans="2:2" x14ac:dyDescent="0.3">
      <c r="B367" s="975"/>
    </row>
    <row r="368" spans="2:2" x14ac:dyDescent="0.3">
      <c r="B368" s="975"/>
    </row>
    <row r="369" spans="2:2" ht="13" customHeight="1" x14ac:dyDescent="0.3">
      <c r="B369" s="975"/>
    </row>
    <row r="370" spans="2:2" x14ac:dyDescent="0.3">
      <c r="B370" s="975"/>
    </row>
    <row r="371" spans="2:2" x14ac:dyDescent="0.3">
      <c r="B371" s="975"/>
    </row>
    <row r="372" spans="2:2" x14ac:dyDescent="0.3">
      <c r="B372" s="975"/>
    </row>
    <row r="373" spans="2:2" x14ac:dyDescent="0.3">
      <c r="B373" s="975"/>
    </row>
    <row r="374" spans="2:2" x14ac:dyDescent="0.3">
      <c r="B374" s="975"/>
    </row>
    <row r="375" spans="2:2" x14ac:dyDescent="0.3">
      <c r="B375" s="975"/>
    </row>
    <row r="376" spans="2:2" x14ac:dyDescent="0.3">
      <c r="B376" s="975"/>
    </row>
    <row r="377" spans="2:2" ht="13" customHeight="1" x14ac:dyDescent="0.3">
      <c r="B377" s="975"/>
    </row>
    <row r="378" spans="2:2" x14ac:dyDescent="0.3">
      <c r="B378" s="975"/>
    </row>
    <row r="379" spans="2:2" x14ac:dyDescent="0.3">
      <c r="B379" s="975"/>
    </row>
    <row r="380" spans="2:2" x14ac:dyDescent="0.3">
      <c r="B380" s="975"/>
    </row>
    <row r="381" spans="2:2" x14ac:dyDescent="0.3">
      <c r="B381" s="975"/>
    </row>
    <row r="382" spans="2:2" x14ac:dyDescent="0.3">
      <c r="B382" s="975"/>
    </row>
    <row r="383" spans="2:2" x14ac:dyDescent="0.3">
      <c r="B383" s="975"/>
    </row>
    <row r="384" spans="2:2" x14ac:dyDescent="0.3">
      <c r="B384" s="975"/>
    </row>
    <row r="385" spans="2:2" ht="13" customHeight="1" x14ac:dyDescent="0.3">
      <c r="B385" s="975"/>
    </row>
    <row r="386" spans="2:2" x14ac:dyDescent="0.3">
      <c r="B386" s="975"/>
    </row>
    <row r="387" spans="2:2" x14ac:dyDescent="0.3">
      <c r="B387" s="975"/>
    </row>
    <row r="388" spans="2:2" x14ac:dyDescent="0.3">
      <c r="B388" s="975"/>
    </row>
    <row r="389" spans="2:2" x14ac:dyDescent="0.3">
      <c r="B389" s="975"/>
    </row>
    <row r="390" spans="2:2" x14ac:dyDescent="0.3">
      <c r="B390" s="975"/>
    </row>
    <row r="391" spans="2:2" x14ac:dyDescent="0.3">
      <c r="B391" s="975"/>
    </row>
    <row r="392" spans="2:2" x14ac:dyDescent="0.3">
      <c r="B392" s="975"/>
    </row>
    <row r="393" spans="2:2" ht="13" customHeight="1" x14ac:dyDescent="0.3">
      <c r="B393" s="975"/>
    </row>
    <row r="394" spans="2:2" x14ac:dyDescent="0.3">
      <c r="B394" s="975"/>
    </row>
    <row r="395" spans="2:2" x14ac:dyDescent="0.3">
      <c r="B395" s="975"/>
    </row>
    <row r="396" spans="2:2" x14ac:dyDescent="0.3">
      <c r="B396" s="975"/>
    </row>
    <row r="397" spans="2:2" x14ac:dyDescent="0.3">
      <c r="B397" s="975"/>
    </row>
    <row r="398" spans="2:2" x14ac:dyDescent="0.3">
      <c r="B398" s="975"/>
    </row>
    <row r="399" spans="2:2" x14ac:dyDescent="0.3">
      <c r="B399" s="975"/>
    </row>
    <row r="400" spans="2:2" x14ac:dyDescent="0.3">
      <c r="B400" s="975"/>
    </row>
    <row r="401" spans="2:2" ht="13" customHeight="1" x14ac:dyDescent="0.3">
      <c r="B401" s="975"/>
    </row>
    <row r="402" spans="2:2" x14ac:dyDescent="0.3">
      <c r="B402" s="975"/>
    </row>
    <row r="403" spans="2:2" x14ac:dyDescent="0.3">
      <c r="B403" s="975"/>
    </row>
    <row r="404" spans="2:2" x14ac:dyDescent="0.3">
      <c r="B404" s="975"/>
    </row>
    <row r="405" spans="2:2" x14ac:dyDescent="0.3">
      <c r="B405" s="975"/>
    </row>
    <row r="406" spans="2:2" x14ac:dyDescent="0.3">
      <c r="B406" s="975"/>
    </row>
    <row r="407" spans="2:2" x14ac:dyDescent="0.3">
      <c r="B407" s="975"/>
    </row>
    <row r="408" spans="2:2" x14ac:dyDescent="0.3">
      <c r="B408" s="975"/>
    </row>
    <row r="409" spans="2:2" ht="13" customHeight="1" x14ac:dyDescent="0.3">
      <c r="B409" s="975"/>
    </row>
    <row r="410" spans="2:2" x14ac:dyDescent="0.3">
      <c r="B410" s="975"/>
    </row>
    <row r="411" spans="2:2" x14ac:dyDescent="0.3">
      <c r="B411" s="975"/>
    </row>
    <row r="412" spans="2:2" x14ac:dyDescent="0.3">
      <c r="B412" s="975"/>
    </row>
    <row r="413" spans="2:2" x14ac:dyDescent="0.3">
      <c r="B413" s="975"/>
    </row>
    <row r="414" spans="2:2" x14ac:dyDescent="0.3">
      <c r="B414" s="975"/>
    </row>
    <row r="415" spans="2:2" x14ac:dyDescent="0.3">
      <c r="B415" s="975"/>
    </row>
    <row r="416" spans="2:2" x14ac:dyDescent="0.3">
      <c r="B416" s="975"/>
    </row>
  </sheetData>
  <dataConsolidate/>
  <mergeCells count="3">
    <mergeCell ref="B25:B32"/>
    <mergeCell ref="J3:K6"/>
    <mergeCell ref="C8:AI8"/>
  </mergeCells>
  <conditionalFormatting sqref="C8">
    <cfRule type="expression" dxfId="558" priority="1" stopIfTrue="1">
      <formula>IF(OR(ValidationCheck,FailureDomainCheck),1,0)</formula>
    </cfRule>
  </conditionalFormatting>
  <conditionalFormatting sqref="D18">
    <cfRule type="expression" dxfId="557" priority="527" stopIfTrue="1">
      <formula>IF(SUM(#REF!)&lt;2,1,0)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7</xdr:col>
                    <xdr:colOff>266700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50800</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50800</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15</xdr:col>
                    <xdr:colOff>266700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50800</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50800</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50800</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1327390" r:id="rId17" name="Server 1">
              <controlPr defaultSize="0" print="0" autoFill="0" autoPict="0" macro="[0]!'FailServer &quot;E&quot;'">
                <anchor moveWithCells="1" sizeWithCells="1">
                  <from>
                    <xdr:col>4</xdr:col>
                    <xdr:colOff>0</xdr:colOff>
                    <xdr:row>13</xdr:row>
                    <xdr:rowOff>0</xdr:rowOff>
                  </from>
                  <to>
                    <xdr:col>5</xdr:col>
                    <xdr:colOff>0</xdr:colOff>
                    <xdr:row>18</xdr:row>
                    <xdr:rowOff>0</xdr:rowOff>
                  </to>
                </anchor>
              </controlPr>
            </control>
          </mc:Choice>
        </mc:AlternateContent>
        <mc:AlternateContent xmlns:mc="http://schemas.openxmlformats.org/markup-compatibility/2006">
          <mc:Choice Requires="x14">
            <control shapeId="1327391" r:id="rId18" name="Server 2">
              <controlPr defaultSize="0" print="0" autoFill="0" autoPict="0" macro="[0]!'FailServer &quot;F&quot;'">
                <anchor moveWithCells="1" sizeWithCells="1">
                  <from>
                    <xdr:col>5</xdr:col>
                    <xdr:colOff>0</xdr:colOff>
                    <xdr:row>13</xdr:row>
                    <xdr:rowOff>0</xdr:rowOff>
                  </from>
                  <to>
                    <xdr:col>6</xdr:col>
                    <xdr:colOff>0</xdr:colOff>
                    <xdr:row>18</xdr:row>
                    <xdr:rowOff>0</xdr:rowOff>
                  </to>
                </anchor>
              </controlPr>
            </control>
          </mc:Choice>
        </mc:AlternateContent>
        <mc:AlternateContent xmlns:mc="http://schemas.openxmlformats.org/markup-compatibility/2006">
          <mc:Choice Requires="x14">
            <control shapeId="1327392" r:id="rId19" name="Server 3">
              <controlPr defaultSize="0" print="0" autoFill="0" autoPict="0" macro="[0]!'FailServer &quot;G&quot;'">
                <anchor moveWithCells="1" sizeWithCells="1">
                  <from>
                    <xdr:col>6</xdr:col>
                    <xdr:colOff>0</xdr:colOff>
                    <xdr:row>13</xdr:row>
                    <xdr:rowOff>0</xdr:rowOff>
                  </from>
                  <to>
                    <xdr:col>7</xdr:col>
                    <xdr:colOff>0</xdr:colOff>
                    <xdr:row>18</xdr:row>
                    <xdr:rowOff>0</xdr:rowOff>
                  </to>
                </anchor>
              </controlPr>
            </control>
          </mc:Choice>
        </mc:AlternateContent>
        <mc:AlternateContent xmlns:mc="http://schemas.openxmlformats.org/markup-compatibility/2006">
          <mc:Choice Requires="x14">
            <control shapeId="1327393" r:id="rId20" name="Server 4">
              <controlPr defaultSize="0" print="0" autoFill="0" autoPict="0" macro="[0]!'FailServer &quot;H&quot;'">
                <anchor moveWithCells="1" sizeWithCells="1">
                  <from>
                    <xdr:col>7</xdr:col>
                    <xdr:colOff>0</xdr:colOff>
                    <xdr:row>13</xdr:row>
                    <xdr:rowOff>0</xdr:rowOff>
                  </from>
                  <to>
                    <xdr:col>8</xdr:col>
                    <xdr:colOff>0</xdr:colOff>
                    <xdr:row>18</xdr:row>
                    <xdr:rowOff>0</xdr:rowOff>
                  </to>
                </anchor>
              </controlPr>
            </control>
          </mc:Choice>
        </mc:AlternateContent>
        <mc:AlternateContent xmlns:mc="http://schemas.openxmlformats.org/markup-compatibility/2006">
          <mc:Choice Requires="x14">
            <control shapeId="1327394" r:id="rId21" name="Server 5">
              <controlPr defaultSize="0" print="0" autoFill="0" autoPict="0" macro="[0]!'FailServer &quot;I&quot;'">
                <anchor moveWithCells="1" sizeWithCells="1">
                  <from>
                    <xdr:col>8</xdr:col>
                    <xdr:colOff>0</xdr:colOff>
                    <xdr:row>13</xdr:row>
                    <xdr:rowOff>0</xdr:rowOff>
                  </from>
                  <to>
                    <xdr:col>9</xdr:col>
                    <xdr:colOff>0</xdr:colOff>
                    <xdr:row>18</xdr:row>
                    <xdr:rowOff>0</xdr:rowOff>
                  </to>
                </anchor>
              </controlPr>
            </control>
          </mc:Choice>
        </mc:AlternateContent>
        <mc:AlternateContent xmlns:mc="http://schemas.openxmlformats.org/markup-compatibility/2006">
          <mc:Choice Requires="x14">
            <control shapeId="1327395" r:id="rId22" name="Server 6">
              <controlPr defaultSize="0" print="0" autoFill="0" autoPict="0" macro="[0]!'FailServer &quot;J&quot;'">
                <anchor moveWithCells="1" sizeWithCells="1">
                  <from>
                    <xdr:col>9</xdr:col>
                    <xdr:colOff>0</xdr:colOff>
                    <xdr:row>13</xdr:row>
                    <xdr:rowOff>0</xdr:rowOff>
                  </from>
                  <to>
                    <xdr:col>10</xdr:col>
                    <xdr:colOff>0</xdr:colOff>
                    <xdr:row>18</xdr:row>
                    <xdr:rowOff>0</xdr:rowOff>
                  </to>
                </anchor>
              </controlPr>
            </control>
          </mc:Choice>
        </mc:AlternateContent>
        <mc:AlternateContent xmlns:mc="http://schemas.openxmlformats.org/markup-compatibility/2006">
          <mc:Choice Requires="x14">
            <control shapeId="1327396" r:id="rId23" name="Server 7">
              <controlPr defaultSize="0" print="0" autoFill="0" autoPict="0" macro="[0]!'FailServer &quot;K&quot;'">
                <anchor moveWithCells="1" sizeWithCells="1">
                  <from>
                    <xdr:col>10</xdr:col>
                    <xdr:colOff>0</xdr:colOff>
                    <xdr:row>13</xdr:row>
                    <xdr:rowOff>0</xdr:rowOff>
                  </from>
                  <to>
                    <xdr:col>11</xdr:col>
                    <xdr:colOff>0</xdr:colOff>
                    <xdr:row>18</xdr:row>
                    <xdr:rowOff>0</xdr:rowOff>
                  </to>
                </anchor>
              </controlPr>
            </control>
          </mc:Choice>
        </mc:AlternateContent>
        <mc:AlternateContent xmlns:mc="http://schemas.openxmlformats.org/markup-compatibility/2006">
          <mc:Choice Requires="x14">
            <control shapeId="1327397" r:id="rId24" name="Server 8">
              <controlPr defaultSize="0" print="0" autoFill="0" autoPict="0" macro="[0]!'FailServer &quot;L&quot;'">
                <anchor moveWithCells="1" sizeWithCells="1">
                  <from>
                    <xdr:col>11</xdr:col>
                    <xdr:colOff>0</xdr:colOff>
                    <xdr:row>13</xdr:row>
                    <xdr:rowOff>0</xdr:rowOff>
                  </from>
                  <to>
                    <xdr:col>12</xdr:col>
                    <xdr:colOff>0</xdr:colOff>
                    <xdr:row>18</xdr:row>
                    <xdr:rowOff>0</xdr:rowOff>
                  </to>
                </anchor>
              </controlPr>
            </control>
          </mc:Choice>
        </mc:AlternateContent>
        <mc:AlternateContent xmlns:mc="http://schemas.openxmlformats.org/markup-compatibility/2006">
          <mc:Choice Requires="x14">
            <control shapeId="1327398" r:id="rId25" name="Restore-DAG 1">
              <controlPr defaultSize="0" print="0" autoFill="0" autoPict="0" macro="[0]!'RestoreDAG &quot;1&quot;'">
                <anchor moveWithCells="1" sizeWithCells="1">
                  <from>
                    <xdr:col>4</xdr:col>
                    <xdr:colOff>0</xdr:colOff>
                    <xdr:row>9</xdr:row>
                    <xdr:rowOff>0</xdr:rowOff>
                  </from>
                  <to>
                    <xdr:col>12</xdr:col>
                    <xdr:colOff>0</xdr:colOff>
                    <xdr:row>11</xdr:row>
                    <xdr:rowOff>0</xdr:rowOff>
                  </to>
                </anchor>
              </controlPr>
            </control>
          </mc:Choice>
        </mc:AlternateContent>
        <mc:AlternateContent xmlns:mc="http://schemas.openxmlformats.org/markup-compatibility/2006">
          <mc:Choice Requires="x14">
            <control shapeId="1327399" r:id="rId26" name="WAN Link 1">
              <controlPr defaultSize="0" print="0" autoFill="0" autoPict="0" macro="[0]!'FailWAN &quot;1&quot;'">
                <anchor moveWithCells="1" sizeWithCells="1">
                  <from>
                    <xdr:col>4</xdr:col>
                    <xdr:colOff>0</xdr:colOff>
                    <xdr:row>11</xdr:row>
                    <xdr:rowOff>0</xdr:rowOff>
                  </from>
                  <to>
                    <xdr:col>12</xdr:col>
                    <xdr:colOff>0</xdr:colOff>
                    <xdr:row>13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N231"/>
  <sheetViews>
    <sheetView showGridLines="0" showRowColHeaders="0" zoomScale="81" zoomScaleNormal="81" workbookViewId="0">
      <selection activeCell="I122" sqref="I122"/>
    </sheetView>
  </sheetViews>
  <sheetFormatPr defaultColWidth="9" defaultRowHeight="14.5" outlineLevelRow="1" x14ac:dyDescent="0.3"/>
  <cols>
    <col min="1" max="1" width="3.3984375" style="21" customWidth="1"/>
    <col min="2" max="2" width="27" style="21" customWidth="1"/>
    <col min="3" max="3" width="25" style="21" customWidth="1"/>
    <col min="4" max="4" width="16" style="21" bestFit="1" customWidth="1"/>
    <col min="5" max="5" width="19.59765625" style="21" customWidth="1"/>
    <col min="6" max="6" width="20" style="21" customWidth="1"/>
    <col min="7" max="7" width="14" style="21" bestFit="1" customWidth="1"/>
    <col min="8" max="8" width="36.59765625" style="21" customWidth="1"/>
    <col min="9" max="9" width="30.09765625" style="21" customWidth="1"/>
    <col min="10" max="10" width="30.09765625" style="919" customWidth="1"/>
    <col min="11" max="11" width="25.8984375" style="21" customWidth="1"/>
    <col min="12" max="16384" width="9" style="21"/>
  </cols>
  <sheetData>
    <row r="1" spans="1:11" x14ac:dyDescent="0.3">
      <c r="B1" s="1109" t="str">
        <f>VLOOKUP(47,strTable,2,FALSE)</f>
        <v>Note 1: Do not make any changes to this sheet.  This sheet is only used for calculation purposes.</v>
      </c>
      <c r="C1" s="1110"/>
      <c r="D1" s="1110"/>
      <c r="E1" s="1110"/>
      <c r="F1" s="1110"/>
      <c r="G1" s="1110"/>
      <c r="H1" s="1110"/>
      <c r="I1" s="1110"/>
      <c r="J1" s="1110"/>
      <c r="K1" s="1111"/>
    </row>
    <row r="2" spans="1:11" x14ac:dyDescent="0.3">
      <c r="B2" s="36"/>
      <c r="C2" s="20"/>
      <c r="D2" s="20"/>
      <c r="E2" s="20"/>
      <c r="F2" s="20"/>
      <c r="G2" s="20"/>
      <c r="H2" s="20"/>
      <c r="I2" s="20"/>
      <c r="J2" s="918"/>
      <c r="K2" s="22"/>
    </row>
    <row r="3" spans="1:11" x14ac:dyDescent="0.3">
      <c r="A3" s="26"/>
      <c r="B3" s="1093" t="s">
        <v>798</v>
      </c>
      <c r="C3" s="1093"/>
      <c r="D3" s="1093"/>
      <c r="E3" s="1093"/>
      <c r="F3" s="1093"/>
      <c r="G3" s="1093"/>
      <c r="H3" s="1093"/>
      <c r="I3" s="1093"/>
      <c r="J3" s="1093"/>
      <c r="K3" s="1113"/>
    </row>
    <row r="4" spans="1:11" hidden="1" outlineLevel="1" x14ac:dyDescent="0.3">
      <c r="A4" s="26"/>
      <c r="B4" s="18"/>
      <c r="C4" s="18"/>
      <c r="D4" s="18"/>
      <c r="E4" s="23"/>
      <c r="F4" s="23"/>
      <c r="G4" s="19"/>
      <c r="H4" s="19"/>
      <c r="I4" s="19"/>
      <c r="J4" s="19"/>
      <c r="K4" s="24"/>
    </row>
    <row r="5" spans="1:11" hidden="1" outlineLevel="1" x14ac:dyDescent="0.3">
      <c r="A5" s="26"/>
      <c r="B5" s="128" t="s">
        <v>26</v>
      </c>
      <c r="C5" s="128" t="s">
        <v>115</v>
      </c>
      <c r="D5" s="128" t="s">
        <v>430</v>
      </c>
      <c r="E5" s="19"/>
      <c r="F5" s="19"/>
      <c r="G5" s="19"/>
      <c r="H5" s="128" t="s">
        <v>801</v>
      </c>
      <c r="I5" s="128" t="s">
        <v>244</v>
      </c>
      <c r="J5" s="128"/>
      <c r="K5" s="135"/>
    </row>
    <row r="6" spans="1:11" hidden="1" outlineLevel="1" x14ac:dyDescent="0.3">
      <c r="A6" s="26"/>
      <c r="B6" s="966" t="str">
        <f>IF(NOT(ValidationCheck),IF(calcHAOption,IF(1&lt;=(RecNumDBs),1,""),IF(TotNumDBCopiesServer&gt;0,1,"")),"")</f>
        <v/>
      </c>
      <c r="C6" s="21" t="str">
        <f>IF(ISNUMBER(Table30[[#This Row],[DB Number]]),ROUNDUP(Table30[[#This Row],[DB Number]]/NumDBPerVol,0),"")</f>
        <v/>
      </c>
      <c r="D6" s="21" t="str">
        <f>IF(AND(ISNUMBER(Table30[[#This Row],[DB Number]]),Table30[[#This Row],[DB Number]]&lt;=NumDBVol),Table30[[#This Row],[DB Number]],"")</f>
        <v/>
      </c>
      <c r="E6" s="19"/>
      <c r="F6" s="19"/>
      <c r="G6" s="19"/>
      <c r="H6" s="21" t="s">
        <v>802</v>
      </c>
      <c r="I6" s="37" t="str">
        <f>IF(BackupMethod="Hardware VSS Backup/Restore",
    INDEX(varVolDesign,1),
    IF(AND(DBLogIsolation="No",
           calcMultipleDBVolume="No"
          ),
       INDEX(varVolDesign,1),
       IF(AND(DBLogIsolation="No",
              calcMultipleDBVolume="Yes",
              numDBCopies&gt;=varMinHACopyCount
             ),
          INDEX(varVolDesign,3),
          VLOOKUP(BackupFreq,TblBackupFreq,2,FALSE)
         )
      )
   )</f>
        <v>MultDBs</v>
      </c>
      <c r="J6" s="37"/>
      <c r="K6" s="26"/>
    </row>
    <row r="7" spans="1:11" hidden="1" outlineLevel="1" x14ac:dyDescent="0.3">
      <c r="A7" s="26"/>
      <c r="B7" s="21" t="str">
        <f t="shared" ref="B7:B38" si="0">IF(ISNUMBER(B6),(IF(calcHAOption,IF((B6+1)&lt;=(RecNumDBs),B6+1,""),IF(TotNumDBCopiesServer&gt;B6,B6+1,""))),"")</f>
        <v/>
      </c>
      <c r="C7" s="966" t="str">
        <f>IF(ISNUMBER(Table30[[#This Row],[DB Number]]),ROUNDUP(Table30[[#This Row],[DB Number]]/NumDBPerVol,0),"")</f>
        <v/>
      </c>
      <c r="D7" s="966" t="str">
        <f>IF(calcHAOption,IF(AND(ISNUMBER(Table30[[#This Row],[DB Number]]),Table30[[#This Row],[DB Number]]&lt;=NumDBVol),Table30[[#This Row],[DB Number]],""),IF(ISNUMBER(Table30[[#This Row],[DB Number]]),Table30[[#This Row],[DB Number]],""))</f>
        <v/>
      </c>
      <c r="E7" s="19"/>
      <c r="F7" s="19"/>
      <c r="G7" s="19"/>
      <c r="H7" s="21" t="s">
        <v>803</v>
      </c>
      <c r="I7" s="21">
        <f>RecDBperVolume</f>
        <v>4</v>
      </c>
      <c r="K7" s="26"/>
    </row>
    <row r="8" spans="1:11" hidden="1" outlineLevel="1" x14ac:dyDescent="0.3">
      <c r="A8" s="26"/>
      <c r="B8" s="971" t="str">
        <f t="shared" si="0"/>
        <v/>
      </c>
      <c r="C8" s="966" t="str">
        <f>IF(ISNUMBER(Table30[[#This Row],[DB Number]]),ROUNDUP(Table30[[#This Row],[DB Number]]/NumDBPerVol,0),"")</f>
        <v/>
      </c>
      <c r="D8" s="966" t="str">
        <f>IF(calcHAOption,IF(AND(ISNUMBER(Table30[[#This Row],[DB Number]]),Table30[[#This Row],[DB Number]]&lt;=NumDBVol),Table30[[#This Row],[DB Number]],""),IF(ISNUMBER(Table30[[#This Row],[DB Number]]),Table30[[#This Row],[DB Number]],""))</f>
        <v/>
      </c>
      <c r="E8" s="19"/>
      <c r="F8" s="19"/>
      <c r="G8" s="19"/>
      <c r="H8" s="21" t="s">
        <v>804</v>
      </c>
      <c r="I8" s="21">
        <f>IF(calcDiskLimitOverride="Yes",IFERROR(ROUNDUP(IF(PreferredStorageArch=INDEX(varStorageArchitecture,1),RecNumDBs/IF(OR(SRModel=INDEX(varSRModel,1),OptimizeforAP="Yes"),numActMBXSvrsPerDC*2,numActMBXSvrsPerDC),RecNumDBs),0),0),NumDisksPerServer)</f>
        <v>0</v>
      </c>
      <c r="K8" s="26"/>
    </row>
    <row r="9" spans="1:11" hidden="1" outlineLevel="1" x14ac:dyDescent="0.3">
      <c r="A9" s="26"/>
      <c r="B9" s="971" t="str">
        <f t="shared" si="0"/>
        <v/>
      </c>
      <c r="C9" s="966" t="str">
        <f>IF(ISNUMBER(Table30[[#This Row],[DB Number]]),ROUNDUP(Table30[[#This Row],[DB Number]]/NumDBPerVol,0),"")</f>
        <v/>
      </c>
      <c r="D9" s="966" t="str">
        <f>IF(calcHAOption,IF(AND(ISNUMBER(Table30[[#This Row],[DB Number]]),Table30[[#This Row],[DB Number]]&lt;=NumDBVol),Table30[[#This Row],[DB Number]],""),IF(ISNUMBER(Table30[[#This Row],[DB Number]]),Table30[[#This Row],[DB Number]],""))</f>
        <v/>
      </c>
      <c r="E9" s="19"/>
      <c r="F9" s="19"/>
      <c r="G9" s="19"/>
      <c r="H9" s="939" t="s">
        <v>2108</v>
      </c>
      <c r="I9" s="21">
        <f>IF(OR(VolArchitecture=INDEX(varVolumeArchitecture,1),VolArchitecture=INDEX(varVolumeArchitecture,4)),0,NumDBVol)</f>
        <v>0</v>
      </c>
      <c r="J9" s="129"/>
      <c r="K9" s="26"/>
    </row>
    <row r="10" spans="1:11" hidden="1" outlineLevel="1" x14ac:dyDescent="0.35">
      <c r="A10" s="26"/>
      <c r="B10" s="971" t="str">
        <f t="shared" si="0"/>
        <v/>
      </c>
      <c r="C10" s="966" t="str">
        <f>IF(ISNUMBER(Table30[[#This Row],[DB Number]]),ROUNDUP(Table30[[#This Row],[DB Number]]/NumDBPerVol,0),"")</f>
        <v/>
      </c>
      <c r="D10" s="966" t="str">
        <f>IF(calcHAOption,IF(AND(ISNUMBER(Table30[[#This Row],[DB Number]]),Table30[[#This Row],[DB Number]]&lt;=NumDBVol),Table30[[#This Row],[DB Number]],""),IF(ISNUMBER(Table30[[#This Row],[DB Number]]),Table30[[#This Row],[DB Number]],""))</f>
        <v/>
      </c>
      <c r="E10" s="23"/>
      <c r="F10" s="23"/>
      <c r="G10" s="19"/>
      <c r="H10" s="939" t="s">
        <v>805</v>
      </c>
      <c r="I10" s="129">
        <f>IF(RestoreVol="Yes",((SUMIF(C$6:C$105,D6,E$123:E$222)+SUMIF(C$6:C$105,D6,F$123:F$222))*IF(calcTotNumHACopies+calcTotNumLagCopies&gt;=varMinHACopyCount,1,IF(VolDesign=INDEX(varVolDesign,1),VLOOKUP(RecNumDBs,TblNumRestoreLun,2,TRUE),1)))/(1-VolGrowth),0)</f>
        <v>0</v>
      </c>
      <c r="J10" s="38"/>
      <c r="K10" s="24"/>
    </row>
    <row r="11" spans="1:11" hidden="1" outlineLevel="1" x14ac:dyDescent="0.35">
      <c r="A11" s="26"/>
      <c r="B11" s="971" t="str">
        <f t="shared" si="0"/>
        <v/>
      </c>
      <c r="C11" s="966" t="str">
        <f>IF(ISNUMBER(Table30[[#This Row],[DB Number]]),ROUNDUP(Table30[[#This Row],[DB Number]]/NumDBPerVol,0),"")</f>
        <v/>
      </c>
      <c r="D11" s="966" t="str">
        <f>IF(calcHAOption,IF(AND(ISNUMBER(Table30[[#This Row],[DB Number]]),Table30[[#This Row],[DB Number]]&lt;=NumDBVol),Table30[[#This Row],[DB Number]],""),IF(ISNUMBER(Table30[[#This Row],[DB Number]]),Table30[[#This Row],[DB Number]],""))</f>
        <v/>
      </c>
      <c r="E11" s="23"/>
      <c r="F11" s="23"/>
      <c r="G11" s="19"/>
      <c r="H11" s="38" t="s">
        <v>1208</v>
      </c>
      <c r="I11" s="38">
        <f>IF(DBLogIsolation="Yes",0,IF(calcMultipleDBVolume="Yes",AutoReseedVolumes,0))</f>
        <v>1</v>
      </c>
      <c r="J11" s="19"/>
      <c r="K11" s="24"/>
    </row>
    <row r="12" spans="1:11" hidden="1" outlineLevel="1" x14ac:dyDescent="0.3">
      <c r="A12" s="26"/>
      <c r="B12" s="971" t="str">
        <f t="shared" si="0"/>
        <v/>
      </c>
      <c r="C12" s="966" t="str">
        <f>IF(ISNUMBER(Table30[[#This Row],[DB Number]]),ROUNDUP(Table30[[#This Row],[DB Number]]/NumDBPerVol,0),"")</f>
        <v/>
      </c>
      <c r="D12" s="966" t="str">
        <f>IF(calcHAOption,IF(AND(ISNUMBER(Table30[[#This Row],[DB Number]]),Table30[[#This Row],[DB Number]]&lt;=NumDBVol),Table30[[#This Row],[DB Number]],""),IF(ISNUMBER(Table30[[#This Row],[DB Number]]),Table30[[#This Row],[DB Number]],""))</f>
        <v/>
      </c>
      <c r="E12" s="23"/>
      <c r="F12" s="23"/>
      <c r="G12" s="19"/>
      <c r="H12" s="939" t="s">
        <v>2111</v>
      </c>
      <c r="I12" s="966">
        <f>MIN(IF(VolDesign=INDEX(varVolDesign,2),VLOOKUP(TotNumDBCopiesServer,tblVolBackupSet,2,TRUE),IF(VolDesign=INDEX(varVolDesign,2),TotNumDBCopiesServer,IF(VolDesign=INDEX(varVolDesign,3),ROUNDUP(TotNumDBCopiesServer/RecDBperVolume,0),IF(calcDiskLimitOverride="No",NumDisksPerServer,99999)))))</f>
        <v>0</v>
      </c>
      <c r="J12" s="19"/>
      <c r="K12" s="24"/>
    </row>
    <row r="13" spans="1:11" hidden="1" outlineLevel="1" x14ac:dyDescent="0.3">
      <c r="A13" s="26"/>
      <c r="B13" s="971" t="str">
        <f t="shared" si="0"/>
        <v/>
      </c>
      <c r="C13" s="966" t="str">
        <f>IF(ISNUMBER(Table30[[#This Row],[DB Number]]),ROUNDUP(Table30[[#This Row],[DB Number]]/NumDBPerVol,0),"")</f>
        <v/>
      </c>
      <c r="D13" s="966" t="str">
        <f>IF(calcHAOption,IF(AND(ISNUMBER(Table30[[#This Row],[DB Number]]),Table30[[#This Row],[DB Number]]&lt;=NumDBVol),Table30[[#This Row],[DB Number]],""),IF(ISNUMBER(Table30[[#This Row],[DB Number]]),Table30[[#This Row],[DB Number]],""))</f>
        <v/>
      </c>
      <c r="E13" s="23"/>
      <c r="F13" s="23"/>
      <c r="G13" s="19"/>
      <c r="H13" s="19"/>
      <c r="I13" s="19"/>
      <c r="J13" s="19"/>
      <c r="K13" s="24"/>
    </row>
    <row r="14" spans="1:11" hidden="1" outlineLevel="1" x14ac:dyDescent="0.3">
      <c r="A14" s="26"/>
      <c r="B14" s="971" t="str">
        <f t="shared" si="0"/>
        <v/>
      </c>
      <c r="C14" s="966" t="str">
        <f>IF(ISNUMBER(Table30[[#This Row],[DB Number]]),ROUNDUP(Table30[[#This Row],[DB Number]]/NumDBPerVol,0),"")</f>
        <v/>
      </c>
      <c r="D14" s="966" t="str">
        <f>IF(calcHAOption,IF(AND(ISNUMBER(Table30[[#This Row],[DB Number]]),Table30[[#This Row],[DB Number]]&lt;=NumDBVol),Table30[[#This Row],[DB Number]],""),IF(ISNUMBER(Table30[[#This Row],[DB Number]]),Table30[[#This Row],[DB Number]],""))</f>
        <v/>
      </c>
      <c r="E14" s="23"/>
      <c r="F14" s="23"/>
      <c r="G14" s="19"/>
      <c r="H14" s="19"/>
      <c r="I14" s="19"/>
      <c r="J14" s="19"/>
      <c r="K14" s="24"/>
    </row>
    <row r="15" spans="1:11" hidden="1" outlineLevel="1" x14ac:dyDescent="0.3">
      <c r="A15" s="26"/>
      <c r="B15" s="971" t="str">
        <f t="shared" si="0"/>
        <v/>
      </c>
      <c r="C15" s="966" t="str">
        <f>IF(ISNUMBER(Table30[[#This Row],[DB Number]]),ROUNDUP(Table30[[#This Row],[DB Number]]/NumDBPerVol,0),"")</f>
        <v/>
      </c>
      <c r="D15" s="966" t="str">
        <f>IF(calcHAOption,IF(AND(ISNUMBER(Table30[[#This Row],[DB Number]]),Table30[[#This Row],[DB Number]]&lt;=NumDBVol),Table30[[#This Row],[DB Number]],""),IF(ISNUMBER(Table30[[#This Row],[DB Number]]),Table30[[#This Row],[DB Number]],""))</f>
        <v/>
      </c>
      <c r="E15" s="23"/>
      <c r="F15" s="23"/>
      <c r="G15" s="19"/>
      <c r="H15" s="19"/>
      <c r="I15" s="19"/>
      <c r="J15" s="19"/>
      <c r="K15" s="24"/>
    </row>
    <row r="16" spans="1:11" hidden="1" outlineLevel="1" x14ac:dyDescent="0.3">
      <c r="A16" s="26"/>
      <c r="B16" s="971" t="str">
        <f t="shared" si="0"/>
        <v/>
      </c>
      <c r="C16" s="966" t="str">
        <f>IF(ISNUMBER(Table30[[#This Row],[DB Number]]),ROUNDUP(Table30[[#This Row],[DB Number]]/NumDBPerVol,0),"")</f>
        <v/>
      </c>
      <c r="D16" s="966" t="str">
        <f>IF(calcHAOption,IF(AND(ISNUMBER(Table30[[#This Row],[DB Number]]),Table30[[#This Row],[DB Number]]&lt;=NumDBVol),Table30[[#This Row],[DB Number]],""),IF(ISNUMBER(Table30[[#This Row],[DB Number]]),Table30[[#This Row],[DB Number]],""))</f>
        <v/>
      </c>
      <c r="E16" s="23"/>
      <c r="F16" s="23"/>
      <c r="G16" s="19"/>
      <c r="K16" s="24"/>
    </row>
    <row r="17" spans="1:11" hidden="1" outlineLevel="1" x14ac:dyDescent="0.3">
      <c r="A17" s="26"/>
      <c r="B17" s="971" t="str">
        <f t="shared" si="0"/>
        <v/>
      </c>
      <c r="C17" s="966" t="str">
        <f>IF(ISNUMBER(Table30[[#This Row],[DB Number]]),ROUNDUP(Table30[[#This Row],[DB Number]]/NumDBPerVol,0),"")</f>
        <v/>
      </c>
      <c r="D17" s="966" t="str">
        <f>IF(calcHAOption,IF(AND(ISNUMBER(Table30[[#This Row],[DB Number]]),Table30[[#This Row],[DB Number]]&lt;=NumDBVol),Table30[[#This Row],[DB Number]],""),IF(ISNUMBER(Table30[[#This Row],[DB Number]]),Table30[[#This Row],[DB Number]],""))</f>
        <v/>
      </c>
      <c r="E17" s="23"/>
      <c r="F17" s="23"/>
      <c r="G17" s="19"/>
      <c r="H17" s="4"/>
      <c r="I17" s="19"/>
      <c r="J17" s="19"/>
      <c r="K17" s="24"/>
    </row>
    <row r="18" spans="1:11" hidden="1" outlineLevel="1" x14ac:dyDescent="0.3">
      <c r="A18" s="26"/>
      <c r="B18" s="971" t="str">
        <f t="shared" si="0"/>
        <v/>
      </c>
      <c r="C18" s="966" t="str">
        <f>IF(ISNUMBER(Table30[[#This Row],[DB Number]]),ROUNDUP(Table30[[#This Row],[DB Number]]/NumDBPerVol,0),"")</f>
        <v/>
      </c>
      <c r="D18" s="966" t="str">
        <f>IF(calcHAOption,IF(AND(ISNUMBER(Table30[[#This Row],[DB Number]]),Table30[[#This Row],[DB Number]]&lt;=NumDBVol),Table30[[#This Row],[DB Number]],""),IF(ISNUMBER(Table30[[#This Row],[DB Number]]),Table30[[#This Row],[DB Number]],""))</f>
        <v/>
      </c>
      <c r="E18" s="23"/>
      <c r="F18" s="23"/>
      <c r="G18" s="19"/>
      <c r="H18" s="20"/>
      <c r="I18" s="20"/>
      <c r="J18" s="918"/>
      <c r="K18" s="22"/>
    </row>
    <row r="19" spans="1:11" hidden="1" outlineLevel="1" x14ac:dyDescent="0.3">
      <c r="A19" s="26"/>
      <c r="B19" s="971" t="str">
        <f t="shared" si="0"/>
        <v/>
      </c>
      <c r="C19" s="966" t="str">
        <f>IF(ISNUMBER(Table30[[#This Row],[DB Number]]),ROUNDUP(Table30[[#This Row],[DB Number]]/NumDBPerVol,0),"")</f>
        <v/>
      </c>
      <c r="D19" s="966" t="str">
        <f>IF(calcHAOption,IF(AND(ISNUMBER(Table30[[#This Row],[DB Number]]),Table30[[#This Row],[DB Number]]&lt;=NumDBVol),Table30[[#This Row],[DB Number]],""),IF(ISNUMBER(Table30[[#This Row],[DB Number]]),Table30[[#This Row],[DB Number]],""))</f>
        <v/>
      </c>
      <c r="E19" s="23"/>
      <c r="F19" s="23"/>
      <c r="G19" s="19"/>
      <c r="H19" s="20"/>
      <c r="I19" s="20"/>
      <c r="J19" s="918"/>
      <c r="K19" s="22"/>
    </row>
    <row r="20" spans="1:11" hidden="1" outlineLevel="1" x14ac:dyDescent="0.3">
      <c r="A20" s="26"/>
      <c r="B20" s="971" t="str">
        <f t="shared" si="0"/>
        <v/>
      </c>
      <c r="C20" s="966" t="str">
        <f>IF(ISNUMBER(Table30[[#This Row],[DB Number]]),ROUNDUP(Table30[[#This Row],[DB Number]]/NumDBPerVol,0),"")</f>
        <v/>
      </c>
      <c r="D20" s="966" t="str">
        <f>IF(calcHAOption,IF(AND(ISNUMBER(Table30[[#This Row],[DB Number]]),Table30[[#This Row],[DB Number]]&lt;=NumDBVol),Table30[[#This Row],[DB Number]],""),IF(ISNUMBER(Table30[[#This Row],[DB Number]]),Table30[[#This Row],[DB Number]],""))</f>
        <v/>
      </c>
      <c r="E20" s="23"/>
      <c r="F20" s="23"/>
      <c r="G20" s="19"/>
      <c r="H20" s="20"/>
      <c r="I20" s="20"/>
      <c r="J20" s="918"/>
      <c r="K20" s="22"/>
    </row>
    <row r="21" spans="1:11" hidden="1" outlineLevel="1" x14ac:dyDescent="0.3">
      <c r="A21" s="26"/>
      <c r="B21" s="971" t="str">
        <f t="shared" si="0"/>
        <v/>
      </c>
      <c r="C21" s="966" t="str">
        <f>IF(ISNUMBER(Table30[[#This Row],[DB Number]]),ROUNDUP(Table30[[#This Row],[DB Number]]/NumDBPerVol,0),"")</f>
        <v/>
      </c>
      <c r="D21" s="966" t="str">
        <f>IF(calcHAOption,IF(AND(ISNUMBER(Table30[[#This Row],[DB Number]]),Table30[[#This Row],[DB Number]]&lt;=NumDBVol),Table30[[#This Row],[DB Number]],""),IF(ISNUMBER(Table30[[#This Row],[DB Number]]),Table30[[#This Row],[DB Number]],""))</f>
        <v/>
      </c>
      <c r="E21" s="23"/>
      <c r="F21" s="23"/>
      <c r="G21" s="19"/>
      <c r="H21" s="20"/>
      <c r="I21" s="20"/>
      <c r="J21" s="918"/>
      <c r="K21" s="22"/>
    </row>
    <row r="22" spans="1:11" hidden="1" outlineLevel="1" x14ac:dyDescent="0.3">
      <c r="A22" s="26"/>
      <c r="B22" s="971" t="str">
        <f t="shared" si="0"/>
        <v/>
      </c>
      <c r="C22" s="966" t="str">
        <f>IF(ISNUMBER(Table30[[#This Row],[DB Number]]),ROUNDUP(Table30[[#This Row],[DB Number]]/NumDBPerVol,0),"")</f>
        <v/>
      </c>
      <c r="D22" s="966" t="str">
        <f>IF(calcHAOption,IF(AND(ISNUMBER(Table30[[#This Row],[DB Number]]),Table30[[#This Row],[DB Number]]&lt;=NumDBVol),Table30[[#This Row],[DB Number]],""),IF(ISNUMBER(Table30[[#This Row],[DB Number]]),Table30[[#This Row],[DB Number]],""))</f>
        <v/>
      </c>
      <c r="E22" s="23"/>
      <c r="F22" s="23"/>
      <c r="G22" s="19"/>
      <c r="H22" s="20"/>
      <c r="I22" s="20"/>
      <c r="J22" s="918"/>
      <c r="K22" s="22"/>
    </row>
    <row r="23" spans="1:11" hidden="1" outlineLevel="1" x14ac:dyDescent="0.3">
      <c r="A23" s="26"/>
      <c r="B23" s="971" t="str">
        <f t="shared" si="0"/>
        <v/>
      </c>
      <c r="C23" s="966" t="str">
        <f>IF(ISNUMBER(Table30[[#This Row],[DB Number]]),ROUNDUP(Table30[[#This Row],[DB Number]]/NumDBPerVol,0),"")</f>
        <v/>
      </c>
      <c r="D23" s="966" t="str">
        <f>IF(calcHAOption,IF(AND(ISNUMBER(Table30[[#This Row],[DB Number]]),Table30[[#This Row],[DB Number]]&lt;=NumDBVol),Table30[[#This Row],[DB Number]],""),IF(ISNUMBER(Table30[[#This Row],[DB Number]]),Table30[[#This Row],[DB Number]],""))</f>
        <v/>
      </c>
      <c r="E23" s="23"/>
      <c r="F23" s="23"/>
      <c r="G23" s="19"/>
      <c r="H23" s="20"/>
      <c r="I23" s="20"/>
      <c r="J23" s="918"/>
      <c r="K23" s="22"/>
    </row>
    <row r="24" spans="1:11" hidden="1" outlineLevel="1" x14ac:dyDescent="0.3">
      <c r="A24" s="26"/>
      <c r="B24" s="971" t="str">
        <f t="shared" si="0"/>
        <v/>
      </c>
      <c r="C24" s="966" t="str">
        <f>IF(ISNUMBER(Table30[[#This Row],[DB Number]]),ROUNDUP(Table30[[#This Row],[DB Number]]/NumDBPerVol,0),"")</f>
        <v/>
      </c>
      <c r="D24" s="966" t="str">
        <f>IF(calcHAOption,IF(AND(ISNUMBER(Table30[[#This Row],[DB Number]]),Table30[[#This Row],[DB Number]]&lt;=NumDBVol),Table30[[#This Row],[DB Number]],""),IF(ISNUMBER(Table30[[#This Row],[DB Number]]),Table30[[#This Row],[DB Number]],""))</f>
        <v/>
      </c>
      <c r="E24" s="23"/>
      <c r="F24" s="23"/>
      <c r="G24" s="19"/>
      <c r="H24" s="20"/>
      <c r="I24" s="20"/>
      <c r="J24" s="918"/>
      <c r="K24" s="22"/>
    </row>
    <row r="25" spans="1:11" hidden="1" outlineLevel="1" x14ac:dyDescent="0.3">
      <c r="A25" s="26"/>
      <c r="B25" s="971" t="str">
        <f t="shared" si="0"/>
        <v/>
      </c>
      <c r="C25" s="966" t="str">
        <f>IF(ISNUMBER(Table30[[#This Row],[DB Number]]),ROUNDUP(Table30[[#This Row],[DB Number]]/NumDBPerVol,0),"")</f>
        <v/>
      </c>
      <c r="D25" s="966" t="str">
        <f>IF(calcHAOption,IF(AND(ISNUMBER(Table30[[#This Row],[DB Number]]),Table30[[#This Row],[DB Number]]&lt;=NumDBVol),Table30[[#This Row],[DB Number]],""),IF(ISNUMBER(Table30[[#This Row],[DB Number]]),Table30[[#This Row],[DB Number]],""))</f>
        <v/>
      </c>
      <c r="E25" s="23"/>
      <c r="F25" s="23"/>
      <c r="G25" s="19"/>
      <c r="H25" s="20"/>
      <c r="I25" s="20"/>
      <c r="J25" s="918"/>
      <c r="K25" s="22"/>
    </row>
    <row r="26" spans="1:11" hidden="1" outlineLevel="1" x14ac:dyDescent="0.3">
      <c r="A26" s="26"/>
      <c r="B26" s="971" t="str">
        <f t="shared" si="0"/>
        <v/>
      </c>
      <c r="C26" s="966" t="str">
        <f>IF(ISNUMBER(Table30[[#This Row],[DB Number]]),ROUNDUP(Table30[[#This Row],[DB Number]]/NumDBPerVol,0),"")</f>
        <v/>
      </c>
      <c r="D26" s="966" t="str">
        <f>IF(calcHAOption,IF(AND(ISNUMBER(Table30[[#This Row],[DB Number]]),Table30[[#This Row],[DB Number]]&lt;=NumDBVol),Table30[[#This Row],[DB Number]],""),IF(ISNUMBER(Table30[[#This Row],[DB Number]]),Table30[[#This Row],[DB Number]],""))</f>
        <v/>
      </c>
      <c r="E26" s="23"/>
      <c r="F26" s="23"/>
      <c r="G26" s="19"/>
      <c r="H26" s="20"/>
      <c r="I26" s="20"/>
      <c r="J26" s="918"/>
      <c r="K26" s="22"/>
    </row>
    <row r="27" spans="1:11" hidden="1" outlineLevel="1" x14ac:dyDescent="0.3">
      <c r="A27" s="26"/>
      <c r="B27" s="971" t="str">
        <f t="shared" si="0"/>
        <v/>
      </c>
      <c r="C27" s="966" t="str">
        <f>IF(ISNUMBER(Table30[[#This Row],[DB Number]]),ROUNDUP(Table30[[#This Row],[DB Number]]/NumDBPerVol,0),"")</f>
        <v/>
      </c>
      <c r="D27" s="966" t="str">
        <f>IF(calcHAOption,IF(AND(ISNUMBER(Table30[[#This Row],[DB Number]]),Table30[[#This Row],[DB Number]]&lt;=NumDBVol),Table30[[#This Row],[DB Number]],""),IF(ISNUMBER(Table30[[#This Row],[DB Number]]),Table30[[#This Row],[DB Number]],""))</f>
        <v/>
      </c>
      <c r="E27" s="23"/>
      <c r="F27" s="23"/>
      <c r="G27" s="19"/>
      <c r="H27" s="20"/>
      <c r="I27" s="20"/>
      <c r="J27" s="918"/>
      <c r="K27" s="22"/>
    </row>
    <row r="28" spans="1:11" hidden="1" outlineLevel="1" x14ac:dyDescent="0.3">
      <c r="A28" s="26"/>
      <c r="B28" s="971" t="str">
        <f t="shared" si="0"/>
        <v/>
      </c>
      <c r="C28" s="966" t="str">
        <f>IF(ISNUMBER(Table30[[#This Row],[DB Number]]),ROUNDUP(Table30[[#This Row],[DB Number]]/NumDBPerVol,0),"")</f>
        <v/>
      </c>
      <c r="D28" s="966" t="str">
        <f>IF(calcHAOption,IF(AND(ISNUMBER(Table30[[#This Row],[DB Number]]),Table30[[#This Row],[DB Number]]&lt;=NumDBVol),Table30[[#This Row],[DB Number]],""),IF(ISNUMBER(Table30[[#This Row],[DB Number]]),Table30[[#This Row],[DB Number]],""))</f>
        <v/>
      </c>
      <c r="E28" s="23"/>
      <c r="F28" s="23"/>
      <c r="G28" s="19"/>
      <c r="H28" s="20"/>
      <c r="I28" s="20"/>
      <c r="J28" s="918"/>
      <c r="K28" s="22"/>
    </row>
    <row r="29" spans="1:11" hidden="1" outlineLevel="1" x14ac:dyDescent="0.3">
      <c r="A29" s="26"/>
      <c r="B29" s="971" t="str">
        <f t="shared" si="0"/>
        <v/>
      </c>
      <c r="C29" s="966" t="str">
        <f>IF(ISNUMBER(Table30[[#This Row],[DB Number]]),ROUNDUP(Table30[[#This Row],[DB Number]]/NumDBPerVol,0),"")</f>
        <v/>
      </c>
      <c r="D29" s="966" t="str">
        <f>IF(calcHAOption,IF(AND(ISNUMBER(Table30[[#This Row],[DB Number]]),Table30[[#This Row],[DB Number]]&lt;=NumDBVol),Table30[[#This Row],[DB Number]],""),IF(ISNUMBER(Table30[[#This Row],[DB Number]]),Table30[[#This Row],[DB Number]],""))</f>
        <v/>
      </c>
      <c r="E29" s="23"/>
      <c r="F29" s="23"/>
      <c r="G29" s="19"/>
      <c r="H29" s="20"/>
      <c r="I29" s="20"/>
      <c r="J29" s="918"/>
      <c r="K29" s="22"/>
    </row>
    <row r="30" spans="1:11" hidden="1" outlineLevel="1" x14ac:dyDescent="0.3">
      <c r="A30" s="26"/>
      <c r="B30" s="971" t="str">
        <f t="shared" si="0"/>
        <v/>
      </c>
      <c r="C30" s="966" t="str">
        <f>IF(ISNUMBER(Table30[[#This Row],[DB Number]]),ROUNDUP(Table30[[#This Row],[DB Number]]/NumDBPerVol,0),"")</f>
        <v/>
      </c>
      <c r="D30" s="966" t="str">
        <f>IF(calcHAOption,IF(AND(ISNUMBER(Table30[[#This Row],[DB Number]]),Table30[[#This Row],[DB Number]]&lt;=NumDBVol),Table30[[#This Row],[DB Number]],""),IF(ISNUMBER(Table30[[#This Row],[DB Number]]),Table30[[#This Row],[DB Number]],""))</f>
        <v/>
      </c>
      <c r="E30" s="23"/>
      <c r="F30" s="23"/>
      <c r="G30" s="19"/>
      <c r="H30" s="20"/>
      <c r="I30" s="20"/>
      <c r="J30" s="918"/>
      <c r="K30" s="22"/>
    </row>
    <row r="31" spans="1:11" hidden="1" outlineLevel="1" x14ac:dyDescent="0.3">
      <c r="A31" s="26"/>
      <c r="B31" s="971" t="str">
        <f t="shared" si="0"/>
        <v/>
      </c>
      <c r="C31" s="966" t="str">
        <f>IF(ISNUMBER(Table30[[#This Row],[DB Number]]),ROUNDUP(Table30[[#This Row],[DB Number]]/NumDBPerVol,0),"")</f>
        <v/>
      </c>
      <c r="D31" s="966" t="str">
        <f>IF(calcHAOption,IF(AND(ISNUMBER(Table30[[#This Row],[DB Number]]),Table30[[#This Row],[DB Number]]&lt;=NumDBVol),Table30[[#This Row],[DB Number]],""),IF(ISNUMBER(Table30[[#This Row],[DB Number]]),Table30[[#This Row],[DB Number]],""))</f>
        <v/>
      </c>
      <c r="E31" s="23"/>
      <c r="F31" s="23"/>
      <c r="G31" s="19"/>
      <c r="H31" s="20"/>
      <c r="I31" s="20"/>
      <c r="J31" s="918"/>
      <c r="K31" s="22"/>
    </row>
    <row r="32" spans="1:11" hidden="1" outlineLevel="1" x14ac:dyDescent="0.3">
      <c r="A32" s="26"/>
      <c r="B32" s="971" t="str">
        <f t="shared" si="0"/>
        <v/>
      </c>
      <c r="C32" s="966" t="str">
        <f>IF(ISNUMBER(Table30[[#This Row],[DB Number]]),ROUNDUP(Table30[[#This Row],[DB Number]]/NumDBPerVol,0),"")</f>
        <v/>
      </c>
      <c r="D32" s="966" t="str">
        <f>IF(calcHAOption,IF(AND(ISNUMBER(Table30[[#This Row],[DB Number]]),Table30[[#This Row],[DB Number]]&lt;=NumDBVol),Table30[[#This Row],[DB Number]],""),IF(ISNUMBER(Table30[[#This Row],[DB Number]]),Table30[[#This Row],[DB Number]],""))</f>
        <v/>
      </c>
      <c r="E32" s="23"/>
      <c r="F32" s="23"/>
      <c r="G32" s="19"/>
      <c r="H32" s="20"/>
      <c r="I32" s="20"/>
      <c r="J32" s="918"/>
      <c r="K32" s="22"/>
    </row>
    <row r="33" spans="1:11" hidden="1" outlineLevel="1" x14ac:dyDescent="0.3">
      <c r="A33" s="26"/>
      <c r="B33" s="971" t="str">
        <f t="shared" si="0"/>
        <v/>
      </c>
      <c r="C33" s="966" t="str">
        <f>IF(ISNUMBER(Table30[[#This Row],[DB Number]]),ROUNDUP(Table30[[#This Row],[DB Number]]/NumDBPerVol,0),"")</f>
        <v/>
      </c>
      <c r="D33" s="966" t="str">
        <f>IF(calcHAOption,IF(AND(ISNUMBER(Table30[[#This Row],[DB Number]]),Table30[[#This Row],[DB Number]]&lt;=NumDBVol),Table30[[#This Row],[DB Number]],""),IF(ISNUMBER(Table30[[#This Row],[DB Number]]),Table30[[#This Row],[DB Number]],""))</f>
        <v/>
      </c>
      <c r="E33" s="23"/>
      <c r="F33" s="23"/>
      <c r="G33" s="19"/>
      <c r="H33" s="20"/>
      <c r="I33" s="20"/>
      <c r="J33" s="918"/>
      <c r="K33" s="22"/>
    </row>
    <row r="34" spans="1:11" hidden="1" outlineLevel="1" x14ac:dyDescent="0.3">
      <c r="A34" s="26"/>
      <c r="B34" s="971" t="str">
        <f t="shared" si="0"/>
        <v/>
      </c>
      <c r="C34" s="966" t="str">
        <f>IF(ISNUMBER(Table30[[#This Row],[DB Number]]),ROUNDUP(Table30[[#This Row],[DB Number]]/NumDBPerVol,0),"")</f>
        <v/>
      </c>
      <c r="D34" s="966" t="str">
        <f>IF(calcHAOption,IF(AND(ISNUMBER(Table30[[#This Row],[DB Number]]),Table30[[#This Row],[DB Number]]&lt;=NumDBVol),Table30[[#This Row],[DB Number]],""),IF(ISNUMBER(Table30[[#This Row],[DB Number]]),Table30[[#This Row],[DB Number]],""))</f>
        <v/>
      </c>
      <c r="E34" s="23"/>
      <c r="F34" s="23"/>
      <c r="G34" s="19"/>
      <c r="H34" s="20"/>
      <c r="I34" s="20"/>
      <c r="J34" s="918"/>
      <c r="K34" s="22"/>
    </row>
    <row r="35" spans="1:11" hidden="1" outlineLevel="1" x14ac:dyDescent="0.3">
      <c r="A35" s="26"/>
      <c r="B35" s="971" t="str">
        <f t="shared" si="0"/>
        <v/>
      </c>
      <c r="C35" s="966" t="str">
        <f>IF(ISNUMBER(Table30[[#This Row],[DB Number]]),ROUNDUP(Table30[[#This Row],[DB Number]]/NumDBPerVol,0),"")</f>
        <v/>
      </c>
      <c r="D35" s="966" t="str">
        <f>IF(calcHAOption,IF(AND(ISNUMBER(Table30[[#This Row],[DB Number]]),Table30[[#This Row],[DB Number]]&lt;=NumDBVol),Table30[[#This Row],[DB Number]],""),IF(ISNUMBER(Table30[[#This Row],[DB Number]]),Table30[[#This Row],[DB Number]],""))</f>
        <v/>
      </c>
      <c r="E35" s="23"/>
      <c r="F35" s="23"/>
      <c r="G35" s="19"/>
      <c r="H35" s="20"/>
      <c r="I35" s="20"/>
      <c r="J35" s="918"/>
      <c r="K35" s="22"/>
    </row>
    <row r="36" spans="1:11" hidden="1" outlineLevel="1" x14ac:dyDescent="0.3">
      <c r="A36" s="26"/>
      <c r="B36" s="971" t="str">
        <f t="shared" si="0"/>
        <v/>
      </c>
      <c r="C36" s="966" t="str">
        <f>IF(ISNUMBER(Table30[[#This Row],[DB Number]]),ROUNDUP(Table30[[#This Row],[DB Number]]/NumDBPerVol,0),"")</f>
        <v/>
      </c>
      <c r="D36" s="966" t="str">
        <f>IF(calcHAOption,IF(AND(ISNUMBER(Table30[[#This Row],[DB Number]]),Table30[[#This Row],[DB Number]]&lt;=NumDBVol),Table30[[#This Row],[DB Number]],""),IF(ISNUMBER(Table30[[#This Row],[DB Number]]),Table30[[#This Row],[DB Number]],""))</f>
        <v/>
      </c>
      <c r="E36" s="23"/>
      <c r="F36" s="23"/>
      <c r="G36" s="19"/>
      <c r="H36" s="20"/>
      <c r="I36" s="20"/>
      <c r="J36" s="918"/>
      <c r="K36" s="22"/>
    </row>
    <row r="37" spans="1:11" hidden="1" outlineLevel="1" x14ac:dyDescent="0.3">
      <c r="A37" s="26"/>
      <c r="B37" s="971" t="str">
        <f t="shared" si="0"/>
        <v/>
      </c>
      <c r="C37" s="966" t="str">
        <f>IF(ISNUMBER(Table30[[#This Row],[DB Number]]),ROUNDUP(Table30[[#This Row],[DB Number]]/NumDBPerVol,0),"")</f>
        <v/>
      </c>
      <c r="D37" s="966" t="str">
        <f>IF(calcHAOption,IF(AND(ISNUMBER(Table30[[#This Row],[DB Number]]),Table30[[#This Row],[DB Number]]&lt;=NumDBVol),Table30[[#This Row],[DB Number]],""),IF(ISNUMBER(Table30[[#This Row],[DB Number]]),Table30[[#This Row],[DB Number]],""))</f>
        <v/>
      </c>
      <c r="E37" s="23"/>
      <c r="F37" s="23"/>
      <c r="G37" s="19"/>
      <c r="H37" s="20"/>
      <c r="I37" s="20"/>
      <c r="J37" s="918"/>
      <c r="K37" s="22"/>
    </row>
    <row r="38" spans="1:11" hidden="1" outlineLevel="1" x14ac:dyDescent="0.3">
      <c r="A38" s="26"/>
      <c r="B38" s="971" t="str">
        <f t="shared" si="0"/>
        <v/>
      </c>
      <c r="C38" s="966" t="str">
        <f>IF(ISNUMBER(Table30[[#This Row],[DB Number]]),ROUNDUP(Table30[[#This Row],[DB Number]]/NumDBPerVol,0),"")</f>
        <v/>
      </c>
      <c r="D38" s="966" t="str">
        <f>IF(calcHAOption,IF(AND(ISNUMBER(Table30[[#This Row],[DB Number]]),Table30[[#This Row],[DB Number]]&lt;=NumDBVol),Table30[[#This Row],[DB Number]],""),IF(ISNUMBER(Table30[[#This Row],[DB Number]]),Table30[[#This Row],[DB Number]],""))</f>
        <v/>
      </c>
      <c r="E38" s="23"/>
      <c r="F38" s="23"/>
      <c r="G38" s="19"/>
      <c r="H38" s="20"/>
      <c r="I38" s="20"/>
      <c r="J38" s="918"/>
      <c r="K38" s="22"/>
    </row>
    <row r="39" spans="1:11" hidden="1" outlineLevel="1" x14ac:dyDescent="0.3">
      <c r="A39" s="26"/>
      <c r="B39" s="971" t="str">
        <f t="shared" ref="B39:B70" si="1">IF(ISNUMBER(B38),(IF(calcHAOption,IF((B38+1)&lt;=(RecNumDBs),B38+1,""),IF(TotNumDBCopiesServer&gt;B38,B38+1,""))),"")</f>
        <v/>
      </c>
      <c r="C39" s="966" t="str">
        <f>IF(ISNUMBER(Table30[[#This Row],[DB Number]]),ROUNDUP(Table30[[#This Row],[DB Number]]/NumDBPerVol,0),"")</f>
        <v/>
      </c>
      <c r="D39" s="966" t="str">
        <f>IF(calcHAOption,IF(AND(ISNUMBER(Table30[[#This Row],[DB Number]]),Table30[[#This Row],[DB Number]]&lt;=NumDBVol),Table30[[#This Row],[DB Number]],""),IF(ISNUMBER(Table30[[#This Row],[DB Number]]),Table30[[#This Row],[DB Number]],""))</f>
        <v/>
      </c>
      <c r="E39" s="23"/>
      <c r="F39" s="23"/>
      <c r="G39" s="19"/>
      <c r="H39" s="20"/>
      <c r="I39" s="20"/>
      <c r="J39" s="918"/>
      <c r="K39" s="22"/>
    </row>
    <row r="40" spans="1:11" hidden="1" outlineLevel="1" x14ac:dyDescent="0.3">
      <c r="A40" s="26"/>
      <c r="B40" s="971" t="str">
        <f t="shared" si="1"/>
        <v/>
      </c>
      <c r="C40" s="966" t="str">
        <f>IF(ISNUMBER(Table30[[#This Row],[DB Number]]),ROUNDUP(Table30[[#This Row],[DB Number]]/NumDBPerVol,0),"")</f>
        <v/>
      </c>
      <c r="D40" s="966" t="str">
        <f>IF(calcHAOption,IF(AND(ISNUMBER(Table30[[#This Row],[DB Number]]),Table30[[#This Row],[DB Number]]&lt;=NumDBVol),Table30[[#This Row],[DB Number]],""),IF(ISNUMBER(Table30[[#This Row],[DB Number]]),Table30[[#This Row],[DB Number]],""))</f>
        <v/>
      </c>
      <c r="E40" s="23"/>
      <c r="F40" s="23"/>
      <c r="G40" s="19"/>
      <c r="H40" s="20"/>
      <c r="I40" s="20"/>
      <c r="J40" s="918"/>
      <c r="K40" s="22"/>
    </row>
    <row r="41" spans="1:11" hidden="1" outlineLevel="1" x14ac:dyDescent="0.3">
      <c r="A41" s="26"/>
      <c r="B41" s="971" t="str">
        <f t="shared" si="1"/>
        <v/>
      </c>
      <c r="C41" s="966" t="str">
        <f>IF(ISNUMBER(Table30[[#This Row],[DB Number]]),ROUNDUP(Table30[[#This Row],[DB Number]]/NumDBPerVol,0),"")</f>
        <v/>
      </c>
      <c r="D41" s="966" t="str">
        <f>IF(calcHAOption,IF(AND(ISNUMBER(Table30[[#This Row],[DB Number]]),Table30[[#This Row],[DB Number]]&lt;=NumDBVol),Table30[[#This Row],[DB Number]],""),IF(ISNUMBER(Table30[[#This Row],[DB Number]]),Table30[[#This Row],[DB Number]],""))</f>
        <v/>
      </c>
      <c r="E41" s="23"/>
      <c r="F41" s="23"/>
      <c r="G41" s="19"/>
      <c r="H41" s="20"/>
      <c r="I41" s="20"/>
      <c r="J41" s="918"/>
      <c r="K41" s="22"/>
    </row>
    <row r="42" spans="1:11" hidden="1" outlineLevel="1" x14ac:dyDescent="0.3">
      <c r="A42" s="26"/>
      <c r="B42" s="971" t="str">
        <f t="shared" si="1"/>
        <v/>
      </c>
      <c r="C42" s="966" t="str">
        <f>IF(ISNUMBER(Table30[[#This Row],[DB Number]]),ROUNDUP(Table30[[#This Row],[DB Number]]/NumDBPerVol,0),"")</f>
        <v/>
      </c>
      <c r="D42" s="966" t="str">
        <f>IF(calcHAOption,IF(AND(ISNUMBER(Table30[[#This Row],[DB Number]]),Table30[[#This Row],[DB Number]]&lt;=NumDBVol),Table30[[#This Row],[DB Number]],""),IF(ISNUMBER(Table30[[#This Row],[DB Number]]),Table30[[#This Row],[DB Number]],""))</f>
        <v/>
      </c>
      <c r="E42" s="23"/>
      <c r="F42" s="23"/>
      <c r="G42" s="19"/>
      <c r="H42" s="20"/>
      <c r="I42" s="20"/>
      <c r="J42" s="918"/>
      <c r="K42" s="22"/>
    </row>
    <row r="43" spans="1:11" hidden="1" outlineLevel="1" x14ac:dyDescent="0.3">
      <c r="A43" s="26"/>
      <c r="B43" s="971" t="str">
        <f t="shared" si="1"/>
        <v/>
      </c>
      <c r="C43" s="966" t="str">
        <f>IF(ISNUMBER(Table30[[#This Row],[DB Number]]),ROUNDUP(Table30[[#This Row],[DB Number]]/NumDBPerVol,0),"")</f>
        <v/>
      </c>
      <c r="D43" s="966" t="str">
        <f>IF(calcHAOption,IF(AND(ISNUMBER(Table30[[#This Row],[DB Number]]),Table30[[#This Row],[DB Number]]&lt;=NumDBVol),Table30[[#This Row],[DB Number]],""),IF(ISNUMBER(Table30[[#This Row],[DB Number]]),Table30[[#This Row],[DB Number]],""))</f>
        <v/>
      </c>
      <c r="E43" s="23"/>
      <c r="F43" s="23"/>
      <c r="G43" s="19"/>
      <c r="H43" s="20"/>
      <c r="I43" s="20"/>
      <c r="J43" s="918"/>
      <c r="K43" s="22"/>
    </row>
    <row r="44" spans="1:11" hidden="1" outlineLevel="1" x14ac:dyDescent="0.3">
      <c r="A44" s="26"/>
      <c r="B44" s="971" t="str">
        <f t="shared" si="1"/>
        <v/>
      </c>
      <c r="C44" s="966" t="str">
        <f>IF(ISNUMBER(Table30[[#This Row],[DB Number]]),ROUNDUP(Table30[[#This Row],[DB Number]]/NumDBPerVol,0),"")</f>
        <v/>
      </c>
      <c r="D44" s="966" t="str">
        <f>IF(calcHAOption,IF(AND(ISNUMBER(Table30[[#This Row],[DB Number]]),Table30[[#This Row],[DB Number]]&lt;=NumDBVol),Table30[[#This Row],[DB Number]],""),IF(ISNUMBER(Table30[[#This Row],[DB Number]]),Table30[[#This Row],[DB Number]],""))</f>
        <v/>
      </c>
      <c r="E44" s="23"/>
      <c r="F44" s="23"/>
      <c r="G44" s="19"/>
      <c r="H44" s="20"/>
      <c r="I44" s="20"/>
      <c r="J44" s="918"/>
      <c r="K44" s="22"/>
    </row>
    <row r="45" spans="1:11" hidden="1" outlineLevel="1" x14ac:dyDescent="0.3">
      <c r="A45" s="26"/>
      <c r="B45" s="971" t="str">
        <f t="shared" si="1"/>
        <v/>
      </c>
      <c r="C45" s="966" t="str">
        <f>IF(ISNUMBER(Table30[[#This Row],[DB Number]]),ROUNDUP(Table30[[#This Row],[DB Number]]/NumDBPerVol,0),"")</f>
        <v/>
      </c>
      <c r="D45" s="966" t="str">
        <f>IF(calcHAOption,IF(AND(ISNUMBER(Table30[[#This Row],[DB Number]]),Table30[[#This Row],[DB Number]]&lt;=NumDBVol),Table30[[#This Row],[DB Number]],""),IF(ISNUMBER(Table30[[#This Row],[DB Number]]),Table30[[#This Row],[DB Number]],""))</f>
        <v/>
      </c>
      <c r="E45" s="23"/>
      <c r="F45" s="23"/>
      <c r="G45" s="19"/>
      <c r="H45" s="20"/>
      <c r="I45" s="20"/>
      <c r="J45" s="918"/>
      <c r="K45" s="22"/>
    </row>
    <row r="46" spans="1:11" hidden="1" outlineLevel="1" x14ac:dyDescent="0.3">
      <c r="A46" s="26"/>
      <c r="B46" s="971" t="str">
        <f t="shared" si="1"/>
        <v/>
      </c>
      <c r="C46" s="966" t="str">
        <f>IF(ISNUMBER(Table30[[#This Row],[DB Number]]),ROUNDUP(Table30[[#This Row],[DB Number]]/NumDBPerVol,0),"")</f>
        <v/>
      </c>
      <c r="D46" s="966" t="str">
        <f>IF(calcHAOption,IF(AND(ISNUMBER(Table30[[#This Row],[DB Number]]),Table30[[#This Row],[DB Number]]&lt;=NumDBVol),Table30[[#This Row],[DB Number]],""),IF(ISNUMBER(Table30[[#This Row],[DB Number]]),Table30[[#This Row],[DB Number]],""))</f>
        <v/>
      </c>
      <c r="E46" s="23"/>
      <c r="F46" s="23"/>
      <c r="G46" s="19"/>
      <c r="H46" s="20"/>
      <c r="I46" s="20"/>
      <c r="J46" s="918"/>
      <c r="K46" s="22"/>
    </row>
    <row r="47" spans="1:11" hidden="1" outlineLevel="1" x14ac:dyDescent="0.3">
      <c r="A47" s="26"/>
      <c r="B47" s="971" t="str">
        <f t="shared" si="1"/>
        <v/>
      </c>
      <c r="C47" s="966" t="str">
        <f>IF(ISNUMBER(Table30[[#This Row],[DB Number]]),ROUNDUP(Table30[[#This Row],[DB Number]]/NumDBPerVol,0),"")</f>
        <v/>
      </c>
      <c r="D47" s="966" t="str">
        <f>IF(calcHAOption,IF(AND(ISNUMBER(Table30[[#This Row],[DB Number]]),Table30[[#This Row],[DB Number]]&lt;=NumDBVol),Table30[[#This Row],[DB Number]],""),IF(ISNUMBER(Table30[[#This Row],[DB Number]]),Table30[[#This Row],[DB Number]],""))</f>
        <v/>
      </c>
      <c r="E47" s="23"/>
      <c r="F47" s="23"/>
      <c r="G47" s="19"/>
      <c r="H47" s="20"/>
      <c r="I47" s="20"/>
      <c r="J47" s="918"/>
      <c r="K47" s="22"/>
    </row>
    <row r="48" spans="1:11" hidden="1" outlineLevel="1" x14ac:dyDescent="0.3">
      <c r="A48" s="26"/>
      <c r="B48" s="971" t="str">
        <f t="shared" si="1"/>
        <v/>
      </c>
      <c r="C48" s="966" t="str">
        <f>IF(ISNUMBER(Table30[[#This Row],[DB Number]]),ROUNDUP(Table30[[#This Row],[DB Number]]/NumDBPerVol,0),"")</f>
        <v/>
      </c>
      <c r="D48" s="966" t="str">
        <f>IF(calcHAOption,IF(AND(ISNUMBER(Table30[[#This Row],[DB Number]]),Table30[[#This Row],[DB Number]]&lt;=NumDBVol),Table30[[#This Row],[DB Number]],""),IF(ISNUMBER(Table30[[#This Row],[DB Number]]),Table30[[#This Row],[DB Number]],""))</f>
        <v/>
      </c>
      <c r="E48" s="23"/>
      <c r="F48" s="23"/>
      <c r="G48" s="19"/>
      <c r="H48" s="20"/>
      <c r="I48" s="20"/>
      <c r="J48" s="918"/>
      <c r="K48" s="22"/>
    </row>
    <row r="49" spans="1:11" hidden="1" outlineLevel="1" x14ac:dyDescent="0.3">
      <c r="A49" s="26"/>
      <c r="B49" s="971" t="str">
        <f t="shared" si="1"/>
        <v/>
      </c>
      <c r="C49" s="966" t="str">
        <f>IF(ISNUMBER(Table30[[#This Row],[DB Number]]),ROUNDUP(Table30[[#This Row],[DB Number]]/NumDBPerVol,0),"")</f>
        <v/>
      </c>
      <c r="D49" s="966" t="str">
        <f>IF(calcHAOption,IF(AND(ISNUMBER(Table30[[#This Row],[DB Number]]),Table30[[#This Row],[DB Number]]&lt;=NumDBVol),Table30[[#This Row],[DB Number]],""),IF(ISNUMBER(Table30[[#This Row],[DB Number]]),Table30[[#This Row],[DB Number]],""))</f>
        <v/>
      </c>
      <c r="E49" s="23"/>
      <c r="F49" s="23"/>
      <c r="G49" s="19"/>
      <c r="H49" s="20"/>
      <c r="I49" s="20"/>
      <c r="J49" s="918"/>
      <c r="K49" s="22"/>
    </row>
    <row r="50" spans="1:11" hidden="1" outlineLevel="1" x14ac:dyDescent="0.3">
      <c r="A50" s="26"/>
      <c r="B50" s="971" t="str">
        <f t="shared" si="1"/>
        <v/>
      </c>
      <c r="C50" s="966" t="str">
        <f>IF(ISNUMBER(Table30[[#This Row],[DB Number]]),ROUNDUP(Table30[[#This Row],[DB Number]]/NumDBPerVol,0),"")</f>
        <v/>
      </c>
      <c r="D50" s="966" t="str">
        <f>IF(calcHAOption,IF(AND(ISNUMBER(Table30[[#This Row],[DB Number]]),Table30[[#This Row],[DB Number]]&lt;=NumDBVol),Table30[[#This Row],[DB Number]],""),IF(ISNUMBER(Table30[[#This Row],[DB Number]]),Table30[[#This Row],[DB Number]],""))</f>
        <v/>
      </c>
      <c r="E50" s="23"/>
      <c r="F50" s="23"/>
      <c r="G50" s="19"/>
      <c r="H50" s="20"/>
      <c r="I50" s="20"/>
      <c r="J50" s="918"/>
      <c r="K50" s="22"/>
    </row>
    <row r="51" spans="1:11" hidden="1" outlineLevel="1" x14ac:dyDescent="0.3">
      <c r="A51" s="26"/>
      <c r="B51" s="971" t="str">
        <f t="shared" si="1"/>
        <v/>
      </c>
      <c r="C51" s="966" t="str">
        <f>IF(ISNUMBER(Table30[[#This Row],[DB Number]]),ROUNDUP(Table30[[#This Row],[DB Number]]/NumDBPerVol,0),"")</f>
        <v/>
      </c>
      <c r="D51" s="966" t="str">
        <f>IF(calcHAOption,IF(AND(ISNUMBER(Table30[[#This Row],[DB Number]]),Table30[[#This Row],[DB Number]]&lt;=NumDBVol),Table30[[#This Row],[DB Number]],""),IF(ISNUMBER(Table30[[#This Row],[DB Number]]),Table30[[#This Row],[DB Number]],""))</f>
        <v/>
      </c>
      <c r="E51" s="23"/>
      <c r="F51" s="23"/>
      <c r="G51" s="19"/>
      <c r="H51" s="20"/>
      <c r="I51" s="20"/>
      <c r="J51" s="918"/>
      <c r="K51" s="22"/>
    </row>
    <row r="52" spans="1:11" hidden="1" outlineLevel="1" x14ac:dyDescent="0.3">
      <c r="A52" s="26"/>
      <c r="B52" s="971" t="str">
        <f t="shared" si="1"/>
        <v/>
      </c>
      <c r="C52" s="966" t="str">
        <f>IF(ISNUMBER(Table30[[#This Row],[DB Number]]),ROUNDUP(Table30[[#This Row],[DB Number]]/NumDBPerVol,0),"")</f>
        <v/>
      </c>
      <c r="D52" s="966" t="str">
        <f>IF(calcHAOption,IF(AND(ISNUMBER(Table30[[#This Row],[DB Number]]),Table30[[#This Row],[DB Number]]&lt;=NumDBVol),Table30[[#This Row],[DB Number]],""),IF(ISNUMBER(Table30[[#This Row],[DB Number]]),Table30[[#This Row],[DB Number]],""))</f>
        <v/>
      </c>
      <c r="E52" s="23"/>
      <c r="F52" s="23"/>
      <c r="G52" s="19"/>
      <c r="H52" s="20"/>
      <c r="I52" s="20"/>
      <c r="J52" s="918"/>
      <c r="K52" s="22"/>
    </row>
    <row r="53" spans="1:11" hidden="1" outlineLevel="1" x14ac:dyDescent="0.3">
      <c r="A53" s="26"/>
      <c r="B53" s="971" t="str">
        <f t="shared" si="1"/>
        <v/>
      </c>
      <c r="C53" s="966" t="str">
        <f>IF(ISNUMBER(Table30[[#This Row],[DB Number]]),ROUNDUP(Table30[[#This Row],[DB Number]]/NumDBPerVol,0),"")</f>
        <v/>
      </c>
      <c r="D53" s="966" t="str">
        <f>IF(calcHAOption,IF(AND(ISNUMBER(Table30[[#This Row],[DB Number]]),Table30[[#This Row],[DB Number]]&lt;=NumDBVol),Table30[[#This Row],[DB Number]],""),IF(ISNUMBER(Table30[[#This Row],[DB Number]]),Table30[[#This Row],[DB Number]],""))</f>
        <v/>
      </c>
      <c r="E53" s="23"/>
      <c r="F53" s="23"/>
      <c r="G53" s="19"/>
      <c r="H53" s="20"/>
      <c r="I53" s="20"/>
      <c r="J53" s="918"/>
      <c r="K53" s="22"/>
    </row>
    <row r="54" spans="1:11" hidden="1" outlineLevel="1" x14ac:dyDescent="0.3">
      <c r="A54" s="26"/>
      <c r="B54" s="971" t="str">
        <f t="shared" si="1"/>
        <v/>
      </c>
      <c r="C54" s="966" t="str">
        <f>IF(ISNUMBER(Table30[[#This Row],[DB Number]]),ROUNDUP(Table30[[#This Row],[DB Number]]/NumDBPerVol,0),"")</f>
        <v/>
      </c>
      <c r="D54" s="966" t="str">
        <f>IF(calcHAOption,IF(AND(ISNUMBER(Table30[[#This Row],[DB Number]]),Table30[[#This Row],[DB Number]]&lt;=NumDBVol),Table30[[#This Row],[DB Number]],""),IF(ISNUMBER(Table30[[#This Row],[DB Number]]),Table30[[#This Row],[DB Number]],""))</f>
        <v/>
      </c>
      <c r="E54" s="23"/>
      <c r="F54" s="23"/>
      <c r="G54" s="19"/>
      <c r="H54" s="20"/>
      <c r="I54" s="20"/>
      <c r="J54" s="918"/>
      <c r="K54" s="22"/>
    </row>
    <row r="55" spans="1:11" hidden="1" outlineLevel="1" x14ac:dyDescent="0.3">
      <c r="A55" s="26"/>
      <c r="B55" s="971" t="str">
        <f t="shared" si="1"/>
        <v/>
      </c>
      <c r="C55" s="966" t="str">
        <f>IF(ISNUMBER(Table30[[#This Row],[DB Number]]),ROUNDUP(Table30[[#This Row],[DB Number]]/NumDBPerVol,0),"")</f>
        <v/>
      </c>
      <c r="D55" s="966" t="str">
        <f>IF(calcHAOption,IF(AND(ISNUMBER(Table30[[#This Row],[DB Number]]),Table30[[#This Row],[DB Number]]&lt;=NumDBVol),Table30[[#This Row],[DB Number]],""),IF(ISNUMBER(Table30[[#This Row],[DB Number]]),Table30[[#This Row],[DB Number]],""))</f>
        <v/>
      </c>
      <c r="E55" s="23"/>
      <c r="F55" s="23"/>
      <c r="G55" s="19"/>
      <c r="H55" s="20"/>
      <c r="I55" s="20"/>
      <c r="J55" s="918"/>
      <c r="K55" s="22"/>
    </row>
    <row r="56" spans="1:11" hidden="1" outlineLevel="1" x14ac:dyDescent="0.3">
      <c r="A56" s="26"/>
      <c r="B56" s="971" t="str">
        <f t="shared" si="1"/>
        <v/>
      </c>
      <c r="C56" s="966" t="str">
        <f>IF(ISNUMBER(Table30[[#This Row],[DB Number]]),ROUNDUP(Table30[[#This Row],[DB Number]]/NumDBPerVol,0),"")</f>
        <v/>
      </c>
      <c r="D56" s="966" t="str">
        <f>IF(calcHAOption,IF(AND(ISNUMBER(Table30[[#This Row],[DB Number]]),Table30[[#This Row],[DB Number]]&lt;=NumDBVol),Table30[[#This Row],[DB Number]],""),IF(ISNUMBER(Table30[[#This Row],[DB Number]]),Table30[[#This Row],[DB Number]],""))</f>
        <v/>
      </c>
      <c r="E56" s="23"/>
      <c r="F56" s="23"/>
      <c r="G56" s="19"/>
      <c r="H56" s="20"/>
      <c r="I56" s="20"/>
      <c r="J56" s="918"/>
      <c r="K56" s="22"/>
    </row>
    <row r="57" spans="1:11" hidden="1" outlineLevel="1" x14ac:dyDescent="0.3">
      <c r="A57" s="26"/>
      <c r="B57" s="971" t="str">
        <f t="shared" si="1"/>
        <v/>
      </c>
      <c r="C57" s="966" t="str">
        <f>IF(ISNUMBER(Table30[[#This Row],[DB Number]]),ROUNDUP(Table30[[#This Row],[DB Number]]/NumDBPerVol,0),"")</f>
        <v/>
      </c>
      <c r="D57" s="966" t="str">
        <f>IF(calcHAOption,IF(AND(ISNUMBER(Table30[[#This Row],[DB Number]]),Table30[[#This Row],[DB Number]]&lt;=NumDBVol),Table30[[#This Row],[DB Number]],""),IF(ISNUMBER(Table30[[#This Row],[DB Number]]),Table30[[#This Row],[DB Number]],""))</f>
        <v/>
      </c>
      <c r="E57" s="23"/>
      <c r="F57" s="23"/>
      <c r="G57" s="19"/>
      <c r="H57" s="20"/>
      <c r="I57" s="20"/>
      <c r="J57" s="918"/>
      <c r="K57" s="22"/>
    </row>
    <row r="58" spans="1:11" hidden="1" outlineLevel="1" x14ac:dyDescent="0.3">
      <c r="A58" s="26"/>
      <c r="B58" s="971" t="str">
        <f t="shared" si="1"/>
        <v/>
      </c>
      <c r="C58" s="966" t="str">
        <f>IF(ISNUMBER(Table30[[#This Row],[DB Number]]),ROUNDUP(Table30[[#This Row],[DB Number]]/NumDBPerVol,0),"")</f>
        <v/>
      </c>
      <c r="D58" s="966" t="str">
        <f>IF(calcHAOption,IF(AND(ISNUMBER(Table30[[#This Row],[DB Number]]),Table30[[#This Row],[DB Number]]&lt;=NumDBVol),Table30[[#This Row],[DB Number]],""),IF(ISNUMBER(Table30[[#This Row],[DB Number]]),Table30[[#This Row],[DB Number]],""))</f>
        <v/>
      </c>
      <c r="E58" s="23"/>
      <c r="F58" s="23"/>
      <c r="G58" s="19"/>
      <c r="H58" s="20"/>
      <c r="I58" s="20"/>
      <c r="J58" s="918"/>
      <c r="K58" s="22"/>
    </row>
    <row r="59" spans="1:11" hidden="1" outlineLevel="1" x14ac:dyDescent="0.3">
      <c r="A59" s="26"/>
      <c r="B59" s="971" t="str">
        <f t="shared" si="1"/>
        <v/>
      </c>
      <c r="C59" s="966" t="str">
        <f>IF(ISNUMBER(Table30[[#This Row],[DB Number]]),ROUNDUP(Table30[[#This Row],[DB Number]]/NumDBPerVol,0),"")</f>
        <v/>
      </c>
      <c r="D59" s="966" t="str">
        <f>IF(calcHAOption,IF(AND(ISNUMBER(Table30[[#This Row],[DB Number]]),Table30[[#This Row],[DB Number]]&lt;=NumDBVol),Table30[[#This Row],[DB Number]],""),IF(ISNUMBER(Table30[[#This Row],[DB Number]]),Table30[[#This Row],[DB Number]],""))</f>
        <v/>
      </c>
      <c r="E59" s="23"/>
      <c r="F59" s="23"/>
      <c r="G59" s="19"/>
      <c r="H59" s="20"/>
      <c r="I59" s="20"/>
      <c r="J59" s="918"/>
      <c r="K59" s="22"/>
    </row>
    <row r="60" spans="1:11" hidden="1" outlineLevel="1" x14ac:dyDescent="0.3">
      <c r="A60" s="26"/>
      <c r="B60" s="971" t="str">
        <f t="shared" si="1"/>
        <v/>
      </c>
      <c r="C60" s="966" t="str">
        <f>IF(ISNUMBER(Table30[[#This Row],[DB Number]]),ROUNDUP(Table30[[#This Row],[DB Number]]/NumDBPerVol,0),"")</f>
        <v/>
      </c>
      <c r="D60" s="966" t="str">
        <f>IF(calcHAOption,IF(AND(ISNUMBER(Table30[[#This Row],[DB Number]]),Table30[[#This Row],[DB Number]]&lt;=NumDBVol),Table30[[#This Row],[DB Number]],""),IF(ISNUMBER(Table30[[#This Row],[DB Number]]),Table30[[#This Row],[DB Number]],""))</f>
        <v/>
      </c>
      <c r="E60" s="23"/>
      <c r="F60" s="23"/>
      <c r="G60" s="19"/>
      <c r="H60" s="20"/>
      <c r="I60" s="20"/>
      <c r="J60" s="918"/>
      <c r="K60" s="22"/>
    </row>
    <row r="61" spans="1:11" hidden="1" outlineLevel="1" x14ac:dyDescent="0.3">
      <c r="A61" s="26"/>
      <c r="B61" s="971" t="str">
        <f t="shared" si="1"/>
        <v/>
      </c>
      <c r="C61" s="966" t="str">
        <f>IF(ISNUMBER(Table30[[#This Row],[DB Number]]),ROUNDUP(Table30[[#This Row],[DB Number]]/NumDBPerVol,0),"")</f>
        <v/>
      </c>
      <c r="D61" s="966" t="str">
        <f>IF(calcHAOption,IF(AND(ISNUMBER(Table30[[#This Row],[DB Number]]),Table30[[#This Row],[DB Number]]&lt;=NumDBVol),Table30[[#This Row],[DB Number]],""),IF(ISNUMBER(Table30[[#This Row],[DB Number]]),Table30[[#This Row],[DB Number]],""))</f>
        <v/>
      </c>
      <c r="E61" s="23"/>
      <c r="F61" s="23"/>
      <c r="G61" s="19"/>
      <c r="H61" s="20"/>
      <c r="I61" s="20"/>
      <c r="J61" s="918"/>
      <c r="K61" s="22"/>
    </row>
    <row r="62" spans="1:11" hidden="1" outlineLevel="1" x14ac:dyDescent="0.3">
      <c r="A62" s="26"/>
      <c r="B62" s="971" t="str">
        <f t="shared" si="1"/>
        <v/>
      </c>
      <c r="C62" s="966" t="str">
        <f>IF(ISNUMBER(Table30[[#This Row],[DB Number]]),ROUNDUP(Table30[[#This Row],[DB Number]]/NumDBPerVol,0),"")</f>
        <v/>
      </c>
      <c r="D62" s="966" t="str">
        <f>IF(calcHAOption,IF(AND(ISNUMBER(Table30[[#This Row],[DB Number]]),Table30[[#This Row],[DB Number]]&lt;=NumDBVol),Table30[[#This Row],[DB Number]],""),IF(ISNUMBER(Table30[[#This Row],[DB Number]]),Table30[[#This Row],[DB Number]],""))</f>
        <v/>
      </c>
      <c r="E62" s="23"/>
      <c r="F62" s="23"/>
      <c r="G62" s="19"/>
      <c r="H62" s="20"/>
      <c r="I62" s="20"/>
      <c r="J62" s="918"/>
      <c r="K62" s="22"/>
    </row>
    <row r="63" spans="1:11" hidden="1" outlineLevel="1" x14ac:dyDescent="0.3">
      <c r="A63" s="26"/>
      <c r="B63" s="971" t="str">
        <f t="shared" si="1"/>
        <v/>
      </c>
      <c r="C63" s="966" t="str">
        <f>IF(ISNUMBER(Table30[[#This Row],[DB Number]]),ROUNDUP(Table30[[#This Row],[DB Number]]/NumDBPerVol,0),"")</f>
        <v/>
      </c>
      <c r="D63" s="966" t="str">
        <f>IF(calcHAOption,IF(AND(ISNUMBER(Table30[[#This Row],[DB Number]]),Table30[[#This Row],[DB Number]]&lt;=NumDBVol),Table30[[#This Row],[DB Number]],""),IF(ISNUMBER(Table30[[#This Row],[DB Number]]),Table30[[#This Row],[DB Number]],""))</f>
        <v/>
      </c>
      <c r="E63" s="23"/>
      <c r="F63" s="23"/>
      <c r="G63" s="19"/>
      <c r="H63" s="20"/>
      <c r="I63" s="20"/>
      <c r="J63" s="918"/>
      <c r="K63" s="22"/>
    </row>
    <row r="64" spans="1:11" hidden="1" outlineLevel="1" x14ac:dyDescent="0.3">
      <c r="A64" s="26"/>
      <c r="B64" s="971" t="str">
        <f t="shared" si="1"/>
        <v/>
      </c>
      <c r="C64" s="966" t="str">
        <f>IF(ISNUMBER(Table30[[#This Row],[DB Number]]),ROUNDUP(Table30[[#This Row],[DB Number]]/NumDBPerVol,0),"")</f>
        <v/>
      </c>
      <c r="D64" s="966" t="str">
        <f>IF(calcHAOption,IF(AND(ISNUMBER(Table30[[#This Row],[DB Number]]),Table30[[#This Row],[DB Number]]&lt;=NumDBVol),Table30[[#This Row],[DB Number]],""),IF(ISNUMBER(Table30[[#This Row],[DB Number]]),Table30[[#This Row],[DB Number]],""))</f>
        <v/>
      </c>
      <c r="E64" s="23"/>
      <c r="F64" s="23"/>
      <c r="G64" s="19"/>
      <c r="H64" s="20"/>
      <c r="I64" s="20"/>
      <c r="J64" s="918"/>
      <c r="K64" s="22"/>
    </row>
    <row r="65" spans="1:11" hidden="1" outlineLevel="1" x14ac:dyDescent="0.3">
      <c r="A65" s="26"/>
      <c r="B65" s="971" t="str">
        <f t="shared" si="1"/>
        <v/>
      </c>
      <c r="C65" s="966" t="str">
        <f>IF(ISNUMBER(Table30[[#This Row],[DB Number]]),ROUNDUP(Table30[[#This Row],[DB Number]]/NumDBPerVol,0),"")</f>
        <v/>
      </c>
      <c r="D65" s="966" t="str">
        <f>IF(calcHAOption,IF(AND(ISNUMBER(Table30[[#This Row],[DB Number]]),Table30[[#This Row],[DB Number]]&lt;=NumDBVol),Table30[[#This Row],[DB Number]],""),IF(ISNUMBER(Table30[[#This Row],[DB Number]]),Table30[[#This Row],[DB Number]],""))</f>
        <v/>
      </c>
      <c r="E65" s="23"/>
      <c r="F65" s="23"/>
      <c r="G65" s="19"/>
      <c r="H65" s="20"/>
      <c r="I65" s="20"/>
      <c r="J65" s="918"/>
      <c r="K65" s="22"/>
    </row>
    <row r="66" spans="1:11" hidden="1" outlineLevel="1" x14ac:dyDescent="0.3">
      <c r="A66" s="26"/>
      <c r="B66" s="971" t="str">
        <f t="shared" si="1"/>
        <v/>
      </c>
      <c r="C66" s="966" t="str">
        <f>IF(ISNUMBER(Table30[[#This Row],[DB Number]]),ROUNDUP(Table30[[#This Row],[DB Number]]/NumDBPerVol,0),"")</f>
        <v/>
      </c>
      <c r="D66" s="966" t="str">
        <f>IF(calcHAOption,IF(AND(ISNUMBER(Table30[[#This Row],[DB Number]]),Table30[[#This Row],[DB Number]]&lt;=NumDBVol),Table30[[#This Row],[DB Number]],""),IF(ISNUMBER(Table30[[#This Row],[DB Number]]),Table30[[#This Row],[DB Number]],""))</f>
        <v/>
      </c>
      <c r="E66" s="23"/>
      <c r="F66" s="23"/>
      <c r="G66" s="19"/>
      <c r="H66" s="20"/>
      <c r="I66" s="20"/>
      <c r="J66" s="918"/>
      <c r="K66" s="22"/>
    </row>
    <row r="67" spans="1:11" hidden="1" outlineLevel="1" x14ac:dyDescent="0.3">
      <c r="A67" s="26"/>
      <c r="B67" s="971" t="str">
        <f t="shared" si="1"/>
        <v/>
      </c>
      <c r="C67" s="966" t="str">
        <f>IF(ISNUMBER(Table30[[#This Row],[DB Number]]),ROUNDUP(Table30[[#This Row],[DB Number]]/NumDBPerVol,0),"")</f>
        <v/>
      </c>
      <c r="D67" s="966" t="str">
        <f>IF(calcHAOption,IF(AND(ISNUMBER(Table30[[#This Row],[DB Number]]),Table30[[#This Row],[DB Number]]&lt;=NumDBVol),Table30[[#This Row],[DB Number]],""),IF(ISNUMBER(Table30[[#This Row],[DB Number]]),Table30[[#This Row],[DB Number]],""))</f>
        <v/>
      </c>
      <c r="E67" s="23"/>
      <c r="F67" s="23"/>
      <c r="G67" s="19"/>
      <c r="H67" s="20"/>
      <c r="I67" s="20"/>
      <c r="J67" s="918"/>
      <c r="K67" s="22"/>
    </row>
    <row r="68" spans="1:11" hidden="1" outlineLevel="1" x14ac:dyDescent="0.3">
      <c r="A68" s="26"/>
      <c r="B68" s="971" t="str">
        <f t="shared" si="1"/>
        <v/>
      </c>
      <c r="C68" s="966" t="str">
        <f>IF(ISNUMBER(Table30[[#This Row],[DB Number]]),ROUNDUP(Table30[[#This Row],[DB Number]]/NumDBPerVol,0),"")</f>
        <v/>
      </c>
      <c r="D68" s="966" t="str">
        <f>IF(calcHAOption,IF(AND(ISNUMBER(Table30[[#This Row],[DB Number]]),Table30[[#This Row],[DB Number]]&lt;=NumDBVol),Table30[[#This Row],[DB Number]],""),IF(ISNUMBER(Table30[[#This Row],[DB Number]]),Table30[[#This Row],[DB Number]],""))</f>
        <v/>
      </c>
      <c r="E68" s="23"/>
      <c r="F68" s="23"/>
      <c r="G68" s="19"/>
      <c r="H68" s="20"/>
      <c r="I68" s="20"/>
      <c r="J68" s="918"/>
      <c r="K68" s="22"/>
    </row>
    <row r="69" spans="1:11" hidden="1" outlineLevel="1" x14ac:dyDescent="0.3">
      <c r="A69" s="26"/>
      <c r="B69" s="971" t="str">
        <f t="shared" si="1"/>
        <v/>
      </c>
      <c r="C69" s="966" t="str">
        <f>IF(ISNUMBER(Table30[[#This Row],[DB Number]]),ROUNDUP(Table30[[#This Row],[DB Number]]/NumDBPerVol,0),"")</f>
        <v/>
      </c>
      <c r="D69" s="966" t="str">
        <f>IF(calcHAOption,IF(AND(ISNUMBER(Table30[[#This Row],[DB Number]]),Table30[[#This Row],[DB Number]]&lt;=NumDBVol),Table30[[#This Row],[DB Number]],""),IF(ISNUMBER(Table30[[#This Row],[DB Number]]),Table30[[#This Row],[DB Number]],""))</f>
        <v/>
      </c>
      <c r="E69" s="23"/>
      <c r="F69" s="23"/>
      <c r="G69" s="19"/>
      <c r="H69" s="20"/>
      <c r="I69" s="20"/>
      <c r="J69" s="918"/>
      <c r="K69" s="22"/>
    </row>
    <row r="70" spans="1:11" hidden="1" outlineLevel="1" x14ac:dyDescent="0.3">
      <c r="A70" s="26"/>
      <c r="B70" s="971" t="str">
        <f t="shared" si="1"/>
        <v/>
      </c>
      <c r="C70" s="966" t="str">
        <f>IF(ISNUMBER(Table30[[#This Row],[DB Number]]),ROUNDUP(Table30[[#This Row],[DB Number]]/NumDBPerVol,0),"")</f>
        <v/>
      </c>
      <c r="D70" s="966" t="str">
        <f>IF(calcHAOption,IF(AND(ISNUMBER(Table30[[#This Row],[DB Number]]),Table30[[#This Row],[DB Number]]&lt;=NumDBVol),Table30[[#This Row],[DB Number]],""),IF(ISNUMBER(Table30[[#This Row],[DB Number]]),Table30[[#This Row],[DB Number]],""))</f>
        <v/>
      </c>
      <c r="E70" s="23"/>
      <c r="F70" s="23"/>
      <c r="G70" s="19"/>
      <c r="H70" s="20"/>
      <c r="I70" s="20"/>
      <c r="J70" s="918"/>
      <c r="K70" s="22"/>
    </row>
    <row r="71" spans="1:11" hidden="1" outlineLevel="1" x14ac:dyDescent="0.3">
      <c r="A71" s="26"/>
      <c r="B71" s="971" t="str">
        <f t="shared" ref="B71:B105" si="2">IF(ISNUMBER(B70),(IF(calcHAOption,IF((B70+1)&lt;=(RecNumDBs),B70+1,""),IF(TotNumDBCopiesServer&gt;B70,B70+1,""))),"")</f>
        <v/>
      </c>
      <c r="C71" s="966" t="str">
        <f>IF(ISNUMBER(Table30[[#This Row],[DB Number]]),ROUNDUP(Table30[[#This Row],[DB Number]]/NumDBPerVol,0),"")</f>
        <v/>
      </c>
      <c r="D71" s="966" t="str">
        <f>IF(calcHAOption,IF(AND(ISNUMBER(Table30[[#This Row],[DB Number]]),Table30[[#This Row],[DB Number]]&lt;=NumDBVol),Table30[[#This Row],[DB Number]],""),IF(ISNUMBER(Table30[[#This Row],[DB Number]]),Table30[[#This Row],[DB Number]],""))</f>
        <v/>
      </c>
      <c r="E71" s="23"/>
      <c r="F71" s="23"/>
      <c r="G71" s="19"/>
      <c r="H71" s="20"/>
      <c r="I71" s="20"/>
      <c r="J71" s="918"/>
      <c r="K71" s="22"/>
    </row>
    <row r="72" spans="1:11" hidden="1" outlineLevel="1" x14ac:dyDescent="0.3">
      <c r="A72" s="26"/>
      <c r="B72" s="971" t="str">
        <f t="shared" si="2"/>
        <v/>
      </c>
      <c r="C72" s="966" t="str">
        <f>IF(ISNUMBER(Table30[[#This Row],[DB Number]]),ROUNDUP(Table30[[#This Row],[DB Number]]/NumDBPerVol,0),"")</f>
        <v/>
      </c>
      <c r="D72" s="966" t="str">
        <f>IF(calcHAOption,IF(AND(ISNUMBER(Table30[[#This Row],[DB Number]]),Table30[[#This Row],[DB Number]]&lt;=NumDBVol),Table30[[#This Row],[DB Number]],""),IF(ISNUMBER(Table30[[#This Row],[DB Number]]),Table30[[#This Row],[DB Number]],""))</f>
        <v/>
      </c>
      <c r="E72" s="23"/>
      <c r="F72" s="23"/>
      <c r="G72" s="19"/>
      <c r="H72" s="20"/>
      <c r="I72" s="20"/>
      <c r="J72" s="918"/>
      <c r="K72" s="22"/>
    </row>
    <row r="73" spans="1:11" hidden="1" outlineLevel="1" x14ac:dyDescent="0.3">
      <c r="A73" s="26"/>
      <c r="B73" s="971" t="str">
        <f t="shared" si="2"/>
        <v/>
      </c>
      <c r="C73" s="966" t="str">
        <f>IF(ISNUMBER(Table30[[#This Row],[DB Number]]),ROUNDUP(Table30[[#This Row],[DB Number]]/NumDBPerVol,0),"")</f>
        <v/>
      </c>
      <c r="D73" s="966" t="str">
        <f>IF(calcHAOption,IF(AND(ISNUMBER(Table30[[#This Row],[DB Number]]),Table30[[#This Row],[DB Number]]&lt;=NumDBVol),Table30[[#This Row],[DB Number]],""),IF(ISNUMBER(Table30[[#This Row],[DB Number]]),Table30[[#This Row],[DB Number]],""))</f>
        <v/>
      </c>
      <c r="E73" s="23"/>
      <c r="F73" s="23"/>
      <c r="G73" s="19"/>
      <c r="H73" s="20"/>
      <c r="I73" s="20"/>
      <c r="J73" s="918"/>
      <c r="K73" s="22"/>
    </row>
    <row r="74" spans="1:11" hidden="1" outlineLevel="1" x14ac:dyDescent="0.3">
      <c r="A74" s="26"/>
      <c r="B74" s="971" t="str">
        <f t="shared" si="2"/>
        <v/>
      </c>
      <c r="C74" s="966" t="str">
        <f>IF(ISNUMBER(Table30[[#This Row],[DB Number]]),ROUNDUP(Table30[[#This Row],[DB Number]]/NumDBPerVol,0),"")</f>
        <v/>
      </c>
      <c r="D74" s="966" t="str">
        <f>IF(calcHAOption,IF(AND(ISNUMBER(Table30[[#This Row],[DB Number]]),Table30[[#This Row],[DB Number]]&lt;=NumDBVol),Table30[[#This Row],[DB Number]],""),IF(ISNUMBER(Table30[[#This Row],[DB Number]]),Table30[[#This Row],[DB Number]],""))</f>
        <v/>
      </c>
      <c r="E74" s="23"/>
      <c r="F74" s="23"/>
      <c r="G74" s="19"/>
      <c r="H74" s="20"/>
      <c r="I74" s="20"/>
      <c r="J74" s="918"/>
      <c r="K74" s="22"/>
    </row>
    <row r="75" spans="1:11" hidden="1" outlineLevel="1" x14ac:dyDescent="0.3">
      <c r="A75" s="26"/>
      <c r="B75" s="971" t="str">
        <f t="shared" si="2"/>
        <v/>
      </c>
      <c r="C75" s="966" t="str">
        <f>IF(ISNUMBER(Table30[[#This Row],[DB Number]]),ROUNDUP(Table30[[#This Row],[DB Number]]/NumDBPerVol,0),"")</f>
        <v/>
      </c>
      <c r="D75" s="966" t="str">
        <f>IF(calcHAOption,IF(AND(ISNUMBER(Table30[[#This Row],[DB Number]]),Table30[[#This Row],[DB Number]]&lt;=NumDBVol),Table30[[#This Row],[DB Number]],""),IF(ISNUMBER(Table30[[#This Row],[DB Number]]),Table30[[#This Row],[DB Number]],""))</f>
        <v/>
      </c>
      <c r="E75" s="23"/>
      <c r="F75" s="23"/>
      <c r="G75" s="19"/>
      <c r="H75" s="20"/>
      <c r="I75" s="20"/>
      <c r="J75" s="918"/>
      <c r="K75" s="22"/>
    </row>
    <row r="76" spans="1:11" hidden="1" outlineLevel="1" x14ac:dyDescent="0.3">
      <c r="A76" s="26"/>
      <c r="B76" s="971" t="str">
        <f t="shared" si="2"/>
        <v/>
      </c>
      <c r="C76" s="966" t="str">
        <f>IF(ISNUMBER(Table30[[#This Row],[DB Number]]),ROUNDUP(Table30[[#This Row],[DB Number]]/NumDBPerVol,0),"")</f>
        <v/>
      </c>
      <c r="D76" s="966" t="str">
        <f>IF(calcHAOption,IF(AND(ISNUMBER(Table30[[#This Row],[DB Number]]),Table30[[#This Row],[DB Number]]&lt;=NumDBVol),Table30[[#This Row],[DB Number]],""),IF(ISNUMBER(Table30[[#This Row],[DB Number]]),Table30[[#This Row],[DB Number]],""))</f>
        <v/>
      </c>
      <c r="E76" s="23"/>
      <c r="F76" s="23"/>
      <c r="G76" s="19"/>
      <c r="H76" s="20"/>
      <c r="I76" s="20"/>
      <c r="J76" s="918"/>
      <c r="K76" s="22"/>
    </row>
    <row r="77" spans="1:11" hidden="1" outlineLevel="1" x14ac:dyDescent="0.3">
      <c r="A77" s="26"/>
      <c r="B77" s="971" t="str">
        <f t="shared" si="2"/>
        <v/>
      </c>
      <c r="C77" s="966" t="str">
        <f>IF(ISNUMBER(Table30[[#This Row],[DB Number]]),ROUNDUP(Table30[[#This Row],[DB Number]]/NumDBPerVol,0),"")</f>
        <v/>
      </c>
      <c r="D77" s="966" t="str">
        <f>IF(calcHAOption,IF(AND(ISNUMBER(Table30[[#This Row],[DB Number]]),Table30[[#This Row],[DB Number]]&lt;=NumDBVol),Table30[[#This Row],[DB Number]],""),IF(ISNUMBER(Table30[[#This Row],[DB Number]]),Table30[[#This Row],[DB Number]],""))</f>
        <v/>
      </c>
      <c r="E77" s="23"/>
      <c r="F77" s="23"/>
      <c r="G77" s="19"/>
      <c r="H77" s="20"/>
      <c r="I77" s="20"/>
      <c r="J77" s="918"/>
      <c r="K77" s="22"/>
    </row>
    <row r="78" spans="1:11" hidden="1" outlineLevel="1" x14ac:dyDescent="0.3">
      <c r="A78" s="26"/>
      <c r="B78" s="971" t="str">
        <f t="shared" si="2"/>
        <v/>
      </c>
      <c r="C78" s="966" t="str">
        <f>IF(ISNUMBER(Table30[[#This Row],[DB Number]]),ROUNDUP(Table30[[#This Row],[DB Number]]/NumDBPerVol,0),"")</f>
        <v/>
      </c>
      <c r="D78" s="966" t="str">
        <f>IF(calcHAOption,IF(AND(ISNUMBER(Table30[[#This Row],[DB Number]]),Table30[[#This Row],[DB Number]]&lt;=NumDBVol),Table30[[#This Row],[DB Number]],""),IF(ISNUMBER(Table30[[#This Row],[DB Number]]),Table30[[#This Row],[DB Number]],""))</f>
        <v/>
      </c>
      <c r="E78" s="23"/>
      <c r="F78" s="23"/>
      <c r="G78" s="19"/>
      <c r="H78" s="20"/>
      <c r="I78" s="20"/>
      <c r="J78" s="918"/>
      <c r="K78" s="22"/>
    </row>
    <row r="79" spans="1:11" hidden="1" outlineLevel="1" x14ac:dyDescent="0.3">
      <c r="A79" s="26"/>
      <c r="B79" s="971" t="str">
        <f t="shared" si="2"/>
        <v/>
      </c>
      <c r="C79" s="966" t="str">
        <f>IF(ISNUMBER(Table30[[#This Row],[DB Number]]),ROUNDUP(Table30[[#This Row],[DB Number]]/NumDBPerVol,0),"")</f>
        <v/>
      </c>
      <c r="D79" s="966" t="str">
        <f>IF(calcHAOption,IF(AND(ISNUMBER(Table30[[#This Row],[DB Number]]),Table30[[#This Row],[DB Number]]&lt;=NumDBVol),Table30[[#This Row],[DB Number]],""),IF(ISNUMBER(Table30[[#This Row],[DB Number]]),Table30[[#This Row],[DB Number]],""))</f>
        <v/>
      </c>
      <c r="E79" s="23"/>
      <c r="F79" s="23"/>
      <c r="G79" s="19"/>
      <c r="H79" s="20"/>
      <c r="I79" s="20"/>
      <c r="J79" s="918"/>
      <c r="K79" s="22"/>
    </row>
    <row r="80" spans="1:11" hidden="1" outlineLevel="1" x14ac:dyDescent="0.3">
      <c r="A80" s="26"/>
      <c r="B80" s="971" t="str">
        <f t="shared" si="2"/>
        <v/>
      </c>
      <c r="C80" s="966" t="str">
        <f>IF(ISNUMBER(Table30[[#This Row],[DB Number]]),ROUNDUP(Table30[[#This Row],[DB Number]]/NumDBPerVol,0),"")</f>
        <v/>
      </c>
      <c r="D80" s="966" t="str">
        <f>IF(calcHAOption,IF(AND(ISNUMBER(Table30[[#This Row],[DB Number]]),Table30[[#This Row],[DB Number]]&lt;=NumDBVol),Table30[[#This Row],[DB Number]],""),IF(ISNUMBER(Table30[[#This Row],[DB Number]]),Table30[[#This Row],[DB Number]],""))</f>
        <v/>
      </c>
      <c r="E80" s="23"/>
      <c r="F80" s="23"/>
      <c r="G80" s="19"/>
      <c r="H80" s="20"/>
      <c r="I80" s="20"/>
      <c r="J80" s="918"/>
      <c r="K80" s="22"/>
    </row>
    <row r="81" spans="1:11" hidden="1" outlineLevel="1" x14ac:dyDescent="0.3">
      <c r="A81" s="26"/>
      <c r="B81" s="971" t="str">
        <f t="shared" si="2"/>
        <v/>
      </c>
      <c r="C81" s="966" t="str">
        <f>IF(ISNUMBER(Table30[[#This Row],[DB Number]]),ROUNDUP(Table30[[#This Row],[DB Number]]/NumDBPerVol,0),"")</f>
        <v/>
      </c>
      <c r="D81" s="966" t="str">
        <f>IF(calcHAOption,IF(AND(ISNUMBER(Table30[[#This Row],[DB Number]]),Table30[[#This Row],[DB Number]]&lt;=NumDBVol),Table30[[#This Row],[DB Number]],""),IF(ISNUMBER(Table30[[#This Row],[DB Number]]),Table30[[#This Row],[DB Number]],""))</f>
        <v/>
      </c>
      <c r="E81" s="23"/>
      <c r="F81" s="23"/>
      <c r="G81" s="19"/>
      <c r="H81" s="20"/>
      <c r="I81" s="20"/>
      <c r="J81" s="918"/>
      <c r="K81" s="22"/>
    </row>
    <row r="82" spans="1:11" hidden="1" outlineLevel="1" x14ac:dyDescent="0.3">
      <c r="A82" s="26"/>
      <c r="B82" s="971" t="str">
        <f t="shared" si="2"/>
        <v/>
      </c>
      <c r="C82" s="966" t="str">
        <f>IF(ISNUMBER(Table30[[#This Row],[DB Number]]),ROUNDUP(Table30[[#This Row],[DB Number]]/NumDBPerVol,0),"")</f>
        <v/>
      </c>
      <c r="D82" s="966" t="str">
        <f>IF(calcHAOption,IF(AND(ISNUMBER(Table30[[#This Row],[DB Number]]),Table30[[#This Row],[DB Number]]&lt;=NumDBVol),Table30[[#This Row],[DB Number]],""),IF(ISNUMBER(Table30[[#This Row],[DB Number]]),Table30[[#This Row],[DB Number]],""))</f>
        <v/>
      </c>
      <c r="E82" s="23"/>
      <c r="F82" s="23"/>
      <c r="G82" s="19"/>
      <c r="H82" s="20"/>
      <c r="I82" s="20"/>
      <c r="J82" s="918"/>
      <c r="K82" s="22"/>
    </row>
    <row r="83" spans="1:11" hidden="1" outlineLevel="1" x14ac:dyDescent="0.3">
      <c r="A83" s="26"/>
      <c r="B83" s="971" t="str">
        <f t="shared" si="2"/>
        <v/>
      </c>
      <c r="C83" s="966" t="str">
        <f>IF(ISNUMBER(Table30[[#This Row],[DB Number]]),ROUNDUP(Table30[[#This Row],[DB Number]]/NumDBPerVol,0),"")</f>
        <v/>
      </c>
      <c r="D83" s="966" t="str">
        <f>IF(calcHAOption,IF(AND(ISNUMBER(Table30[[#This Row],[DB Number]]),Table30[[#This Row],[DB Number]]&lt;=NumDBVol),Table30[[#This Row],[DB Number]],""),IF(ISNUMBER(Table30[[#This Row],[DB Number]]),Table30[[#This Row],[DB Number]],""))</f>
        <v/>
      </c>
      <c r="E83" s="23"/>
      <c r="F83" s="23"/>
      <c r="G83" s="19"/>
      <c r="H83" s="20"/>
      <c r="I83" s="20"/>
      <c r="J83" s="918"/>
      <c r="K83" s="22"/>
    </row>
    <row r="84" spans="1:11" hidden="1" outlineLevel="1" x14ac:dyDescent="0.3">
      <c r="A84" s="26"/>
      <c r="B84" s="971" t="str">
        <f t="shared" si="2"/>
        <v/>
      </c>
      <c r="C84" s="966" t="str">
        <f>IF(ISNUMBER(Table30[[#This Row],[DB Number]]),ROUNDUP(Table30[[#This Row],[DB Number]]/NumDBPerVol,0),"")</f>
        <v/>
      </c>
      <c r="D84" s="966" t="str">
        <f>IF(calcHAOption,IF(AND(ISNUMBER(Table30[[#This Row],[DB Number]]),Table30[[#This Row],[DB Number]]&lt;=NumDBVol),Table30[[#This Row],[DB Number]],""),IF(ISNUMBER(Table30[[#This Row],[DB Number]]),Table30[[#This Row],[DB Number]],""))</f>
        <v/>
      </c>
      <c r="E84" s="23"/>
      <c r="F84" s="23"/>
      <c r="G84" s="19"/>
      <c r="H84" s="20"/>
      <c r="I84" s="20"/>
      <c r="J84" s="918"/>
      <c r="K84" s="22"/>
    </row>
    <row r="85" spans="1:11" hidden="1" outlineLevel="1" x14ac:dyDescent="0.3">
      <c r="A85" s="26"/>
      <c r="B85" s="971" t="str">
        <f t="shared" si="2"/>
        <v/>
      </c>
      <c r="C85" s="966" t="str">
        <f>IF(ISNUMBER(Table30[[#This Row],[DB Number]]),ROUNDUP(Table30[[#This Row],[DB Number]]/NumDBPerVol,0),"")</f>
        <v/>
      </c>
      <c r="D85" s="966" t="str">
        <f>IF(calcHAOption,IF(AND(ISNUMBER(Table30[[#This Row],[DB Number]]),Table30[[#This Row],[DB Number]]&lt;=NumDBVol),Table30[[#This Row],[DB Number]],""),IF(ISNUMBER(Table30[[#This Row],[DB Number]]),Table30[[#This Row],[DB Number]],""))</f>
        <v/>
      </c>
      <c r="E85" s="23"/>
      <c r="F85" s="23"/>
      <c r="G85" s="19"/>
      <c r="H85" s="20"/>
      <c r="I85" s="20"/>
      <c r="J85" s="918"/>
      <c r="K85" s="22"/>
    </row>
    <row r="86" spans="1:11" hidden="1" outlineLevel="1" x14ac:dyDescent="0.3">
      <c r="A86" s="26"/>
      <c r="B86" s="971" t="str">
        <f t="shared" si="2"/>
        <v/>
      </c>
      <c r="C86" s="966" t="str">
        <f>IF(ISNUMBER(Table30[[#This Row],[DB Number]]),ROUNDUP(Table30[[#This Row],[DB Number]]/NumDBPerVol,0),"")</f>
        <v/>
      </c>
      <c r="D86" s="966" t="str">
        <f>IF(calcHAOption,IF(AND(ISNUMBER(Table30[[#This Row],[DB Number]]),Table30[[#This Row],[DB Number]]&lt;=NumDBVol),Table30[[#This Row],[DB Number]],""),IF(ISNUMBER(Table30[[#This Row],[DB Number]]),Table30[[#This Row],[DB Number]],""))</f>
        <v/>
      </c>
      <c r="E86" s="23"/>
      <c r="F86" s="23"/>
      <c r="G86" s="19"/>
      <c r="H86" s="20"/>
      <c r="I86" s="20"/>
      <c r="J86" s="918"/>
      <c r="K86" s="22"/>
    </row>
    <row r="87" spans="1:11" hidden="1" outlineLevel="1" x14ac:dyDescent="0.3">
      <c r="A87" s="26"/>
      <c r="B87" s="971" t="str">
        <f t="shared" si="2"/>
        <v/>
      </c>
      <c r="C87" s="966" t="str">
        <f>IF(ISNUMBER(Table30[[#This Row],[DB Number]]),ROUNDUP(Table30[[#This Row],[DB Number]]/NumDBPerVol,0),"")</f>
        <v/>
      </c>
      <c r="D87" s="966" t="str">
        <f>IF(calcHAOption,IF(AND(ISNUMBER(Table30[[#This Row],[DB Number]]),Table30[[#This Row],[DB Number]]&lt;=NumDBVol),Table30[[#This Row],[DB Number]],""),IF(ISNUMBER(Table30[[#This Row],[DB Number]]),Table30[[#This Row],[DB Number]],""))</f>
        <v/>
      </c>
      <c r="E87" s="23"/>
      <c r="F87" s="23"/>
      <c r="G87" s="19"/>
      <c r="H87" s="20"/>
      <c r="I87" s="20"/>
      <c r="J87" s="918"/>
      <c r="K87" s="22"/>
    </row>
    <row r="88" spans="1:11" hidden="1" outlineLevel="1" x14ac:dyDescent="0.3">
      <c r="A88" s="26"/>
      <c r="B88" s="971" t="str">
        <f t="shared" si="2"/>
        <v/>
      </c>
      <c r="C88" s="966" t="str">
        <f>IF(ISNUMBER(Table30[[#This Row],[DB Number]]),ROUNDUP(Table30[[#This Row],[DB Number]]/NumDBPerVol,0),"")</f>
        <v/>
      </c>
      <c r="D88" s="966" t="str">
        <f>IF(calcHAOption,IF(AND(ISNUMBER(Table30[[#This Row],[DB Number]]),Table30[[#This Row],[DB Number]]&lt;=NumDBVol),Table30[[#This Row],[DB Number]],""),IF(ISNUMBER(Table30[[#This Row],[DB Number]]),Table30[[#This Row],[DB Number]],""))</f>
        <v/>
      </c>
      <c r="E88" s="23"/>
      <c r="F88" s="23"/>
      <c r="G88" s="19"/>
      <c r="H88" s="20"/>
      <c r="I88" s="20"/>
      <c r="J88" s="918"/>
      <c r="K88" s="22"/>
    </row>
    <row r="89" spans="1:11" hidden="1" outlineLevel="1" x14ac:dyDescent="0.3">
      <c r="A89" s="26"/>
      <c r="B89" s="971" t="str">
        <f t="shared" si="2"/>
        <v/>
      </c>
      <c r="C89" s="966" t="str">
        <f>IF(ISNUMBER(Table30[[#This Row],[DB Number]]),ROUNDUP(Table30[[#This Row],[DB Number]]/NumDBPerVol,0),"")</f>
        <v/>
      </c>
      <c r="D89" s="966" t="str">
        <f>IF(calcHAOption,IF(AND(ISNUMBER(Table30[[#This Row],[DB Number]]),Table30[[#This Row],[DB Number]]&lt;=NumDBVol),Table30[[#This Row],[DB Number]],""),IF(ISNUMBER(Table30[[#This Row],[DB Number]]),Table30[[#This Row],[DB Number]],""))</f>
        <v/>
      </c>
      <c r="E89" s="23"/>
      <c r="F89" s="23"/>
      <c r="G89" s="19"/>
      <c r="H89" s="20"/>
      <c r="I89" s="20"/>
      <c r="J89" s="918"/>
      <c r="K89" s="22"/>
    </row>
    <row r="90" spans="1:11" hidden="1" outlineLevel="1" x14ac:dyDescent="0.3">
      <c r="A90" s="26"/>
      <c r="B90" s="971" t="str">
        <f t="shared" si="2"/>
        <v/>
      </c>
      <c r="C90" s="966" t="str">
        <f>IF(ISNUMBER(Table30[[#This Row],[DB Number]]),ROUNDUP(Table30[[#This Row],[DB Number]]/NumDBPerVol,0),"")</f>
        <v/>
      </c>
      <c r="D90" s="966" t="str">
        <f>IF(calcHAOption,IF(AND(ISNUMBER(Table30[[#This Row],[DB Number]]),Table30[[#This Row],[DB Number]]&lt;=NumDBVol),Table30[[#This Row],[DB Number]],""),IF(ISNUMBER(Table30[[#This Row],[DB Number]]),Table30[[#This Row],[DB Number]],""))</f>
        <v/>
      </c>
      <c r="E90" s="23"/>
      <c r="F90" s="23"/>
      <c r="G90" s="19"/>
      <c r="H90" s="20"/>
      <c r="I90" s="20"/>
      <c r="J90" s="918"/>
      <c r="K90" s="22"/>
    </row>
    <row r="91" spans="1:11" hidden="1" outlineLevel="1" x14ac:dyDescent="0.3">
      <c r="A91" s="26"/>
      <c r="B91" s="971" t="str">
        <f t="shared" si="2"/>
        <v/>
      </c>
      <c r="C91" s="966" t="str">
        <f>IF(ISNUMBER(Table30[[#This Row],[DB Number]]),ROUNDUP(Table30[[#This Row],[DB Number]]/NumDBPerVol,0),"")</f>
        <v/>
      </c>
      <c r="D91" s="966" t="str">
        <f>IF(calcHAOption,IF(AND(ISNUMBER(Table30[[#This Row],[DB Number]]),Table30[[#This Row],[DB Number]]&lt;=NumDBVol),Table30[[#This Row],[DB Number]],""),IF(ISNUMBER(Table30[[#This Row],[DB Number]]),Table30[[#This Row],[DB Number]],""))</f>
        <v/>
      </c>
      <c r="E91" s="23"/>
      <c r="F91" s="23"/>
      <c r="G91" s="19"/>
      <c r="H91" s="20"/>
      <c r="I91" s="20"/>
      <c r="J91" s="918"/>
      <c r="K91" s="22"/>
    </row>
    <row r="92" spans="1:11" hidden="1" outlineLevel="1" x14ac:dyDescent="0.3">
      <c r="A92" s="26"/>
      <c r="B92" s="971" t="str">
        <f t="shared" si="2"/>
        <v/>
      </c>
      <c r="C92" s="966" t="str">
        <f>IF(ISNUMBER(Table30[[#This Row],[DB Number]]),ROUNDUP(Table30[[#This Row],[DB Number]]/NumDBPerVol,0),"")</f>
        <v/>
      </c>
      <c r="D92" s="966" t="str">
        <f>IF(calcHAOption,IF(AND(ISNUMBER(Table30[[#This Row],[DB Number]]),Table30[[#This Row],[DB Number]]&lt;=NumDBVol),Table30[[#This Row],[DB Number]],""),IF(ISNUMBER(Table30[[#This Row],[DB Number]]),Table30[[#This Row],[DB Number]],""))</f>
        <v/>
      </c>
      <c r="E92" s="23"/>
      <c r="F92" s="23"/>
      <c r="G92" s="19"/>
      <c r="H92" s="20"/>
      <c r="I92" s="20"/>
      <c r="J92" s="918"/>
      <c r="K92" s="22"/>
    </row>
    <row r="93" spans="1:11" hidden="1" outlineLevel="1" x14ac:dyDescent="0.3">
      <c r="A93" s="26"/>
      <c r="B93" s="971" t="str">
        <f t="shared" si="2"/>
        <v/>
      </c>
      <c r="C93" s="966" t="str">
        <f>IF(ISNUMBER(Table30[[#This Row],[DB Number]]),ROUNDUP(Table30[[#This Row],[DB Number]]/NumDBPerVol,0),"")</f>
        <v/>
      </c>
      <c r="D93" s="966" t="str">
        <f>IF(calcHAOption,IF(AND(ISNUMBER(Table30[[#This Row],[DB Number]]),Table30[[#This Row],[DB Number]]&lt;=NumDBVol),Table30[[#This Row],[DB Number]],""),IF(ISNUMBER(Table30[[#This Row],[DB Number]]),Table30[[#This Row],[DB Number]],""))</f>
        <v/>
      </c>
      <c r="E93" s="23"/>
      <c r="F93" s="23"/>
      <c r="G93" s="19"/>
      <c r="H93" s="20"/>
      <c r="I93" s="20"/>
      <c r="J93" s="918"/>
      <c r="K93" s="22"/>
    </row>
    <row r="94" spans="1:11" hidden="1" outlineLevel="1" x14ac:dyDescent="0.3">
      <c r="A94" s="26"/>
      <c r="B94" s="971" t="str">
        <f t="shared" si="2"/>
        <v/>
      </c>
      <c r="C94" s="966" t="str">
        <f>IF(ISNUMBER(Table30[[#This Row],[DB Number]]),ROUNDUP(Table30[[#This Row],[DB Number]]/NumDBPerVol,0),"")</f>
        <v/>
      </c>
      <c r="D94" s="966" t="str">
        <f>IF(calcHAOption,IF(AND(ISNUMBER(Table30[[#This Row],[DB Number]]),Table30[[#This Row],[DB Number]]&lt;=NumDBVol),Table30[[#This Row],[DB Number]],""),IF(ISNUMBER(Table30[[#This Row],[DB Number]]),Table30[[#This Row],[DB Number]],""))</f>
        <v/>
      </c>
      <c r="E94" s="23"/>
      <c r="F94" s="23"/>
      <c r="G94" s="19"/>
      <c r="H94" s="20"/>
      <c r="I94" s="20"/>
      <c r="J94" s="918"/>
      <c r="K94" s="22"/>
    </row>
    <row r="95" spans="1:11" hidden="1" outlineLevel="1" x14ac:dyDescent="0.3">
      <c r="A95" s="26"/>
      <c r="B95" s="971" t="str">
        <f t="shared" si="2"/>
        <v/>
      </c>
      <c r="C95" s="966" t="str">
        <f>IF(ISNUMBER(Table30[[#This Row],[DB Number]]),ROUNDUP(Table30[[#This Row],[DB Number]]/NumDBPerVol,0),"")</f>
        <v/>
      </c>
      <c r="D95" s="966" t="str">
        <f>IF(calcHAOption,IF(AND(ISNUMBER(Table30[[#This Row],[DB Number]]),Table30[[#This Row],[DB Number]]&lt;=NumDBVol),Table30[[#This Row],[DB Number]],""),IF(ISNUMBER(Table30[[#This Row],[DB Number]]),Table30[[#This Row],[DB Number]],""))</f>
        <v/>
      </c>
      <c r="E95" s="23"/>
      <c r="F95" s="23"/>
      <c r="G95" s="19"/>
      <c r="H95" s="20"/>
      <c r="I95" s="20"/>
      <c r="J95" s="918"/>
      <c r="K95" s="22"/>
    </row>
    <row r="96" spans="1:11" hidden="1" outlineLevel="1" x14ac:dyDescent="0.3">
      <c r="A96" s="26"/>
      <c r="B96" s="971" t="str">
        <f t="shared" si="2"/>
        <v/>
      </c>
      <c r="C96" s="966" t="str">
        <f>IF(ISNUMBER(Table30[[#This Row],[DB Number]]),ROUNDUP(Table30[[#This Row],[DB Number]]/NumDBPerVol,0),"")</f>
        <v/>
      </c>
      <c r="D96" s="966" t="str">
        <f>IF(calcHAOption,IF(AND(ISNUMBER(Table30[[#This Row],[DB Number]]),Table30[[#This Row],[DB Number]]&lt;=NumDBVol),Table30[[#This Row],[DB Number]],""),IF(ISNUMBER(Table30[[#This Row],[DB Number]]),Table30[[#This Row],[DB Number]],""))</f>
        <v/>
      </c>
      <c r="E96" s="23"/>
      <c r="F96" s="23"/>
      <c r="G96" s="19"/>
      <c r="H96" s="20"/>
      <c r="I96" s="20"/>
      <c r="J96" s="918"/>
      <c r="K96" s="22"/>
    </row>
    <row r="97" spans="1:11" hidden="1" outlineLevel="1" x14ac:dyDescent="0.3">
      <c r="A97" s="26"/>
      <c r="B97" s="971" t="str">
        <f t="shared" si="2"/>
        <v/>
      </c>
      <c r="C97" s="966" t="str">
        <f>IF(ISNUMBER(Table30[[#This Row],[DB Number]]),ROUNDUP(Table30[[#This Row],[DB Number]]/NumDBPerVol,0),"")</f>
        <v/>
      </c>
      <c r="D97" s="966" t="str">
        <f>IF(calcHAOption,IF(AND(ISNUMBER(Table30[[#This Row],[DB Number]]),Table30[[#This Row],[DB Number]]&lt;=NumDBVol),Table30[[#This Row],[DB Number]],""),IF(ISNUMBER(Table30[[#This Row],[DB Number]]),Table30[[#This Row],[DB Number]],""))</f>
        <v/>
      </c>
      <c r="E97" s="23"/>
      <c r="F97" s="23"/>
      <c r="G97" s="19"/>
      <c r="H97" s="20"/>
      <c r="I97" s="20"/>
      <c r="J97" s="918"/>
      <c r="K97" s="22"/>
    </row>
    <row r="98" spans="1:11" hidden="1" outlineLevel="1" x14ac:dyDescent="0.3">
      <c r="A98" s="26"/>
      <c r="B98" s="971" t="str">
        <f t="shared" si="2"/>
        <v/>
      </c>
      <c r="C98" s="966" t="str">
        <f>IF(ISNUMBER(Table30[[#This Row],[DB Number]]),ROUNDUP(Table30[[#This Row],[DB Number]]/NumDBPerVol,0),"")</f>
        <v/>
      </c>
      <c r="D98" s="966" t="str">
        <f>IF(calcHAOption,IF(AND(ISNUMBER(Table30[[#This Row],[DB Number]]),Table30[[#This Row],[DB Number]]&lt;=NumDBVol),Table30[[#This Row],[DB Number]],""),IF(ISNUMBER(Table30[[#This Row],[DB Number]]),Table30[[#This Row],[DB Number]],""))</f>
        <v/>
      </c>
      <c r="E98" s="23"/>
      <c r="F98" s="23"/>
      <c r="G98" s="19"/>
      <c r="H98" s="20"/>
      <c r="I98" s="20"/>
      <c r="J98" s="918"/>
      <c r="K98" s="22"/>
    </row>
    <row r="99" spans="1:11" hidden="1" outlineLevel="1" x14ac:dyDescent="0.3">
      <c r="A99" s="26"/>
      <c r="B99" s="971" t="str">
        <f t="shared" si="2"/>
        <v/>
      </c>
      <c r="C99" s="966" t="str">
        <f>IF(ISNUMBER(Table30[[#This Row],[DB Number]]),ROUNDUP(Table30[[#This Row],[DB Number]]/NumDBPerVol,0),"")</f>
        <v/>
      </c>
      <c r="D99" s="966" t="str">
        <f>IF(calcHAOption,IF(AND(ISNUMBER(Table30[[#This Row],[DB Number]]),Table30[[#This Row],[DB Number]]&lt;=NumDBVol),Table30[[#This Row],[DB Number]],""),IF(ISNUMBER(Table30[[#This Row],[DB Number]]),Table30[[#This Row],[DB Number]],""))</f>
        <v/>
      </c>
      <c r="E99" s="23"/>
      <c r="F99" s="23"/>
      <c r="G99" s="19"/>
      <c r="H99" s="20"/>
      <c r="I99" s="20"/>
      <c r="J99" s="918"/>
      <c r="K99" s="22"/>
    </row>
    <row r="100" spans="1:11" hidden="1" outlineLevel="1" x14ac:dyDescent="0.3">
      <c r="A100" s="26"/>
      <c r="B100" s="971" t="str">
        <f t="shared" si="2"/>
        <v/>
      </c>
      <c r="C100" s="966" t="str">
        <f>IF(ISNUMBER(Table30[[#This Row],[DB Number]]),ROUNDUP(Table30[[#This Row],[DB Number]]/NumDBPerVol,0),"")</f>
        <v/>
      </c>
      <c r="D100" s="966" t="str">
        <f>IF(calcHAOption,IF(AND(ISNUMBER(Table30[[#This Row],[DB Number]]),Table30[[#This Row],[DB Number]]&lt;=NumDBVol),Table30[[#This Row],[DB Number]],""),IF(ISNUMBER(Table30[[#This Row],[DB Number]]),Table30[[#This Row],[DB Number]],""))</f>
        <v/>
      </c>
      <c r="E100" s="23"/>
      <c r="F100" s="23"/>
      <c r="G100" s="19"/>
      <c r="H100" s="20"/>
      <c r="I100" s="20"/>
      <c r="J100" s="918"/>
      <c r="K100" s="22"/>
    </row>
    <row r="101" spans="1:11" hidden="1" outlineLevel="1" x14ac:dyDescent="0.3">
      <c r="A101" s="26"/>
      <c r="B101" s="971" t="str">
        <f t="shared" si="2"/>
        <v/>
      </c>
      <c r="C101" s="966" t="str">
        <f>IF(ISNUMBER(Table30[[#This Row],[DB Number]]),ROUNDUP(Table30[[#This Row],[DB Number]]/NumDBPerVol,0),"")</f>
        <v/>
      </c>
      <c r="D101" s="966" t="str">
        <f>IF(calcHAOption,IF(AND(ISNUMBER(Table30[[#This Row],[DB Number]]),Table30[[#This Row],[DB Number]]&lt;=NumDBVol),Table30[[#This Row],[DB Number]],""),IF(ISNUMBER(Table30[[#This Row],[DB Number]]),Table30[[#This Row],[DB Number]],""))</f>
        <v/>
      </c>
      <c r="E101" s="23"/>
      <c r="F101" s="23"/>
      <c r="G101" s="19"/>
      <c r="H101" s="20"/>
      <c r="I101" s="20"/>
      <c r="J101" s="918"/>
      <c r="K101" s="22"/>
    </row>
    <row r="102" spans="1:11" hidden="1" outlineLevel="1" x14ac:dyDescent="0.3">
      <c r="A102" s="26"/>
      <c r="B102" s="971" t="str">
        <f t="shared" si="2"/>
        <v/>
      </c>
      <c r="C102" s="966" t="str">
        <f>IF(ISNUMBER(Table30[[#This Row],[DB Number]]),ROUNDUP(Table30[[#This Row],[DB Number]]/NumDBPerVol,0),"")</f>
        <v/>
      </c>
      <c r="D102" s="966" t="str">
        <f>IF(calcHAOption,IF(AND(ISNUMBER(Table30[[#This Row],[DB Number]]),Table30[[#This Row],[DB Number]]&lt;=NumDBVol),Table30[[#This Row],[DB Number]],""),IF(ISNUMBER(Table30[[#This Row],[DB Number]]),Table30[[#This Row],[DB Number]],""))</f>
        <v/>
      </c>
      <c r="E102" s="23"/>
      <c r="F102" s="23"/>
      <c r="G102" s="19"/>
      <c r="H102" s="20"/>
      <c r="I102" s="20"/>
      <c r="J102" s="918"/>
      <c r="K102" s="22"/>
    </row>
    <row r="103" spans="1:11" hidden="1" outlineLevel="1" x14ac:dyDescent="0.3">
      <c r="A103" s="26"/>
      <c r="B103" s="971" t="str">
        <f t="shared" si="2"/>
        <v/>
      </c>
      <c r="C103" s="966" t="str">
        <f>IF(ISNUMBER(Table30[[#This Row],[DB Number]]),ROUNDUP(Table30[[#This Row],[DB Number]]/NumDBPerVol,0),"")</f>
        <v/>
      </c>
      <c r="D103" s="966" t="str">
        <f>IF(calcHAOption,IF(AND(ISNUMBER(Table30[[#This Row],[DB Number]]),Table30[[#This Row],[DB Number]]&lt;=NumDBVol),Table30[[#This Row],[DB Number]],""),IF(ISNUMBER(Table30[[#This Row],[DB Number]]),Table30[[#This Row],[DB Number]],""))</f>
        <v/>
      </c>
      <c r="E103" s="23"/>
      <c r="F103" s="23"/>
      <c r="G103" s="19"/>
      <c r="H103" s="20"/>
      <c r="I103" s="20"/>
      <c r="J103" s="918"/>
      <c r="K103" s="22"/>
    </row>
    <row r="104" spans="1:11" hidden="1" outlineLevel="1" x14ac:dyDescent="0.3">
      <c r="A104" s="26"/>
      <c r="B104" s="971" t="str">
        <f t="shared" si="2"/>
        <v/>
      </c>
      <c r="C104" s="966" t="str">
        <f>IF(ISNUMBER(Table30[[#This Row],[DB Number]]),ROUNDUP(Table30[[#This Row],[DB Number]]/NumDBPerVol,0),"")</f>
        <v/>
      </c>
      <c r="D104" s="966" t="str">
        <f>IF(calcHAOption,IF(AND(ISNUMBER(Table30[[#This Row],[DB Number]]),Table30[[#This Row],[DB Number]]&lt;=NumDBVol),Table30[[#This Row],[DB Number]],""),IF(ISNUMBER(Table30[[#This Row],[DB Number]]),Table30[[#This Row],[DB Number]],""))</f>
        <v/>
      </c>
      <c r="E104" s="23"/>
      <c r="F104" s="23"/>
      <c r="G104" s="19"/>
      <c r="H104" s="20"/>
      <c r="I104" s="20"/>
      <c r="J104" s="918"/>
      <c r="K104" s="22"/>
    </row>
    <row r="105" spans="1:11" hidden="1" outlineLevel="1" x14ac:dyDescent="0.3">
      <c r="A105" s="26"/>
      <c r="B105" s="971" t="str">
        <f t="shared" si="2"/>
        <v/>
      </c>
      <c r="C105" s="966" t="str">
        <f>IF(ISNUMBER(Table30[[#This Row],[DB Number]]),ROUNDUP(Table30[[#This Row],[DB Number]]/NumDBPerVol,0),"")</f>
        <v/>
      </c>
      <c r="D105" s="966" t="str">
        <f>IF(calcHAOption,IF(AND(ISNUMBER(Table30[[#This Row],[DB Number]]),Table30[[#This Row],[DB Number]]&lt;=NumDBVol),Table30[[#This Row],[DB Number]],""),IF(ISNUMBER(Table30[[#This Row],[DB Number]]),Table30[[#This Row],[DB Number]],""))</f>
        <v/>
      </c>
      <c r="E105" s="23"/>
      <c r="F105" s="23"/>
      <c r="G105" s="19"/>
      <c r="H105" s="20"/>
      <c r="I105" s="20"/>
      <c r="J105" s="918"/>
      <c r="K105" s="22"/>
    </row>
    <row r="106" spans="1:11" collapsed="1" x14ac:dyDescent="0.3">
      <c r="A106" s="26"/>
      <c r="B106" s="20"/>
      <c r="C106" s="28"/>
      <c r="D106" s="28"/>
      <c r="E106" s="28"/>
      <c r="F106" s="28"/>
      <c r="G106" s="20"/>
      <c r="H106" s="20"/>
      <c r="I106" s="20"/>
      <c r="J106" s="918"/>
      <c r="K106" s="22"/>
    </row>
    <row r="107" spans="1:11" x14ac:dyDescent="0.3">
      <c r="A107" s="26"/>
      <c r="B107" s="1094" t="s">
        <v>799</v>
      </c>
      <c r="C107" s="1094"/>
      <c r="D107" s="1094"/>
      <c r="E107" s="1094"/>
      <c r="F107" s="1094"/>
      <c r="G107" s="1094"/>
      <c r="H107" s="1094"/>
      <c r="I107" s="1094"/>
      <c r="J107" s="1094"/>
      <c r="K107" s="1112"/>
    </row>
    <row r="108" spans="1:11" x14ac:dyDescent="0.3">
      <c r="A108" s="26"/>
      <c r="B108" s="29"/>
      <c r="C108" s="29"/>
      <c r="D108" s="29"/>
      <c r="E108" s="29"/>
      <c r="F108" s="29"/>
      <c r="G108" s="29"/>
      <c r="H108" s="29"/>
      <c r="I108" s="29"/>
      <c r="J108" s="29"/>
      <c r="K108" s="30"/>
    </row>
    <row r="109" spans="1:11" ht="15" thickBot="1" x14ac:dyDescent="0.35">
      <c r="A109" s="26"/>
      <c r="B109" s="262" t="s">
        <v>800</v>
      </c>
      <c r="C109" s="128" t="s">
        <v>322</v>
      </c>
      <c r="D109" s="130"/>
      <c r="E109" s="130"/>
      <c r="F109" s="29"/>
      <c r="G109" s="29"/>
      <c r="H109" s="260" t="s">
        <v>796</v>
      </c>
      <c r="I109" s="981" t="s">
        <v>322</v>
      </c>
      <c r="J109" s="981"/>
      <c r="K109" s="30"/>
    </row>
    <row r="110" spans="1:11" ht="15" thickTop="1" x14ac:dyDescent="0.3">
      <c r="A110" s="26"/>
      <c r="B110" s="25" t="s">
        <v>791</v>
      </c>
      <c r="C110" s="261" t="str">
        <f>IF(AND(VolDesign=INDEX(varVolDesign,1),BackupMethod=INDEX(varBackupMethod,3)),
    INDEX(varVolumeArchitecture,2),
    IF(AND(VolDesign=INDEX(varVolDesign,1),BackupMethod=INDEX(varBackupMethod,2)),
       INDEX(varVolumeArchitecture,3),
       IF(VolDesign=INDEX(varVolDesign,1),
          INDEX(varVolumeArchitecture,1),
          IF(VolDesign=INDEX(varVolDesign,2),
             INDEX(varVolumeArchitecture,2),
             INDEX(varVolumeArchitecture,4)
            )
         )
      )
   )</f>
        <v>Multiple DBs / Volume</v>
      </c>
      <c r="F110" s="29"/>
      <c r="G110" s="29"/>
      <c r="H110" s="35" t="s">
        <v>795</v>
      </c>
      <c r="I110" s="983" t="str">
        <f>IF(RestoreVolSize=0,strEmpty,RestoreVolSize)</f>
        <v>--</v>
      </c>
      <c r="J110" s="982"/>
      <c r="K110" s="30"/>
    </row>
    <row r="111" spans="1:11" x14ac:dyDescent="0.3">
      <c r="A111" s="26"/>
      <c r="B111" s="29"/>
      <c r="C111" s="29"/>
      <c r="D111" s="29"/>
      <c r="E111" s="29"/>
      <c r="F111" s="29"/>
      <c r="G111" s="29"/>
      <c r="H111" s="29"/>
      <c r="I111" s="29"/>
      <c r="J111" s="29"/>
      <c r="K111" s="30"/>
    </row>
    <row r="112" spans="1:11" ht="15" thickBot="1" x14ac:dyDescent="0.35">
      <c r="A112" s="26"/>
      <c r="B112" s="1103" t="s">
        <v>801</v>
      </c>
      <c r="C112" s="1104"/>
      <c r="D112" s="1104"/>
      <c r="E112" s="1104"/>
      <c r="H112" s="19"/>
      <c r="K112" s="26"/>
    </row>
    <row r="113" spans="1:14" ht="15.75" customHeight="1" thickTop="1" x14ac:dyDescent="0.3">
      <c r="A113" s="26"/>
      <c r="B113" s="1120" t="s">
        <v>827</v>
      </c>
      <c r="C113" s="1121"/>
      <c r="D113" s="1122"/>
      <c r="E113" s="483">
        <f>RecDBperVolume</f>
        <v>4</v>
      </c>
      <c r="H113" s="19"/>
      <c r="K113" s="26"/>
    </row>
    <row r="114" spans="1:14" ht="15" customHeight="1" x14ac:dyDescent="0.3">
      <c r="A114" s="26"/>
      <c r="B114" s="1114" t="s">
        <v>806</v>
      </c>
      <c r="C114" s="1115"/>
      <c r="D114" s="1116"/>
      <c r="E114" s="379">
        <f>NumDBPerVol</f>
        <v>4</v>
      </c>
      <c r="H114" s="1087" t="s">
        <v>797</v>
      </c>
      <c r="I114" s="1087"/>
      <c r="K114" s="26"/>
    </row>
    <row r="115" spans="1:14" ht="15" customHeight="1" x14ac:dyDescent="0.3">
      <c r="A115" s="26"/>
      <c r="B115" s="1117" t="str">
        <f>IF(OR(VolArchitecture="Multiple DBs / Volume",VolArchitecture="1 Volume / DB"),"Recommended Number of Database+Log Volumes / Server","Recommended Number of Database Volumes / Server")</f>
        <v>Recommended Number of Database+Log Volumes / Server</v>
      </c>
      <c r="C115" s="1118"/>
      <c r="D115" s="1119"/>
      <c r="E115" s="193">
        <f>NumDBVol</f>
        <v>0</v>
      </c>
      <c r="H115" s="1087"/>
      <c r="I115" s="1087"/>
      <c r="K115" s="24"/>
    </row>
    <row r="116" spans="1:14" ht="15" customHeight="1" x14ac:dyDescent="0.3">
      <c r="A116" s="26"/>
      <c r="B116" s="1114" t="s">
        <v>792</v>
      </c>
      <c r="C116" s="1115"/>
      <c r="D116" s="1116"/>
      <c r="E116" s="379">
        <f>NumLogVol</f>
        <v>0</v>
      </c>
      <c r="H116" s="1087"/>
      <c r="I116" s="1087"/>
      <c r="K116" s="31"/>
    </row>
    <row r="117" spans="1:14" ht="15" customHeight="1" x14ac:dyDescent="0.3">
      <c r="A117" s="26"/>
      <c r="B117" s="1123" t="s">
        <v>1304</v>
      </c>
      <c r="C117" s="1118"/>
      <c r="D117" s="1119"/>
      <c r="E117" s="193">
        <f>AutoReseedVols</f>
        <v>1</v>
      </c>
      <c r="H117" s="1087"/>
      <c r="I117" s="1087"/>
      <c r="K117" s="31"/>
    </row>
    <row r="118" spans="1:14" ht="15" customHeight="1" x14ac:dyDescent="0.3">
      <c r="A118" s="26"/>
      <c r="B118" s="1114" t="s">
        <v>793</v>
      </c>
      <c r="C118" s="1115"/>
      <c r="D118" s="1116"/>
      <c r="E118" s="379">
        <f>IF(RestoreVol="Yes",1,0)</f>
        <v>1</v>
      </c>
      <c r="H118" s="1087"/>
      <c r="I118" s="1087"/>
      <c r="K118" s="31"/>
    </row>
    <row r="119" spans="1:14" ht="15" customHeight="1" x14ac:dyDescent="0.3">
      <c r="A119" s="26"/>
      <c r="B119" s="1117" t="s">
        <v>794</v>
      </c>
      <c r="C119" s="1118"/>
      <c r="D119" s="1119"/>
      <c r="E119" s="193">
        <f>SUM(E115:E118)</f>
        <v>2</v>
      </c>
      <c r="F119" s="191"/>
      <c r="K119" s="30"/>
    </row>
    <row r="120" spans="1:14" x14ac:dyDescent="0.3">
      <c r="A120" s="26"/>
      <c r="B120" s="29"/>
      <c r="C120" s="29"/>
      <c r="D120" s="29"/>
      <c r="E120" s="29"/>
      <c r="F120" s="29"/>
      <c r="G120" s="29"/>
      <c r="H120" s="33"/>
      <c r="I120" s="33"/>
      <c r="J120" s="33"/>
      <c r="K120" s="30"/>
    </row>
    <row r="121" spans="1:14" x14ac:dyDescent="0.3">
      <c r="A121" s="26"/>
      <c r="B121" s="1107" t="s">
        <v>2113</v>
      </c>
      <c r="C121" s="1108"/>
      <c r="D121" s="1108"/>
      <c r="E121" s="1108"/>
      <c r="F121" s="1108"/>
      <c r="G121" s="20"/>
      <c r="H121" s="1105" t="s">
        <v>2100</v>
      </c>
      <c r="I121" s="1105"/>
      <c r="J121" s="1105"/>
      <c r="K121" s="1106"/>
    </row>
    <row r="122" spans="1:14" ht="15" thickBot="1" x14ac:dyDescent="0.35">
      <c r="A122" s="26"/>
      <c r="B122" s="257" t="s">
        <v>200</v>
      </c>
      <c r="C122" s="257" t="s">
        <v>336</v>
      </c>
      <c r="D122" s="258" t="s">
        <v>131</v>
      </c>
      <c r="E122" s="258" t="s">
        <v>132</v>
      </c>
      <c r="F122" s="259" t="s">
        <v>133</v>
      </c>
      <c r="G122" s="20"/>
      <c r="H122" s="957" t="str">
        <f>IF(calcHAOption,"Database Copy","Database")</f>
        <v>Database Copy</v>
      </c>
      <c r="I122" s="957" t="str">
        <f>IF(OR(VolArchitecture=INDEX(varVolumeArchitecture,1),VolArchitecture=INDEX(varVolumeArchitecture,4)),"DB+Log Volume Size Required","DB Volume Size Required")</f>
        <v>DB+Log Volume Size Required</v>
      </c>
      <c r="J122" s="958" t="str">
        <f>IF(OR(VolArchitecture=INDEX(varVolumeArchitecture,1),VolArchitecture=INDEX(varVolumeArchitecture,4)),"","Log Volume Size Required")</f>
        <v/>
      </c>
      <c r="K122" s="959" t="str">
        <f>IF(OR(VolArchitecture="Multiple DBs / Volume",VolArchitecture="1 Volume / DB"),"Formatted Capacity","")</f>
        <v>Formatted Capacity</v>
      </c>
    </row>
    <row r="123" spans="1:14" ht="15" thickTop="1" x14ac:dyDescent="0.3">
      <c r="A123" s="26"/>
      <c r="B123" s="131" t="str">
        <f t="shared" ref="B123:B154" si="3">IF(SUMIF($B$6:$B$105,B6,$B$6:$B$105),B6,strEmpty)</f>
        <v>--</v>
      </c>
      <c r="C123" s="129" t="str">
        <f>IF(Table38[[#This Row],[Database]]&lt;&gt;strEmpty,MBXPerDB,"")</f>
        <v/>
      </c>
      <c r="D123" s="185" t="str">
        <f>IF(Table38[[#This Row],[Database]]&lt;&gt;strEmpty,DBSize,"")</f>
        <v/>
      </c>
      <c r="E123" s="185" t="str">
        <f>IF(Table38[[#This Row],[Database]]&lt;&gt;strEmpty,DBSizeOverhead,"")</f>
        <v/>
      </c>
      <c r="F123" s="185" t="str">
        <f>IF(Table38[[#This Row],[Database]]&lt;&gt;strEmpty,LogOverheadperDB,"")</f>
        <v/>
      </c>
      <c r="G123" s="20"/>
      <c r="H123" s="457" t="str">
        <f t="shared" ref="H123:H154" si="4">IFERROR(IF(NOT(ValidationCheck),IF(TotNumDBCopiesServer/NumDBPerVol&gt;ROW()-ROW(DBSet1),IF(NumDBPerVol=1,CONCATENATE("DB",ROW()-ROW(DBSet1)+1),CONCATENATE("DB",ABS(ROW(DBSet1)-ROW()) * NumDBPerVol+1,"-DB",MIN(TotNumDBCopiesServer,(ABS(ROW(DBSet1)-ROW())+1) * NumDBPerVol))),strEmpty),strEmpty),strEmpty)</f>
        <v>--</v>
      </c>
      <c r="I123" s="451" t="str">
        <f t="shared" ref="I123:I154" si="5">IF(H123=strEmpty,"",(SUMIF(C$6:C$105,D6,E$123:E$222)+IF(OR(VolArchitecture=INDEX(varVolumeArchitecture,1),VolArchitecture=INDEX(varVolumeArchitecture,4)),SUMIF(C$6:C$105,D6,F$123:F$222),0)))</f>
        <v/>
      </c>
      <c r="J123" s="926" t="str">
        <f t="shared" ref="J123:J154" si="6">IF(OR(VolArchitecture=INDEX(varVolumeArchitecture,1),VolArchitecture=INDEX(varVolumeArchitecture,4)),"",IF(H123=strEmpty,"",SUMIF(C$6:C$105,D6,F$123:F$222)))</f>
        <v/>
      </c>
      <c r="K123" s="956" t="str">
        <f t="shared" ref="K123:K154" si="7">IF(OR(VolArchitecture=INDEX(varVolumeArchitecture,1),VolArchitecture=INDEX(varVolumeArchitecture,4)),IF(H123=strEmpty,"",(DBRawDiskCap1*1000*1000*1000)/1024/1024/1024),"")</f>
        <v/>
      </c>
    </row>
    <row r="124" spans="1:14" x14ac:dyDescent="0.3">
      <c r="A124" s="26"/>
      <c r="B124" s="131" t="str">
        <f t="shared" si="3"/>
        <v>--</v>
      </c>
      <c r="C124" s="129" t="str">
        <f>IF(Table38[[#This Row],[Database]]&lt;&gt;strEmpty,MBXPerDB,"")</f>
        <v/>
      </c>
      <c r="D124" s="185" t="str">
        <f>IF(Table38[[#This Row],[Database]]&lt;&gt;strEmpty,DBSize,"")</f>
        <v/>
      </c>
      <c r="E124" s="185" t="str">
        <f>IF(Table38[[#This Row],[Database]]&lt;&gt;strEmpty,DBSizeOverhead,"")</f>
        <v/>
      </c>
      <c r="F124" s="185" t="str">
        <f>IF(Table38[[#This Row],[Database]]&lt;&gt;strEmpty,LogOverheadperDB,"")</f>
        <v/>
      </c>
      <c r="G124" s="20"/>
      <c r="H124" s="458" t="str">
        <f t="shared" si="4"/>
        <v>--</v>
      </c>
      <c r="I124" s="911" t="str">
        <f t="shared" si="5"/>
        <v/>
      </c>
      <c r="J124" s="925" t="str">
        <f t="shared" si="6"/>
        <v/>
      </c>
      <c r="K124" s="950" t="str">
        <f t="shared" si="7"/>
        <v/>
      </c>
      <c r="N124" s="450"/>
    </row>
    <row r="125" spans="1:14" x14ac:dyDescent="0.3">
      <c r="A125" s="26"/>
      <c r="B125" s="131" t="str">
        <f t="shared" si="3"/>
        <v>--</v>
      </c>
      <c r="C125" s="129" t="str">
        <f>IF(Table38[[#This Row],[Database]]&lt;&gt;strEmpty,MBXPerDB,"")</f>
        <v/>
      </c>
      <c r="D125" s="185" t="str">
        <f>IF(Table38[[#This Row],[Database]]&lt;&gt;strEmpty,DBSize,"")</f>
        <v/>
      </c>
      <c r="E125" s="185" t="str">
        <f>IF(Table38[[#This Row],[Database]]&lt;&gt;strEmpty,DBSizeOverhead,"")</f>
        <v/>
      </c>
      <c r="F125" s="185" t="str">
        <f>IF(Table38[[#This Row],[Database]]&lt;&gt;strEmpty,LogOverheadperDB,"")</f>
        <v/>
      </c>
      <c r="G125" s="20"/>
      <c r="H125" s="459" t="str">
        <f t="shared" si="4"/>
        <v>--</v>
      </c>
      <c r="I125" s="451" t="str">
        <f t="shared" si="5"/>
        <v/>
      </c>
      <c r="J125" s="926" t="str">
        <f t="shared" si="6"/>
        <v/>
      </c>
      <c r="K125" s="951" t="str">
        <f t="shared" si="7"/>
        <v/>
      </c>
    </row>
    <row r="126" spans="1:14" x14ac:dyDescent="0.3">
      <c r="A126" s="26"/>
      <c r="B126" s="131" t="str">
        <f t="shared" si="3"/>
        <v>--</v>
      </c>
      <c r="C126" s="129" t="str">
        <f>IF(Table38[[#This Row],[Database]]&lt;&gt;strEmpty,MBXPerDB,"")</f>
        <v/>
      </c>
      <c r="D126" s="185" t="str">
        <f>IF(Table38[[#This Row],[Database]]&lt;&gt;strEmpty,DBSize,"")</f>
        <v/>
      </c>
      <c r="E126" s="185" t="str">
        <f>IF(Table38[[#This Row],[Database]]&lt;&gt;strEmpty,DBSizeOverhead,"")</f>
        <v/>
      </c>
      <c r="F126" s="185" t="str">
        <f>IF(Table38[[#This Row],[Database]]&lt;&gt;strEmpty,LogOverheadperDB,"")</f>
        <v/>
      </c>
      <c r="G126" s="20"/>
      <c r="H126" s="458" t="str">
        <f t="shared" si="4"/>
        <v>--</v>
      </c>
      <c r="I126" s="911" t="str">
        <f t="shared" si="5"/>
        <v/>
      </c>
      <c r="J126" s="925" t="str">
        <f t="shared" si="6"/>
        <v/>
      </c>
      <c r="K126" s="950" t="str">
        <f t="shared" si="7"/>
        <v/>
      </c>
    </row>
    <row r="127" spans="1:14" x14ac:dyDescent="0.3">
      <c r="A127" s="26"/>
      <c r="B127" s="131" t="str">
        <f t="shared" si="3"/>
        <v>--</v>
      </c>
      <c r="C127" s="129" t="str">
        <f>IF(Table38[[#This Row],[Database]]&lt;&gt;strEmpty,MBXPerDB,"")</f>
        <v/>
      </c>
      <c r="D127" s="185" t="str">
        <f>IF(Table38[[#This Row],[Database]]&lt;&gt;strEmpty,DBSize,"")</f>
        <v/>
      </c>
      <c r="E127" s="185" t="str">
        <f>IF(Table38[[#This Row],[Database]]&lt;&gt;strEmpty,DBSizeOverhead,"")</f>
        <v/>
      </c>
      <c r="F127" s="185" t="str">
        <f>IF(Table38[[#This Row],[Database]]&lt;&gt;strEmpty,LogOverheadperDB,"")</f>
        <v/>
      </c>
      <c r="G127" s="20"/>
      <c r="H127" s="459" t="str">
        <f t="shared" si="4"/>
        <v>--</v>
      </c>
      <c r="I127" s="451" t="str">
        <f t="shared" si="5"/>
        <v/>
      </c>
      <c r="J127" s="926" t="str">
        <f t="shared" si="6"/>
        <v/>
      </c>
      <c r="K127" s="951" t="str">
        <f t="shared" si="7"/>
        <v/>
      </c>
      <c r="N127" s="34"/>
    </row>
    <row r="128" spans="1:14" x14ac:dyDescent="0.3">
      <c r="A128" s="26"/>
      <c r="B128" s="131" t="str">
        <f t="shared" si="3"/>
        <v>--</v>
      </c>
      <c r="C128" s="129" t="str">
        <f>IF(Table38[[#This Row],[Database]]&lt;&gt;strEmpty,MBXPerDB,"")</f>
        <v/>
      </c>
      <c r="D128" s="185" t="str">
        <f>IF(Table38[[#This Row],[Database]]&lt;&gt;strEmpty,DBSize,"")</f>
        <v/>
      </c>
      <c r="E128" s="185" t="str">
        <f>IF(Table38[[#This Row],[Database]]&lt;&gt;strEmpty,DBSizeOverhead,"")</f>
        <v/>
      </c>
      <c r="F128" s="185" t="str">
        <f>IF(Table38[[#This Row],[Database]]&lt;&gt;strEmpty,LogOverheadperDB,"")</f>
        <v/>
      </c>
      <c r="G128" s="20"/>
      <c r="H128" s="458" t="str">
        <f t="shared" si="4"/>
        <v>--</v>
      </c>
      <c r="I128" s="911" t="str">
        <f t="shared" si="5"/>
        <v/>
      </c>
      <c r="J128" s="925" t="str">
        <f t="shared" si="6"/>
        <v/>
      </c>
      <c r="K128" s="950" t="str">
        <f t="shared" si="7"/>
        <v/>
      </c>
    </row>
    <row r="129" spans="1:11" x14ac:dyDescent="0.3">
      <c r="A129" s="26"/>
      <c r="B129" s="131" t="str">
        <f t="shared" si="3"/>
        <v>--</v>
      </c>
      <c r="C129" s="129" t="str">
        <f>IF(Table38[[#This Row],[Database]]&lt;&gt;strEmpty,MBXPerDB,"")</f>
        <v/>
      </c>
      <c r="D129" s="185" t="str">
        <f>IF(Table38[[#This Row],[Database]]&lt;&gt;strEmpty,DBSize,"")</f>
        <v/>
      </c>
      <c r="E129" s="185" t="str">
        <f>IF(Table38[[#This Row],[Database]]&lt;&gt;strEmpty,DBSizeOverhead,"")</f>
        <v/>
      </c>
      <c r="F129" s="185" t="str">
        <f>IF(Table38[[#This Row],[Database]]&lt;&gt;strEmpty,LogOverheadperDB,"")</f>
        <v/>
      </c>
      <c r="G129" s="20"/>
      <c r="H129" s="459" t="str">
        <f t="shared" si="4"/>
        <v>--</v>
      </c>
      <c r="I129" s="451" t="str">
        <f t="shared" si="5"/>
        <v/>
      </c>
      <c r="J129" s="926" t="str">
        <f t="shared" si="6"/>
        <v/>
      </c>
      <c r="K129" s="951" t="str">
        <f t="shared" si="7"/>
        <v/>
      </c>
    </row>
    <row r="130" spans="1:11" x14ac:dyDescent="0.3">
      <c r="A130" s="26"/>
      <c r="B130" s="131" t="str">
        <f t="shared" si="3"/>
        <v>--</v>
      </c>
      <c r="C130" s="129" t="str">
        <f>IF(Table38[[#This Row],[Database]]&lt;&gt;strEmpty,MBXPerDB,"")</f>
        <v/>
      </c>
      <c r="D130" s="185" t="str">
        <f>IF(Table38[[#This Row],[Database]]&lt;&gt;strEmpty,DBSize,"")</f>
        <v/>
      </c>
      <c r="E130" s="185" t="str">
        <f>IF(Table38[[#This Row],[Database]]&lt;&gt;strEmpty,DBSizeOverhead,"")</f>
        <v/>
      </c>
      <c r="F130" s="185" t="str">
        <f>IF(Table38[[#This Row],[Database]]&lt;&gt;strEmpty,LogOverheadperDB,"")</f>
        <v/>
      </c>
      <c r="G130" s="20"/>
      <c r="H130" s="458" t="str">
        <f t="shared" si="4"/>
        <v>--</v>
      </c>
      <c r="I130" s="911" t="str">
        <f t="shared" si="5"/>
        <v/>
      </c>
      <c r="J130" s="925" t="str">
        <f t="shared" si="6"/>
        <v/>
      </c>
      <c r="K130" s="950" t="str">
        <f t="shared" si="7"/>
        <v/>
      </c>
    </row>
    <row r="131" spans="1:11" x14ac:dyDescent="0.3">
      <c r="A131" s="26"/>
      <c r="B131" s="131" t="str">
        <f t="shared" si="3"/>
        <v>--</v>
      </c>
      <c r="C131" s="129" t="str">
        <f>IF(Table38[[#This Row],[Database]]&lt;&gt;strEmpty,MBXPerDB,"")</f>
        <v/>
      </c>
      <c r="D131" s="185" t="str">
        <f>IF(Table38[[#This Row],[Database]]&lt;&gt;strEmpty,DBSize,"")</f>
        <v/>
      </c>
      <c r="E131" s="185" t="str">
        <f>IF(Table38[[#This Row],[Database]]&lt;&gt;strEmpty,DBSizeOverhead,"")</f>
        <v/>
      </c>
      <c r="F131" s="185" t="str">
        <f>IF(Table38[[#This Row],[Database]]&lt;&gt;strEmpty,LogOverheadperDB,"")</f>
        <v/>
      </c>
      <c r="G131" s="20"/>
      <c r="H131" s="459" t="str">
        <f t="shared" si="4"/>
        <v>--</v>
      </c>
      <c r="I131" s="451" t="str">
        <f t="shared" si="5"/>
        <v/>
      </c>
      <c r="J131" s="926" t="str">
        <f t="shared" si="6"/>
        <v/>
      </c>
      <c r="K131" s="951" t="str">
        <f t="shared" si="7"/>
        <v/>
      </c>
    </row>
    <row r="132" spans="1:11" x14ac:dyDescent="0.3">
      <c r="A132" s="26"/>
      <c r="B132" s="131" t="str">
        <f t="shared" si="3"/>
        <v>--</v>
      </c>
      <c r="C132" s="129" t="str">
        <f>IF(Table38[[#This Row],[Database]]&lt;&gt;strEmpty,MBXPerDB,"")</f>
        <v/>
      </c>
      <c r="D132" s="185" t="str">
        <f>IF(Table38[[#This Row],[Database]]&lt;&gt;strEmpty,DBSize,"")</f>
        <v/>
      </c>
      <c r="E132" s="185" t="str">
        <f>IF(Table38[[#This Row],[Database]]&lt;&gt;strEmpty,DBSizeOverhead,"")</f>
        <v/>
      </c>
      <c r="F132" s="185" t="str">
        <f>IF(Table38[[#This Row],[Database]]&lt;&gt;strEmpty,LogOverheadperDB,"")</f>
        <v/>
      </c>
      <c r="G132" s="20"/>
      <c r="H132" s="458" t="str">
        <f t="shared" si="4"/>
        <v>--</v>
      </c>
      <c r="I132" s="911" t="str">
        <f t="shared" si="5"/>
        <v/>
      </c>
      <c r="J132" s="925" t="str">
        <f t="shared" si="6"/>
        <v/>
      </c>
      <c r="K132" s="950" t="str">
        <f t="shared" si="7"/>
        <v/>
      </c>
    </row>
    <row r="133" spans="1:11" x14ac:dyDescent="0.3">
      <c r="A133" s="26"/>
      <c r="B133" s="131" t="str">
        <f t="shared" si="3"/>
        <v>--</v>
      </c>
      <c r="C133" s="129" t="str">
        <f>IF(Table38[[#This Row],[Database]]&lt;&gt;strEmpty,MBXPerDB,"")</f>
        <v/>
      </c>
      <c r="D133" s="185" t="str">
        <f>IF(Table38[[#This Row],[Database]]&lt;&gt;strEmpty,DBSize,"")</f>
        <v/>
      </c>
      <c r="E133" s="185" t="str">
        <f>IF(Table38[[#This Row],[Database]]&lt;&gt;strEmpty,DBSizeOverhead,"")</f>
        <v/>
      </c>
      <c r="F133" s="185" t="str">
        <f>IF(Table38[[#This Row],[Database]]&lt;&gt;strEmpty,LogOverheadperDB,"")</f>
        <v/>
      </c>
      <c r="G133" s="20"/>
      <c r="H133" s="459" t="str">
        <f t="shared" si="4"/>
        <v>--</v>
      </c>
      <c r="I133" s="451" t="str">
        <f t="shared" si="5"/>
        <v/>
      </c>
      <c r="J133" s="926" t="str">
        <f t="shared" si="6"/>
        <v/>
      </c>
      <c r="K133" s="951" t="str">
        <f t="shared" si="7"/>
        <v/>
      </c>
    </row>
    <row r="134" spans="1:11" x14ac:dyDescent="0.3">
      <c r="A134" s="26"/>
      <c r="B134" s="131" t="str">
        <f t="shared" si="3"/>
        <v>--</v>
      </c>
      <c r="C134" s="129" t="str">
        <f>IF(Table38[[#This Row],[Database]]&lt;&gt;strEmpty,MBXPerDB,"")</f>
        <v/>
      </c>
      <c r="D134" s="185" t="str">
        <f>IF(Table38[[#This Row],[Database]]&lt;&gt;strEmpty,DBSize,"")</f>
        <v/>
      </c>
      <c r="E134" s="185" t="str">
        <f>IF(Table38[[#This Row],[Database]]&lt;&gt;strEmpty,DBSizeOverhead,"")</f>
        <v/>
      </c>
      <c r="F134" s="185" t="str">
        <f>IF(Table38[[#This Row],[Database]]&lt;&gt;strEmpty,LogOverheadperDB,"")</f>
        <v/>
      </c>
      <c r="G134" s="20"/>
      <c r="H134" s="458" t="str">
        <f t="shared" si="4"/>
        <v>--</v>
      </c>
      <c r="I134" s="911" t="str">
        <f t="shared" si="5"/>
        <v/>
      </c>
      <c r="J134" s="925" t="str">
        <f t="shared" si="6"/>
        <v/>
      </c>
      <c r="K134" s="950" t="str">
        <f t="shared" si="7"/>
        <v/>
      </c>
    </row>
    <row r="135" spans="1:11" x14ac:dyDescent="0.3">
      <c r="A135" s="26"/>
      <c r="B135" s="131" t="str">
        <f t="shared" si="3"/>
        <v>--</v>
      </c>
      <c r="C135" s="129" t="str">
        <f>IF(Table38[[#This Row],[Database]]&lt;&gt;strEmpty,MBXPerDB,"")</f>
        <v/>
      </c>
      <c r="D135" s="185" t="str">
        <f>IF(Table38[[#This Row],[Database]]&lt;&gt;strEmpty,DBSize,"")</f>
        <v/>
      </c>
      <c r="E135" s="185" t="str">
        <f>IF(Table38[[#This Row],[Database]]&lt;&gt;strEmpty,DBSizeOverhead,"")</f>
        <v/>
      </c>
      <c r="F135" s="185" t="str">
        <f>IF(Table38[[#This Row],[Database]]&lt;&gt;strEmpty,LogOverheadperDB,"")</f>
        <v/>
      </c>
      <c r="G135" s="20"/>
      <c r="H135" s="459" t="str">
        <f t="shared" si="4"/>
        <v>--</v>
      </c>
      <c r="I135" s="451" t="str">
        <f t="shared" si="5"/>
        <v/>
      </c>
      <c r="J135" s="926" t="str">
        <f t="shared" si="6"/>
        <v/>
      </c>
      <c r="K135" s="951" t="str">
        <f t="shared" si="7"/>
        <v/>
      </c>
    </row>
    <row r="136" spans="1:11" x14ac:dyDescent="0.3">
      <c r="A136" s="26"/>
      <c r="B136" s="131" t="str">
        <f t="shared" si="3"/>
        <v>--</v>
      </c>
      <c r="C136" s="129" t="str">
        <f>IF(Table38[[#This Row],[Database]]&lt;&gt;strEmpty,MBXPerDB,"")</f>
        <v/>
      </c>
      <c r="D136" s="185" t="str">
        <f>IF(Table38[[#This Row],[Database]]&lt;&gt;strEmpty,DBSize,"")</f>
        <v/>
      </c>
      <c r="E136" s="185" t="str">
        <f>IF(Table38[[#This Row],[Database]]&lt;&gt;strEmpty,DBSizeOverhead,"")</f>
        <v/>
      </c>
      <c r="F136" s="185" t="str">
        <f>IF(Table38[[#This Row],[Database]]&lt;&gt;strEmpty,LogOverheadperDB,"")</f>
        <v/>
      </c>
      <c r="G136" s="20"/>
      <c r="H136" s="458" t="str">
        <f t="shared" si="4"/>
        <v>--</v>
      </c>
      <c r="I136" s="911" t="str">
        <f t="shared" si="5"/>
        <v/>
      </c>
      <c r="J136" s="925" t="str">
        <f t="shared" si="6"/>
        <v/>
      </c>
      <c r="K136" s="950" t="str">
        <f t="shared" si="7"/>
        <v/>
      </c>
    </row>
    <row r="137" spans="1:11" x14ac:dyDescent="0.3">
      <c r="A137" s="26"/>
      <c r="B137" s="131" t="str">
        <f t="shared" si="3"/>
        <v>--</v>
      </c>
      <c r="C137" s="129" t="str">
        <f>IF(Table38[[#This Row],[Database]]&lt;&gt;strEmpty,MBXPerDB,"")</f>
        <v/>
      </c>
      <c r="D137" s="185" t="str">
        <f>IF(Table38[[#This Row],[Database]]&lt;&gt;strEmpty,DBSize,"")</f>
        <v/>
      </c>
      <c r="E137" s="185" t="str">
        <f>IF(Table38[[#This Row],[Database]]&lt;&gt;strEmpty,DBSizeOverhead,"")</f>
        <v/>
      </c>
      <c r="F137" s="185" t="str">
        <f>IF(Table38[[#This Row],[Database]]&lt;&gt;strEmpty,LogOverheadperDB,"")</f>
        <v/>
      </c>
      <c r="G137" s="20"/>
      <c r="H137" s="459" t="str">
        <f t="shared" si="4"/>
        <v>--</v>
      </c>
      <c r="I137" s="451" t="str">
        <f t="shared" si="5"/>
        <v/>
      </c>
      <c r="J137" s="926" t="str">
        <f t="shared" si="6"/>
        <v/>
      </c>
      <c r="K137" s="951" t="str">
        <f t="shared" si="7"/>
        <v/>
      </c>
    </row>
    <row r="138" spans="1:11" x14ac:dyDescent="0.3">
      <c r="A138" s="26"/>
      <c r="B138" s="131" t="str">
        <f t="shared" si="3"/>
        <v>--</v>
      </c>
      <c r="C138" s="129" t="str">
        <f>IF(Table38[[#This Row],[Database]]&lt;&gt;strEmpty,MBXPerDB,"")</f>
        <v/>
      </c>
      <c r="D138" s="185" t="str">
        <f>IF(Table38[[#This Row],[Database]]&lt;&gt;strEmpty,DBSize,"")</f>
        <v/>
      </c>
      <c r="E138" s="185" t="str">
        <f>IF(Table38[[#This Row],[Database]]&lt;&gt;strEmpty,DBSizeOverhead,"")</f>
        <v/>
      </c>
      <c r="F138" s="185" t="str">
        <f>IF(Table38[[#This Row],[Database]]&lt;&gt;strEmpty,LogOverheadperDB,"")</f>
        <v/>
      </c>
      <c r="G138" s="20"/>
      <c r="H138" s="458" t="str">
        <f t="shared" si="4"/>
        <v>--</v>
      </c>
      <c r="I138" s="911" t="str">
        <f t="shared" si="5"/>
        <v/>
      </c>
      <c r="J138" s="925" t="str">
        <f t="shared" si="6"/>
        <v/>
      </c>
      <c r="K138" s="950" t="str">
        <f t="shared" si="7"/>
        <v/>
      </c>
    </row>
    <row r="139" spans="1:11" x14ac:dyDescent="0.3">
      <c r="A139" s="26"/>
      <c r="B139" s="131" t="str">
        <f t="shared" si="3"/>
        <v>--</v>
      </c>
      <c r="C139" s="129" t="str">
        <f>IF(Table38[[#This Row],[Database]]&lt;&gt;strEmpty,MBXPerDB,"")</f>
        <v/>
      </c>
      <c r="D139" s="185" t="str">
        <f>IF(Table38[[#This Row],[Database]]&lt;&gt;strEmpty,DBSize,"")</f>
        <v/>
      </c>
      <c r="E139" s="185" t="str">
        <f>IF(Table38[[#This Row],[Database]]&lt;&gt;strEmpty,DBSizeOverhead,"")</f>
        <v/>
      </c>
      <c r="F139" s="185" t="str">
        <f>IF(Table38[[#This Row],[Database]]&lt;&gt;strEmpty,LogOverheadperDB,"")</f>
        <v/>
      </c>
      <c r="G139" s="20"/>
      <c r="H139" s="459" t="str">
        <f t="shared" si="4"/>
        <v>--</v>
      </c>
      <c r="I139" s="451" t="str">
        <f t="shared" si="5"/>
        <v/>
      </c>
      <c r="J139" s="926" t="str">
        <f t="shared" si="6"/>
        <v/>
      </c>
      <c r="K139" s="951" t="str">
        <f t="shared" si="7"/>
        <v/>
      </c>
    </row>
    <row r="140" spans="1:11" x14ac:dyDescent="0.3">
      <c r="A140" s="26"/>
      <c r="B140" s="131" t="str">
        <f t="shared" si="3"/>
        <v>--</v>
      </c>
      <c r="C140" s="129" t="str">
        <f>IF(Table38[[#This Row],[Database]]&lt;&gt;strEmpty,MBXPerDB,"")</f>
        <v/>
      </c>
      <c r="D140" s="185" t="str">
        <f>IF(Table38[[#This Row],[Database]]&lt;&gt;strEmpty,DBSize,"")</f>
        <v/>
      </c>
      <c r="E140" s="185" t="str">
        <f>IF(Table38[[#This Row],[Database]]&lt;&gt;strEmpty,DBSizeOverhead,"")</f>
        <v/>
      </c>
      <c r="F140" s="185" t="str">
        <f>IF(Table38[[#This Row],[Database]]&lt;&gt;strEmpty,LogOverheadperDB,"")</f>
        <v/>
      </c>
      <c r="G140" s="20"/>
      <c r="H140" s="458" t="str">
        <f t="shared" si="4"/>
        <v>--</v>
      </c>
      <c r="I140" s="911" t="str">
        <f t="shared" si="5"/>
        <v/>
      </c>
      <c r="J140" s="925" t="str">
        <f t="shared" si="6"/>
        <v/>
      </c>
      <c r="K140" s="950" t="str">
        <f t="shared" si="7"/>
        <v/>
      </c>
    </row>
    <row r="141" spans="1:11" x14ac:dyDescent="0.3">
      <c r="A141" s="26"/>
      <c r="B141" s="131" t="str">
        <f t="shared" si="3"/>
        <v>--</v>
      </c>
      <c r="C141" s="129" t="str">
        <f>IF(Table38[[#This Row],[Database]]&lt;&gt;strEmpty,MBXPerDB,"")</f>
        <v/>
      </c>
      <c r="D141" s="185" t="str">
        <f>IF(Table38[[#This Row],[Database]]&lt;&gt;strEmpty,DBSize,"")</f>
        <v/>
      </c>
      <c r="E141" s="185" t="str">
        <f>IF(Table38[[#This Row],[Database]]&lt;&gt;strEmpty,DBSizeOverhead,"")</f>
        <v/>
      </c>
      <c r="F141" s="185" t="str">
        <f>IF(Table38[[#This Row],[Database]]&lt;&gt;strEmpty,LogOverheadperDB,"")</f>
        <v/>
      </c>
      <c r="G141" s="20"/>
      <c r="H141" s="459" t="str">
        <f t="shared" si="4"/>
        <v>--</v>
      </c>
      <c r="I141" s="451" t="str">
        <f t="shared" si="5"/>
        <v/>
      </c>
      <c r="J141" s="926" t="str">
        <f t="shared" si="6"/>
        <v/>
      </c>
      <c r="K141" s="951" t="str">
        <f t="shared" si="7"/>
        <v/>
      </c>
    </row>
    <row r="142" spans="1:11" x14ac:dyDescent="0.3">
      <c r="A142" s="26"/>
      <c r="B142" s="131" t="str">
        <f t="shared" si="3"/>
        <v>--</v>
      </c>
      <c r="C142" s="129" t="str">
        <f>IF(Table38[[#This Row],[Database]]&lt;&gt;strEmpty,MBXPerDB,"")</f>
        <v/>
      </c>
      <c r="D142" s="185" t="str">
        <f>IF(Table38[[#This Row],[Database]]&lt;&gt;strEmpty,DBSize,"")</f>
        <v/>
      </c>
      <c r="E142" s="185" t="str">
        <f>IF(Table38[[#This Row],[Database]]&lt;&gt;strEmpty,DBSizeOverhead,"")</f>
        <v/>
      </c>
      <c r="F142" s="185" t="str">
        <f>IF(Table38[[#This Row],[Database]]&lt;&gt;strEmpty,LogOverheadperDB,"")</f>
        <v/>
      </c>
      <c r="G142" s="20"/>
      <c r="H142" s="458" t="str">
        <f t="shared" si="4"/>
        <v>--</v>
      </c>
      <c r="I142" s="911" t="str">
        <f t="shared" si="5"/>
        <v/>
      </c>
      <c r="J142" s="925" t="str">
        <f t="shared" si="6"/>
        <v/>
      </c>
      <c r="K142" s="950" t="str">
        <f t="shared" si="7"/>
        <v/>
      </c>
    </row>
    <row r="143" spans="1:11" x14ac:dyDescent="0.3">
      <c r="A143" s="26"/>
      <c r="B143" s="131" t="str">
        <f t="shared" si="3"/>
        <v>--</v>
      </c>
      <c r="C143" s="129" t="str">
        <f>IF(Table38[[#This Row],[Database]]&lt;&gt;strEmpty,MBXPerDB,"")</f>
        <v/>
      </c>
      <c r="D143" s="185" t="str">
        <f>IF(Table38[[#This Row],[Database]]&lt;&gt;strEmpty,DBSize,"")</f>
        <v/>
      </c>
      <c r="E143" s="185" t="str">
        <f>IF(Table38[[#This Row],[Database]]&lt;&gt;strEmpty,DBSizeOverhead,"")</f>
        <v/>
      </c>
      <c r="F143" s="185" t="str">
        <f>IF(Table38[[#This Row],[Database]]&lt;&gt;strEmpty,LogOverheadperDB,"")</f>
        <v/>
      </c>
      <c r="G143" s="20"/>
      <c r="H143" s="459" t="str">
        <f t="shared" si="4"/>
        <v>--</v>
      </c>
      <c r="I143" s="451" t="str">
        <f t="shared" si="5"/>
        <v/>
      </c>
      <c r="J143" s="926" t="str">
        <f t="shared" si="6"/>
        <v/>
      </c>
      <c r="K143" s="951" t="str">
        <f t="shared" si="7"/>
        <v/>
      </c>
    </row>
    <row r="144" spans="1:11" x14ac:dyDescent="0.3">
      <c r="A144" s="26"/>
      <c r="B144" s="131" t="str">
        <f t="shared" si="3"/>
        <v>--</v>
      </c>
      <c r="C144" s="129" t="str">
        <f>IF(Table38[[#This Row],[Database]]&lt;&gt;strEmpty,MBXPerDB,"")</f>
        <v/>
      </c>
      <c r="D144" s="185" t="str">
        <f>IF(Table38[[#This Row],[Database]]&lt;&gt;strEmpty,DBSize,"")</f>
        <v/>
      </c>
      <c r="E144" s="185" t="str">
        <f>IF(Table38[[#This Row],[Database]]&lt;&gt;strEmpty,DBSizeOverhead,"")</f>
        <v/>
      </c>
      <c r="F144" s="185" t="str">
        <f>IF(Table38[[#This Row],[Database]]&lt;&gt;strEmpty,LogOverheadperDB,"")</f>
        <v/>
      </c>
      <c r="G144" s="20"/>
      <c r="H144" s="458" t="str">
        <f t="shared" si="4"/>
        <v>--</v>
      </c>
      <c r="I144" s="911" t="str">
        <f t="shared" si="5"/>
        <v/>
      </c>
      <c r="J144" s="925" t="str">
        <f t="shared" si="6"/>
        <v/>
      </c>
      <c r="K144" s="950" t="str">
        <f t="shared" si="7"/>
        <v/>
      </c>
    </row>
    <row r="145" spans="1:11" x14ac:dyDescent="0.3">
      <c r="A145" s="26"/>
      <c r="B145" s="131" t="str">
        <f t="shared" si="3"/>
        <v>--</v>
      </c>
      <c r="C145" s="129" t="str">
        <f>IF(Table38[[#This Row],[Database]]&lt;&gt;strEmpty,MBXPerDB,"")</f>
        <v/>
      </c>
      <c r="D145" s="185" t="str">
        <f>IF(Table38[[#This Row],[Database]]&lt;&gt;strEmpty,DBSize,"")</f>
        <v/>
      </c>
      <c r="E145" s="185" t="str">
        <f>IF(Table38[[#This Row],[Database]]&lt;&gt;strEmpty,DBSizeOverhead,"")</f>
        <v/>
      </c>
      <c r="F145" s="185" t="str">
        <f>IF(Table38[[#This Row],[Database]]&lt;&gt;strEmpty,LogOverheadperDB,"")</f>
        <v/>
      </c>
      <c r="G145" s="20"/>
      <c r="H145" s="459" t="str">
        <f t="shared" si="4"/>
        <v>--</v>
      </c>
      <c r="I145" s="451" t="str">
        <f t="shared" si="5"/>
        <v/>
      </c>
      <c r="J145" s="926" t="str">
        <f t="shared" si="6"/>
        <v/>
      </c>
      <c r="K145" s="951" t="str">
        <f t="shared" si="7"/>
        <v/>
      </c>
    </row>
    <row r="146" spans="1:11" x14ac:dyDescent="0.3">
      <c r="A146" s="26"/>
      <c r="B146" s="131" t="str">
        <f t="shared" si="3"/>
        <v>--</v>
      </c>
      <c r="C146" s="129" t="str">
        <f>IF(Table38[[#This Row],[Database]]&lt;&gt;strEmpty,MBXPerDB,"")</f>
        <v/>
      </c>
      <c r="D146" s="185" t="str">
        <f>IF(Table38[[#This Row],[Database]]&lt;&gt;strEmpty,DBSize,"")</f>
        <v/>
      </c>
      <c r="E146" s="185" t="str">
        <f>IF(Table38[[#This Row],[Database]]&lt;&gt;strEmpty,DBSizeOverhead,"")</f>
        <v/>
      </c>
      <c r="F146" s="185" t="str">
        <f>IF(Table38[[#This Row],[Database]]&lt;&gt;strEmpty,LogOverheadperDB,"")</f>
        <v/>
      </c>
      <c r="G146" s="20"/>
      <c r="H146" s="458" t="str">
        <f t="shared" si="4"/>
        <v>--</v>
      </c>
      <c r="I146" s="911" t="str">
        <f t="shared" si="5"/>
        <v/>
      </c>
      <c r="J146" s="925" t="str">
        <f t="shared" si="6"/>
        <v/>
      </c>
      <c r="K146" s="950" t="str">
        <f t="shared" si="7"/>
        <v/>
      </c>
    </row>
    <row r="147" spans="1:11" x14ac:dyDescent="0.3">
      <c r="A147" s="26"/>
      <c r="B147" s="131" t="str">
        <f t="shared" si="3"/>
        <v>--</v>
      </c>
      <c r="C147" s="129" t="str">
        <f>IF(Table38[[#This Row],[Database]]&lt;&gt;strEmpty,MBXPerDB,"")</f>
        <v/>
      </c>
      <c r="D147" s="185" t="str">
        <f>IF(Table38[[#This Row],[Database]]&lt;&gt;strEmpty,DBSize,"")</f>
        <v/>
      </c>
      <c r="E147" s="185" t="str">
        <f>IF(Table38[[#This Row],[Database]]&lt;&gt;strEmpty,DBSizeOverhead,"")</f>
        <v/>
      </c>
      <c r="F147" s="185" t="str">
        <f>IF(Table38[[#This Row],[Database]]&lt;&gt;strEmpty,LogOverheadperDB,"")</f>
        <v/>
      </c>
      <c r="G147" s="20"/>
      <c r="H147" s="459" t="str">
        <f t="shared" si="4"/>
        <v>--</v>
      </c>
      <c r="I147" s="451" t="str">
        <f t="shared" si="5"/>
        <v/>
      </c>
      <c r="J147" s="926" t="str">
        <f t="shared" si="6"/>
        <v/>
      </c>
      <c r="K147" s="951" t="str">
        <f t="shared" si="7"/>
        <v/>
      </c>
    </row>
    <row r="148" spans="1:11" x14ac:dyDescent="0.3">
      <c r="A148" s="26"/>
      <c r="B148" s="131" t="str">
        <f t="shared" si="3"/>
        <v>--</v>
      </c>
      <c r="C148" s="129" t="str">
        <f>IF(Table38[[#This Row],[Database]]&lt;&gt;strEmpty,MBXPerDB,"")</f>
        <v/>
      </c>
      <c r="D148" s="185" t="str">
        <f>IF(Table38[[#This Row],[Database]]&lt;&gt;strEmpty,DBSize,"")</f>
        <v/>
      </c>
      <c r="E148" s="185" t="str">
        <f>IF(Table38[[#This Row],[Database]]&lt;&gt;strEmpty,DBSizeOverhead,"")</f>
        <v/>
      </c>
      <c r="F148" s="185" t="str">
        <f>IF(Table38[[#This Row],[Database]]&lt;&gt;strEmpty,LogOverheadperDB,"")</f>
        <v/>
      </c>
      <c r="G148" s="20"/>
      <c r="H148" s="458" t="str">
        <f t="shared" si="4"/>
        <v>--</v>
      </c>
      <c r="I148" s="911" t="str">
        <f t="shared" si="5"/>
        <v/>
      </c>
      <c r="J148" s="925" t="str">
        <f t="shared" si="6"/>
        <v/>
      </c>
      <c r="K148" s="950" t="str">
        <f t="shared" si="7"/>
        <v/>
      </c>
    </row>
    <row r="149" spans="1:11" x14ac:dyDescent="0.3">
      <c r="A149" s="26"/>
      <c r="B149" s="131" t="str">
        <f t="shared" si="3"/>
        <v>--</v>
      </c>
      <c r="C149" s="129" t="str">
        <f>IF(Table38[[#This Row],[Database]]&lt;&gt;strEmpty,MBXPerDB,"")</f>
        <v/>
      </c>
      <c r="D149" s="185" t="str">
        <f>IF(Table38[[#This Row],[Database]]&lt;&gt;strEmpty,DBSize,"")</f>
        <v/>
      </c>
      <c r="E149" s="185" t="str">
        <f>IF(Table38[[#This Row],[Database]]&lt;&gt;strEmpty,DBSizeOverhead,"")</f>
        <v/>
      </c>
      <c r="F149" s="185" t="str">
        <f>IF(Table38[[#This Row],[Database]]&lt;&gt;strEmpty,LogOverheadperDB,"")</f>
        <v/>
      </c>
      <c r="G149" s="20"/>
      <c r="H149" s="459" t="str">
        <f t="shared" si="4"/>
        <v>--</v>
      </c>
      <c r="I149" s="451" t="str">
        <f t="shared" si="5"/>
        <v/>
      </c>
      <c r="J149" s="926" t="str">
        <f t="shared" si="6"/>
        <v/>
      </c>
      <c r="K149" s="951" t="str">
        <f t="shared" si="7"/>
        <v/>
      </c>
    </row>
    <row r="150" spans="1:11" x14ac:dyDescent="0.3">
      <c r="A150" s="26"/>
      <c r="B150" s="131" t="str">
        <f t="shared" si="3"/>
        <v>--</v>
      </c>
      <c r="C150" s="129" t="str">
        <f>IF(Table38[[#This Row],[Database]]&lt;&gt;strEmpty,MBXPerDB,"")</f>
        <v/>
      </c>
      <c r="D150" s="185" t="str">
        <f>IF(Table38[[#This Row],[Database]]&lt;&gt;strEmpty,DBSize,"")</f>
        <v/>
      </c>
      <c r="E150" s="185" t="str">
        <f>IF(Table38[[#This Row],[Database]]&lt;&gt;strEmpty,DBSizeOverhead,"")</f>
        <v/>
      </c>
      <c r="F150" s="185" t="str">
        <f>IF(Table38[[#This Row],[Database]]&lt;&gt;strEmpty,LogOverheadperDB,"")</f>
        <v/>
      </c>
      <c r="G150" s="20"/>
      <c r="H150" s="458" t="str">
        <f t="shared" si="4"/>
        <v>--</v>
      </c>
      <c r="I150" s="911" t="str">
        <f t="shared" si="5"/>
        <v/>
      </c>
      <c r="J150" s="925" t="str">
        <f t="shared" si="6"/>
        <v/>
      </c>
      <c r="K150" s="950" t="str">
        <f t="shared" si="7"/>
        <v/>
      </c>
    </row>
    <row r="151" spans="1:11" x14ac:dyDescent="0.3">
      <c r="A151" s="26"/>
      <c r="B151" s="131" t="str">
        <f t="shared" si="3"/>
        <v>--</v>
      </c>
      <c r="C151" s="129" t="str">
        <f>IF(Table38[[#This Row],[Database]]&lt;&gt;strEmpty,MBXPerDB,"")</f>
        <v/>
      </c>
      <c r="D151" s="185" t="str">
        <f>IF(Table38[[#This Row],[Database]]&lt;&gt;strEmpty,DBSize,"")</f>
        <v/>
      </c>
      <c r="E151" s="185" t="str">
        <f>IF(Table38[[#This Row],[Database]]&lt;&gt;strEmpty,DBSizeOverhead,"")</f>
        <v/>
      </c>
      <c r="F151" s="185" t="str">
        <f>IF(Table38[[#This Row],[Database]]&lt;&gt;strEmpty,LogOverheadperDB,"")</f>
        <v/>
      </c>
      <c r="G151" s="20"/>
      <c r="H151" s="459" t="str">
        <f t="shared" si="4"/>
        <v>--</v>
      </c>
      <c r="I151" s="451" t="str">
        <f t="shared" si="5"/>
        <v/>
      </c>
      <c r="J151" s="926" t="str">
        <f t="shared" si="6"/>
        <v/>
      </c>
      <c r="K151" s="951" t="str">
        <f t="shared" si="7"/>
        <v/>
      </c>
    </row>
    <row r="152" spans="1:11" x14ac:dyDescent="0.3">
      <c r="A152" s="26"/>
      <c r="B152" s="131" t="str">
        <f t="shared" si="3"/>
        <v>--</v>
      </c>
      <c r="C152" s="129" t="str">
        <f>IF(Table38[[#This Row],[Database]]&lt;&gt;strEmpty,MBXPerDB,"")</f>
        <v/>
      </c>
      <c r="D152" s="185" t="str">
        <f>IF(Table38[[#This Row],[Database]]&lt;&gt;strEmpty,DBSize,"")</f>
        <v/>
      </c>
      <c r="E152" s="185" t="str">
        <f>IF(Table38[[#This Row],[Database]]&lt;&gt;strEmpty,DBSizeOverhead,"")</f>
        <v/>
      </c>
      <c r="F152" s="185" t="str">
        <f>IF(Table38[[#This Row],[Database]]&lt;&gt;strEmpty,LogOverheadperDB,"")</f>
        <v/>
      </c>
      <c r="G152" s="20"/>
      <c r="H152" s="458" t="str">
        <f t="shared" si="4"/>
        <v>--</v>
      </c>
      <c r="I152" s="911" t="str">
        <f t="shared" si="5"/>
        <v/>
      </c>
      <c r="J152" s="925" t="str">
        <f t="shared" si="6"/>
        <v/>
      </c>
      <c r="K152" s="950" t="str">
        <f t="shared" si="7"/>
        <v/>
      </c>
    </row>
    <row r="153" spans="1:11" x14ac:dyDescent="0.3">
      <c r="A153" s="26"/>
      <c r="B153" s="131" t="str">
        <f t="shared" si="3"/>
        <v>--</v>
      </c>
      <c r="C153" s="129" t="str">
        <f>IF(Table38[[#This Row],[Database]]&lt;&gt;strEmpty,MBXPerDB,"")</f>
        <v/>
      </c>
      <c r="D153" s="185" t="str">
        <f>IF(Table38[[#This Row],[Database]]&lt;&gt;strEmpty,DBSize,"")</f>
        <v/>
      </c>
      <c r="E153" s="185" t="str">
        <f>IF(Table38[[#This Row],[Database]]&lt;&gt;strEmpty,DBSizeOverhead,"")</f>
        <v/>
      </c>
      <c r="F153" s="185" t="str">
        <f>IF(Table38[[#This Row],[Database]]&lt;&gt;strEmpty,LogOverheadperDB,"")</f>
        <v/>
      </c>
      <c r="G153" s="20"/>
      <c r="H153" s="459" t="str">
        <f t="shared" si="4"/>
        <v>--</v>
      </c>
      <c r="I153" s="451" t="str">
        <f t="shared" si="5"/>
        <v/>
      </c>
      <c r="J153" s="926" t="str">
        <f t="shared" si="6"/>
        <v/>
      </c>
      <c r="K153" s="951" t="str">
        <f t="shared" si="7"/>
        <v/>
      </c>
    </row>
    <row r="154" spans="1:11" x14ac:dyDescent="0.3">
      <c r="A154" s="26"/>
      <c r="B154" s="131" t="str">
        <f t="shared" si="3"/>
        <v>--</v>
      </c>
      <c r="C154" s="129" t="str">
        <f>IF(Table38[[#This Row],[Database]]&lt;&gt;strEmpty,MBXPerDB,"")</f>
        <v/>
      </c>
      <c r="D154" s="185" t="str">
        <f>IF(Table38[[#This Row],[Database]]&lt;&gt;strEmpty,DBSize,"")</f>
        <v/>
      </c>
      <c r="E154" s="185" t="str">
        <f>IF(Table38[[#This Row],[Database]]&lt;&gt;strEmpty,DBSizeOverhead,"")</f>
        <v/>
      </c>
      <c r="F154" s="185" t="str">
        <f>IF(Table38[[#This Row],[Database]]&lt;&gt;strEmpty,LogOverheadperDB,"")</f>
        <v/>
      </c>
      <c r="G154" s="20"/>
      <c r="H154" s="458" t="str">
        <f t="shared" si="4"/>
        <v>--</v>
      </c>
      <c r="I154" s="911" t="str">
        <f t="shared" si="5"/>
        <v/>
      </c>
      <c r="J154" s="925" t="str">
        <f t="shared" si="6"/>
        <v/>
      </c>
      <c r="K154" s="950" t="str">
        <f t="shared" si="7"/>
        <v/>
      </c>
    </row>
    <row r="155" spans="1:11" x14ac:dyDescent="0.3">
      <c r="A155" s="26"/>
      <c r="B155" s="131" t="str">
        <f t="shared" ref="B155:B186" si="8">IF(SUMIF($B$6:$B$105,B38,$B$6:$B$105),B38,strEmpty)</f>
        <v>--</v>
      </c>
      <c r="C155" s="129" t="str">
        <f>IF(Table38[[#This Row],[Database]]&lt;&gt;strEmpty,MBXPerDB,"")</f>
        <v/>
      </c>
      <c r="D155" s="185" t="str">
        <f>IF(Table38[[#This Row],[Database]]&lt;&gt;strEmpty,DBSize,"")</f>
        <v/>
      </c>
      <c r="E155" s="185" t="str">
        <f>IF(Table38[[#This Row],[Database]]&lt;&gt;strEmpty,DBSizeOverhead,"")</f>
        <v/>
      </c>
      <c r="F155" s="185" t="str">
        <f>IF(Table38[[#This Row],[Database]]&lt;&gt;strEmpty,LogOverheadperDB,"")</f>
        <v/>
      </c>
      <c r="G155" s="20"/>
      <c r="H155" s="459" t="str">
        <f t="shared" ref="H155:H186" si="9">IFERROR(IF(NOT(ValidationCheck),IF(TotNumDBCopiesServer/NumDBPerVol&gt;ROW()-ROW(DBSet1),IF(NumDBPerVol=1,CONCATENATE("DB",ROW()-ROW(DBSet1)+1),CONCATENATE("DB",ABS(ROW(DBSet1)-ROW()) * NumDBPerVol+1,"-DB",MIN(TotNumDBCopiesServer,(ABS(ROW(DBSet1)-ROW())+1) * NumDBPerVol))),strEmpty),strEmpty),strEmpty)</f>
        <v>--</v>
      </c>
      <c r="I155" s="451" t="str">
        <f t="shared" ref="I155:I186" si="10">IF(H155=strEmpty,"",(SUMIF(C$6:C$105,D38,E$123:E$222)+IF(OR(VolArchitecture=INDEX(varVolumeArchitecture,1),VolArchitecture=INDEX(varVolumeArchitecture,4)),SUMIF(C$6:C$105,D38,F$123:F$222),0)))</f>
        <v/>
      </c>
      <c r="J155" s="926" t="str">
        <f t="shared" ref="J155:J186" si="11">IF(OR(VolArchitecture=INDEX(varVolumeArchitecture,1),VolArchitecture=INDEX(varVolumeArchitecture,4)),"",IF(H155=strEmpty,"",SUMIF(C$6:C$105,D38,F$123:F$222)))</f>
        <v/>
      </c>
      <c r="K155" s="951" t="str">
        <f t="shared" ref="K155:K186" si="12">IF(OR(VolArchitecture=INDEX(varVolumeArchitecture,1),VolArchitecture=INDEX(varVolumeArchitecture,4)),IF(H155=strEmpty,"",(DBRawDiskCap1*1000*1000*1000)/1024/1024/1024),"")</f>
        <v/>
      </c>
    </row>
    <row r="156" spans="1:11" x14ac:dyDescent="0.3">
      <c r="A156" s="26"/>
      <c r="B156" s="131" t="str">
        <f t="shared" si="8"/>
        <v>--</v>
      </c>
      <c r="C156" s="129" t="str">
        <f>IF(Table38[[#This Row],[Database]]&lt;&gt;strEmpty,MBXPerDB,"")</f>
        <v/>
      </c>
      <c r="D156" s="185" t="str">
        <f>IF(Table38[[#This Row],[Database]]&lt;&gt;strEmpty,DBSize,"")</f>
        <v/>
      </c>
      <c r="E156" s="185" t="str">
        <f>IF(Table38[[#This Row],[Database]]&lt;&gt;strEmpty,DBSizeOverhead,"")</f>
        <v/>
      </c>
      <c r="F156" s="185" t="str">
        <f>IF(Table38[[#This Row],[Database]]&lt;&gt;strEmpty,LogOverheadperDB,"")</f>
        <v/>
      </c>
      <c r="G156" s="20"/>
      <c r="H156" s="458" t="str">
        <f t="shared" si="9"/>
        <v>--</v>
      </c>
      <c r="I156" s="911" t="str">
        <f t="shared" si="10"/>
        <v/>
      </c>
      <c r="J156" s="925" t="str">
        <f t="shared" si="11"/>
        <v/>
      </c>
      <c r="K156" s="950" t="str">
        <f t="shared" si="12"/>
        <v/>
      </c>
    </row>
    <row r="157" spans="1:11" x14ac:dyDescent="0.3">
      <c r="A157" s="26"/>
      <c r="B157" s="131" t="str">
        <f t="shared" si="8"/>
        <v>--</v>
      </c>
      <c r="C157" s="129" t="str">
        <f>IF(Table38[[#This Row],[Database]]&lt;&gt;strEmpty,MBXPerDB,"")</f>
        <v/>
      </c>
      <c r="D157" s="185" t="str">
        <f>IF(Table38[[#This Row],[Database]]&lt;&gt;strEmpty,DBSize,"")</f>
        <v/>
      </c>
      <c r="E157" s="185" t="str">
        <f>IF(Table38[[#This Row],[Database]]&lt;&gt;strEmpty,DBSizeOverhead,"")</f>
        <v/>
      </c>
      <c r="F157" s="185" t="str">
        <f>IF(Table38[[#This Row],[Database]]&lt;&gt;strEmpty,LogOverheadperDB,"")</f>
        <v/>
      </c>
      <c r="G157" s="20"/>
      <c r="H157" s="459" t="str">
        <f t="shared" si="9"/>
        <v>--</v>
      </c>
      <c r="I157" s="451" t="str">
        <f t="shared" si="10"/>
        <v/>
      </c>
      <c r="J157" s="926" t="str">
        <f t="shared" si="11"/>
        <v/>
      </c>
      <c r="K157" s="951" t="str">
        <f t="shared" si="12"/>
        <v/>
      </c>
    </row>
    <row r="158" spans="1:11" x14ac:dyDescent="0.3">
      <c r="A158" s="26"/>
      <c r="B158" s="131" t="str">
        <f t="shared" si="8"/>
        <v>--</v>
      </c>
      <c r="C158" s="129" t="str">
        <f>IF(Table38[[#This Row],[Database]]&lt;&gt;strEmpty,MBXPerDB,"")</f>
        <v/>
      </c>
      <c r="D158" s="185" t="str">
        <f>IF(Table38[[#This Row],[Database]]&lt;&gt;strEmpty,DBSize,"")</f>
        <v/>
      </c>
      <c r="E158" s="185" t="str">
        <f>IF(Table38[[#This Row],[Database]]&lt;&gt;strEmpty,DBSizeOverhead,"")</f>
        <v/>
      </c>
      <c r="F158" s="185" t="str">
        <f>IF(Table38[[#This Row],[Database]]&lt;&gt;strEmpty,LogOverheadperDB,"")</f>
        <v/>
      </c>
      <c r="G158" s="20"/>
      <c r="H158" s="458" t="str">
        <f t="shared" si="9"/>
        <v>--</v>
      </c>
      <c r="I158" s="911" t="str">
        <f t="shared" si="10"/>
        <v/>
      </c>
      <c r="J158" s="925" t="str">
        <f t="shared" si="11"/>
        <v/>
      </c>
      <c r="K158" s="950" t="str">
        <f t="shared" si="12"/>
        <v/>
      </c>
    </row>
    <row r="159" spans="1:11" x14ac:dyDescent="0.3">
      <c r="A159" s="26"/>
      <c r="B159" s="131" t="str">
        <f t="shared" si="8"/>
        <v>--</v>
      </c>
      <c r="C159" s="129" t="str">
        <f>IF(Table38[[#This Row],[Database]]&lt;&gt;strEmpty,MBXPerDB,"")</f>
        <v/>
      </c>
      <c r="D159" s="185" t="str">
        <f>IF(Table38[[#This Row],[Database]]&lt;&gt;strEmpty,DBSize,"")</f>
        <v/>
      </c>
      <c r="E159" s="185" t="str">
        <f>IF(Table38[[#This Row],[Database]]&lt;&gt;strEmpty,DBSizeOverhead,"")</f>
        <v/>
      </c>
      <c r="F159" s="185" t="str">
        <f>IF(Table38[[#This Row],[Database]]&lt;&gt;strEmpty,LogOverheadperDB,"")</f>
        <v/>
      </c>
      <c r="G159" s="20"/>
      <c r="H159" s="459" t="str">
        <f t="shared" si="9"/>
        <v>--</v>
      </c>
      <c r="I159" s="451" t="str">
        <f t="shared" si="10"/>
        <v/>
      </c>
      <c r="J159" s="926" t="str">
        <f t="shared" si="11"/>
        <v/>
      </c>
      <c r="K159" s="951" t="str">
        <f t="shared" si="12"/>
        <v/>
      </c>
    </row>
    <row r="160" spans="1:11" x14ac:dyDescent="0.3">
      <c r="A160" s="26"/>
      <c r="B160" s="131" t="str">
        <f t="shared" si="8"/>
        <v>--</v>
      </c>
      <c r="C160" s="129" t="str">
        <f>IF(Table38[[#This Row],[Database]]&lt;&gt;strEmpty,MBXPerDB,"")</f>
        <v/>
      </c>
      <c r="D160" s="185" t="str">
        <f>IF(Table38[[#This Row],[Database]]&lt;&gt;strEmpty,DBSize,"")</f>
        <v/>
      </c>
      <c r="E160" s="185" t="str">
        <f>IF(Table38[[#This Row],[Database]]&lt;&gt;strEmpty,DBSizeOverhead,"")</f>
        <v/>
      </c>
      <c r="F160" s="185" t="str">
        <f>IF(Table38[[#This Row],[Database]]&lt;&gt;strEmpty,LogOverheadperDB,"")</f>
        <v/>
      </c>
      <c r="G160" s="20"/>
      <c r="H160" s="458" t="str">
        <f t="shared" si="9"/>
        <v>--</v>
      </c>
      <c r="I160" s="911" t="str">
        <f t="shared" si="10"/>
        <v/>
      </c>
      <c r="J160" s="925" t="str">
        <f t="shared" si="11"/>
        <v/>
      </c>
      <c r="K160" s="950" t="str">
        <f t="shared" si="12"/>
        <v/>
      </c>
    </row>
    <row r="161" spans="1:11" x14ac:dyDescent="0.3">
      <c r="A161" s="26"/>
      <c r="B161" s="131" t="str">
        <f t="shared" si="8"/>
        <v>--</v>
      </c>
      <c r="C161" s="129" t="str">
        <f>IF(Table38[[#This Row],[Database]]&lt;&gt;strEmpty,MBXPerDB,"")</f>
        <v/>
      </c>
      <c r="D161" s="185" t="str">
        <f>IF(Table38[[#This Row],[Database]]&lt;&gt;strEmpty,DBSize,"")</f>
        <v/>
      </c>
      <c r="E161" s="185" t="str">
        <f>IF(Table38[[#This Row],[Database]]&lt;&gt;strEmpty,DBSizeOverhead,"")</f>
        <v/>
      </c>
      <c r="F161" s="185" t="str">
        <f>IF(Table38[[#This Row],[Database]]&lt;&gt;strEmpty,LogOverheadperDB,"")</f>
        <v/>
      </c>
      <c r="G161" s="20"/>
      <c r="H161" s="459" t="str">
        <f t="shared" si="9"/>
        <v>--</v>
      </c>
      <c r="I161" s="451" t="str">
        <f t="shared" si="10"/>
        <v/>
      </c>
      <c r="J161" s="926" t="str">
        <f t="shared" si="11"/>
        <v/>
      </c>
      <c r="K161" s="951" t="str">
        <f t="shared" si="12"/>
        <v/>
      </c>
    </row>
    <row r="162" spans="1:11" x14ac:dyDescent="0.3">
      <c r="A162" s="26"/>
      <c r="B162" s="131" t="str">
        <f t="shared" si="8"/>
        <v>--</v>
      </c>
      <c r="C162" s="129" t="str">
        <f>IF(Table38[[#This Row],[Database]]&lt;&gt;strEmpty,MBXPerDB,"")</f>
        <v/>
      </c>
      <c r="D162" s="185" t="str">
        <f>IF(Table38[[#This Row],[Database]]&lt;&gt;strEmpty,DBSize,"")</f>
        <v/>
      </c>
      <c r="E162" s="185" t="str">
        <f>IF(Table38[[#This Row],[Database]]&lt;&gt;strEmpty,DBSizeOverhead,"")</f>
        <v/>
      </c>
      <c r="F162" s="185" t="str">
        <f>IF(Table38[[#This Row],[Database]]&lt;&gt;strEmpty,LogOverheadperDB,"")</f>
        <v/>
      </c>
      <c r="G162" s="20"/>
      <c r="H162" s="458" t="str">
        <f t="shared" si="9"/>
        <v>--</v>
      </c>
      <c r="I162" s="911" t="str">
        <f t="shared" si="10"/>
        <v/>
      </c>
      <c r="J162" s="925" t="str">
        <f t="shared" si="11"/>
        <v/>
      </c>
      <c r="K162" s="950" t="str">
        <f t="shared" si="12"/>
        <v/>
      </c>
    </row>
    <row r="163" spans="1:11" x14ac:dyDescent="0.3">
      <c r="A163" s="26"/>
      <c r="B163" s="131" t="str">
        <f t="shared" si="8"/>
        <v>--</v>
      </c>
      <c r="C163" s="129" t="str">
        <f>IF(Table38[[#This Row],[Database]]&lt;&gt;strEmpty,MBXPerDB,"")</f>
        <v/>
      </c>
      <c r="D163" s="185" t="str">
        <f>IF(Table38[[#This Row],[Database]]&lt;&gt;strEmpty,DBSize,"")</f>
        <v/>
      </c>
      <c r="E163" s="185" t="str">
        <f>IF(Table38[[#This Row],[Database]]&lt;&gt;strEmpty,DBSizeOverhead,"")</f>
        <v/>
      </c>
      <c r="F163" s="185" t="str">
        <f>IF(Table38[[#This Row],[Database]]&lt;&gt;strEmpty,LogOverheadperDB,"")</f>
        <v/>
      </c>
      <c r="G163" s="20"/>
      <c r="H163" s="459" t="str">
        <f t="shared" si="9"/>
        <v>--</v>
      </c>
      <c r="I163" s="451" t="str">
        <f t="shared" si="10"/>
        <v/>
      </c>
      <c r="J163" s="926" t="str">
        <f t="shared" si="11"/>
        <v/>
      </c>
      <c r="K163" s="951" t="str">
        <f t="shared" si="12"/>
        <v/>
      </c>
    </row>
    <row r="164" spans="1:11" x14ac:dyDescent="0.3">
      <c r="A164" s="26"/>
      <c r="B164" s="131" t="str">
        <f t="shared" si="8"/>
        <v>--</v>
      </c>
      <c r="C164" s="129" t="str">
        <f>IF(Table38[[#This Row],[Database]]&lt;&gt;strEmpty,MBXPerDB,"")</f>
        <v/>
      </c>
      <c r="D164" s="185" t="str">
        <f>IF(Table38[[#This Row],[Database]]&lt;&gt;strEmpty,DBSize,"")</f>
        <v/>
      </c>
      <c r="E164" s="185" t="str">
        <f>IF(Table38[[#This Row],[Database]]&lt;&gt;strEmpty,DBSizeOverhead,"")</f>
        <v/>
      </c>
      <c r="F164" s="185" t="str">
        <f>IF(Table38[[#This Row],[Database]]&lt;&gt;strEmpty,LogOverheadperDB,"")</f>
        <v/>
      </c>
      <c r="G164" s="20"/>
      <c r="H164" s="458" t="str">
        <f t="shared" si="9"/>
        <v>--</v>
      </c>
      <c r="I164" s="911" t="str">
        <f t="shared" si="10"/>
        <v/>
      </c>
      <c r="J164" s="925" t="str">
        <f t="shared" si="11"/>
        <v/>
      </c>
      <c r="K164" s="950" t="str">
        <f t="shared" si="12"/>
        <v/>
      </c>
    </row>
    <row r="165" spans="1:11" x14ac:dyDescent="0.3">
      <c r="A165" s="26"/>
      <c r="B165" s="131" t="str">
        <f t="shared" si="8"/>
        <v>--</v>
      </c>
      <c r="C165" s="129" t="str">
        <f>IF(Table38[[#This Row],[Database]]&lt;&gt;strEmpty,MBXPerDB,"")</f>
        <v/>
      </c>
      <c r="D165" s="185" t="str">
        <f>IF(Table38[[#This Row],[Database]]&lt;&gt;strEmpty,DBSize,"")</f>
        <v/>
      </c>
      <c r="E165" s="185" t="str">
        <f>IF(Table38[[#This Row],[Database]]&lt;&gt;strEmpty,DBSizeOverhead,"")</f>
        <v/>
      </c>
      <c r="F165" s="185" t="str">
        <f>IF(Table38[[#This Row],[Database]]&lt;&gt;strEmpty,LogOverheadperDB,"")</f>
        <v/>
      </c>
      <c r="G165" s="20"/>
      <c r="H165" s="459" t="str">
        <f t="shared" si="9"/>
        <v>--</v>
      </c>
      <c r="I165" s="451" t="str">
        <f t="shared" si="10"/>
        <v/>
      </c>
      <c r="J165" s="926" t="str">
        <f t="shared" si="11"/>
        <v/>
      </c>
      <c r="K165" s="951" t="str">
        <f t="shared" si="12"/>
        <v/>
      </c>
    </row>
    <row r="166" spans="1:11" x14ac:dyDescent="0.3">
      <c r="A166" s="26"/>
      <c r="B166" s="131" t="str">
        <f t="shared" si="8"/>
        <v>--</v>
      </c>
      <c r="C166" s="129" t="str">
        <f>IF(Table38[[#This Row],[Database]]&lt;&gt;strEmpty,MBXPerDB,"")</f>
        <v/>
      </c>
      <c r="D166" s="185" t="str">
        <f>IF(Table38[[#This Row],[Database]]&lt;&gt;strEmpty,DBSize,"")</f>
        <v/>
      </c>
      <c r="E166" s="185" t="str">
        <f>IF(Table38[[#This Row],[Database]]&lt;&gt;strEmpty,DBSizeOverhead,"")</f>
        <v/>
      </c>
      <c r="F166" s="185" t="str">
        <f>IF(Table38[[#This Row],[Database]]&lt;&gt;strEmpty,LogOverheadperDB,"")</f>
        <v/>
      </c>
      <c r="G166" s="20"/>
      <c r="H166" s="458" t="str">
        <f t="shared" si="9"/>
        <v>--</v>
      </c>
      <c r="I166" s="911" t="str">
        <f t="shared" si="10"/>
        <v/>
      </c>
      <c r="J166" s="925" t="str">
        <f t="shared" si="11"/>
        <v/>
      </c>
      <c r="K166" s="950" t="str">
        <f t="shared" si="12"/>
        <v/>
      </c>
    </row>
    <row r="167" spans="1:11" x14ac:dyDescent="0.3">
      <c r="A167" s="26"/>
      <c r="B167" s="131" t="str">
        <f t="shared" si="8"/>
        <v>--</v>
      </c>
      <c r="C167" s="129" t="str">
        <f>IF(Table38[[#This Row],[Database]]&lt;&gt;strEmpty,MBXPerDB,"")</f>
        <v/>
      </c>
      <c r="D167" s="185" t="str">
        <f>IF(Table38[[#This Row],[Database]]&lt;&gt;strEmpty,DBSize,"")</f>
        <v/>
      </c>
      <c r="E167" s="185" t="str">
        <f>IF(Table38[[#This Row],[Database]]&lt;&gt;strEmpty,DBSizeOverhead,"")</f>
        <v/>
      </c>
      <c r="F167" s="185" t="str">
        <f>IF(Table38[[#This Row],[Database]]&lt;&gt;strEmpty,LogOverheadperDB,"")</f>
        <v/>
      </c>
      <c r="G167" s="20"/>
      <c r="H167" s="459" t="str">
        <f t="shared" si="9"/>
        <v>--</v>
      </c>
      <c r="I167" s="451" t="str">
        <f t="shared" si="10"/>
        <v/>
      </c>
      <c r="J167" s="926" t="str">
        <f t="shared" si="11"/>
        <v/>
      </c>
      <c r="K167" s="951" t="str">
        <f t="shared" si="12"/>
        <v/>
      </c>
    </row>
    <row r="168" spans="1:11" x14ac:dyDescent="0.3">
      <c r="A168" s="26"/>
      <c r="B168" s="131" t="str">
        <f t="shared" si="8"/>
        <v>--</v>
      </c>
      <c r="C168" s="129" t="str">
        <f>IF(Table38[[#This Row],[Database]]&lt;&gt;strEmpty,MBXPerDB,"")</f>
        <v/>
      </c>
      <c r="D168" s="185" t="str">
        <f>IF(Table38[[#This Row],[Database]]&lt;&gt;strEmpty,DBSize,"")</f>
        <v/>
      </c>
      <c r="E168" s="185" t="str">
        <f>IF(Table38[[#This Row],[Database]]&lt;&gt;strEmpty,DBSizeOverhead,"")</f>
        <v/>
      </c>
      <c r="F168" s="185" t="str">
        <f>IF(Table38[[#This Row],[Database]]&lt;&gt;strEmpty,LogOverheadperDB,"")</f>
        <v/>
      </c>
      <c r="G168" s="20"/>
      <c r="H168" s="458" t="str">
        <f t="shared" si="9"/>
        <v>--</v>
      </c>
      <c r="I168" s="911" t="str">
        <f t="shared" si="10"/>
        <v/>
      </c>
      <c r="J168" s="925" t="str">
        <f t="shared" si="11"/>
        <v/>
      </c>
      <c r="K168" s="950" t="str">
        <f t="shared" si="12"/>
        <v/>
      </c>
    </row>
    <row r="169" spans="1:11" x14ac:dyDescent="0.3">
      <c r="A169" s="26"/>
      <c r="B169" s="131" t="str">
        <f t="shared" si="8"/>
        <v>--</v>
      </c>
      <c r="C169" s="129" t="str">
        <f>IF(Table38[[#This Row],[Database]]&lt;&gt;strEmpty,MBXPerDB,"")</f>
        <v/>
      </c>
      <c r="D169" s="185" t="str">
        <f>IF(Table38[[#This Row],[Database]]&lt;&gt;strEmpty,DBSize,"")</f>
        <v/>
      </c>
      <c r="E169" s="185" t="str">
        <f>IF(Table38[[#This Row],[Database]]&lt;&gt;strEmpty,DBSizeOverhead,"")</f>
        <v/>
      </c>
      <c r="F169" s="185" t="str">
        <f>IF(Table38[[#This Row],[Database]]&lt;&gt;strEmpty,LogOverheadperDB,"")</f>
        <v/>
      </c>
      <c r="G169" s="20"/>
      <c r="H169" s="459" t="str">
        <f t="shared" si="9"/>
        <v>--</v>
      </c>
      <c r="I169" s="451" t="str">
        <f t="shared" si="10"/>
        <v/>
      </c>
      <c r="J169" s="926" t="str">
        <f t="shared" si="11"/>
        <v/>
      </c>
      <c r="K169" s="951" t="str">
        <f t="shared" si="12"/>
        <v/>
      </c>
    </row>
    <row r="170" spans="1:11" x14ac:dyDescent="0.3">
      <c r="A170" s="26"/>
      <c r="B170" s="131" t="str">
        <f t="shared" si="8"/>
        <v>--</v>
      </c>
      <c r="C170" s="129" t="str">
        <f>IF(Table38[[#This Row],[Database]]&lt;&gt;strEmpty,MBXPerDB,"")</f>
        <v/>
      </c>
      <c r="D170" s="185" t="str">
        <f>IF(Table38[[#This Row],[Database]]&lt;&gt;strEmpty,DBSize,"")</f>
        <v/>
      </c>
      <c r="E170" s="185" t="str">
        <f>IF(Table38[[#This Row],[Database]]&lt;&gt;strEmpty,DBSizeOverhead,"")</f>
        <v/>
      </c>
      <c r="F170" s="185" t="str">
        <f>IF(Table38[[#This Row],[Database]]&lt;&gt;strEmpty,LogOverheadperDB,"")</f>
        <v/>
      </c>
      <c r="G170" s="20"/>
      <c r="H170" s="458" t="str">
        <f t="shared" si="9"/>
        <v>--</v>
      </c>
      <c r="I170" s="911" t="str">
        <f t="shared" si="10"/>
        <v/>
      </c>
      <c r="J170" s="925" t="str">
        <f t="shared" si="11"/>
        <v/>
      </c>
      <c r="K170" s="950" t="str">
        <f t="shared" si="12"/>
        <v/>
      </c>
    </row>
    <row r="171" spans="1:11" x14ac:dyDescent="0.3">
      <c r="A171" s="26"/>
      <c r="B171" s="131" t="str">
        <f t="shared" si="8"/>
        <v>--</v>
      </c>
      <c r="C171" s="129" t="str">
        <f>IF(Table38[[#This Row],[Database]]&lt;&gt;strEmpty,MBXPerDB,"")</f>
        <v/>
      </c>
      <c r="D171" s="185" t="str">
        <f>IF(Table38[[#This Row],[Database]]&lt;&gt;strEmpty,DBSize,"")</f>
        <v/>
      </c>
      <c r="E171" s="185" t="str">
        <f>IF(Table38[[#This Row],[Database]]&lt;&gt;strEmpty,DBSizeOverhead,"")</f>
        <v/>
      </c>
      <c r="F171" s="185" t="str">
        <f>IF(Table38[[#This Row],[Database]]&lt;&gt;strEmpty,LogOverheadperDB,"")</f>
        <v/>
      </c>
      <c r="G171" s="20"/>
      <c r="H171" s="459" t="str">
        <f t="shared" si="9"/>
        <v>--</v>
      </c>
      <c r="I171" s="451" t="str">
        <f t="shared" si="10"/>
        <v/>
      </c>
      <c r="J171" s="926" t="str">
        <f t="shared" si="11"/>
        <v/>
      </c>
      <c r="K171" s="951" t="str">
        <f t="shared" si="12"/>
        <v/>
      </c>
    </row>
    <row r="172" spans="1:11" x14ac:dyDescent="0.3">
      <c r="A172" s="26"/>
      <c r="B172" s="131" t="str">
        <f t="shared" si="8"/>
        <v>--</v>
      </c>
      <c r="C172" s="129" t="str">
        <f>IF(Table38[[#This Row],[Database]]&lt;&gt;strEmpty,MBXPerDB,"")</f>
        <v/>
      </c>
      <c r="D172" s="185" t="str">
        <f>IF(Table38[[#This Row],[Database]]&lt;&gt;strEmpty,DBSize,"")</f>
        <v/>
      </c>
      <c r="E172" s="185" t="str">
        <f>IF(Table38[[#This Row],[Database]]&lt;&gt;strEmpty,DBSizeOverhead,"")</f>
        <v/>
      </c>
      <c r="F172" s="185" t="str">
        <f>IF(Table38[[#This Row],[Database]]&lt;&gt;strEmpty,LogOverheadperDB,"")</f>
        <v/>
      </c>
      <c r="G172" s="20"/>
      <c r="H172" s="458" t="str">
        <f t="shared" si="9"/>
        <v>--</v>
      </c>
      <c r="I172" s="911" t="str">
        <f t="shared" si="10"/>
        <v/>
      </c>
      <c r="J172" s="925" t="str">
        <f t="shared" si="11"/>
        <v/>
      </c>
      <c r="K172" s="950" t="str">
        <f t="shared" si="12"/>
        <v/>
      </c>
    </row>
    <row r="173" spans="1:11" x14ac:dyDescent="0.3">
      <c r="A173" s="26"/>
      <c r="B173" s="131" t="str">
        <f t="shared" si="8"/>
        <v>--</v>
      </c>
      <c r="C173" s="129" t="str">
        <f>IF(Table38[[#This Row],[Database]]&lt;&gt;strEmpty,MBXPerDB,"")</f>
        <v/>
      </c>
      <c r="D173" s="185" t="str">
        <f>IF(Table38[[#This Row],[Database]]&lt;&gt;strEmpty,DBSize,"")</f>
        <v/>
      </c>
      <c r="E173" s="185" t="str">
        <f>IF(Table38[[#This Row],[Database]]&lt;&gt;strEmpty,DBSizeOverhead,"")</f>
        <v/>
      </c>
      <c r="F173" s="185" t="str">
        <f>IF(Table38[[#This Row],[Database]]&lt;&gt;strEmpty,LogOverheadperDB,"")</f>
        <v/>
      </c>
      <c r="G173" s="20"/>
      <c r="H173" s="459" t="str">
        <f t="shared" si="9"/>
        <v>--</v>
      </c>
      <c r="I173" s="451" t="str">
        <f t="shared" si="10"/>
        <v/>
      </c>
      <c r="J173" s="926" t="str">
        <f t="shared" si="11"/>
        <v/>
      </c>
      <c r="K173" s="951" t="str">
        <f t="shared" si="12"/>
        <v/>
      </c>
    </row>
    <row r="174" spans="1:11" x14ac:dyDescent="0.3">
      <c r="A174" s="26"/>
      <c r="B174" s="131" t="str">
        <f t="shared" si="8"/>
        <v>--</v>
      </c>
      <c r="C174" s="129" t="str">
        <f>IF(Table38[[#This Row],[Database]]&lt;&gt;strEmpty,MBXPerDB,"")</f>
        <v/>
      </c>
      <c r="D174" s="185" t="str">
        <f>IF(Table38[[#This Row],[Database]]&lt;&gt;strEmpty,DBSize,"")</f>
        <v/>
      </c>
      <c r="E174" s="185" t="str">
        <f>IF(Table38[[#This Row],[Database]]&lt;&gt;strEmpty,DBSizeOverhead,"")</f>
        <v/>
      </c>
      <c r="F174" s="185" t="str">
        <f>IF(Table38[[#This Row],[Database]]&lt;&gt;strEmpty,LogOverheadperDB,"")</f>
        <v/>
      </c>
      <c r="G174" s="132"/>
      <c r="H174" s="458" t="str">
        <f t="shared" si="9"/>
        <v>--</v>
      </c>
      <c r="I174" s="911" t="str">
        <f t="shared" si="10"/>
        <v/>
      </c>
      <c r="J174" s="925" t="str">
        <f t="shared" si="11"/>
        <v/>
      </c>
      <c r="K174" s="950" t="str">
        <f t="shared" si="12"/>
        <v/>
      </c>
    </row>
    <row r="175" spans="1:11" x14ac:dyDescent="0.3">
      <c r="A175" s="26"/>
      <c r="B175" s="131" t="str">
        <f t="shared" si="8"/>
        <v>--</v>
      </c>
      <c r="C175" s="129" t="str">
        <f>IF(Table38[[#This Row],[Database]]&lt;&gt;strEmpty,MBXPerDB,"")</f>
        <v/>
      </c>
      <c r="D175" s="185" t="str">
        <f>IF(Table38[[#This Row],[Database]]&lt;&gt;strEmpty,DBSize,"")</f>
        <v/>
      </c>
      <c r="E175" s="185" t="str">
        <f>IF(Table38[[#This Row],[Database]]&lt;&gt;strEmpty,DBSizeOverhead,"")</f>
        <v/>
      </c>
      <c r="F175" s="185" t="str">
        <f>IF(Table38[[#This Row],[Database]]&lt;&gt;strEmpty,LogOverheadperDB,"")</f>
        <v/>
      </c>
      <c r="G175" s="132"/>
      <c r="H175" s="459" t="str">
        <f t="shared" si="9"/>
        <v>--</v>
      </c>
      <c r="I175" s="451" t="str">
        <f t="shared" si="10"/>
        <v/>
      </c>
      <c r="J175" s="926" t="str">
        <f t="shared" si="11"/>
        <v/>
      </c>
      <c r="K175" s="951" t="str">
        <f t="shared" si="12"/>
        <v/>
      </c>
    </row>
    <row r="176" spans="1:11" x14ac:dyDescent="0.3">
      <c r="A176" s="26"/>
      <c r="B176" s="131" t="str">
        <f t="shared" si="8"/>
        <v>--</v>
      </c>
      <c r="C176" s="129" t="str">
        <f>IF(Table38[[#This Row],[Database]]&lt;&gt;strEmpty,MBXPerDB,"")</f>
        <v/>
      </c>
      <c r="D176" s="185" t="str">
        <f>IF(Table38[[#This Row],[Database]]&lt;&gt;strEmpty,DBSize,"")</f>
        <v/>
      </c>
      <c r="E176" s="185" t="str">
        <f>IF(Table38[[#This Row],[Database]]&lt;&gt;strEmpty,DBSizeOverhead,"")</f>
        <v/>
      </c>
      <c r="F176" s="185" t="str">
        <f>IF(Table38[[#This Row],[Database]]&lt;&gt;strEmpty,LogOverheadperDB,"")</f>
        <v/>
      </c>
      <c r="G176" s="132"/>
      <c r="H176" s="458" t="str">
        <f t="shared" si="9"/>
        <v>--</v>
      </c>
      <c r="I176" s="911" t="str">
        <f t="shared" si="10"/>
        <v/>
      </c>
      <c r="J176" s="925" t="str">
        <f t="shared" si="11"/>
        <v/>
      </c>
      <c r="K176" s="950" t="str">
        <f t="shared" si="12"/>
        <v/>
      </c>
    </row>
    <row r="177" spans="1:11" x14ac:dyDescent="0.3">
      <c r="A177" s="26"/>
      <c r="B177" s="131" t="str">
        <f t="shared" si="8"/>
        <v>--</v>
      </c>
      <c r="C177" s="129" t="str">
        <f>IF(Table38[[#This Row],[Database]]&lt;&gt;strEmpty,MBXPerDB,"")</f>
        <v/>
      </c>
      <c r="D177" s="185" t="str">
        <f>IF(Table38[[#This Row],[Database]]&lt;&gt;strEmpty,DBSize,"")</f>
        <v/>
      </c>
      <c r="E177" s="185" t="str">
        <f>IF(Table38[[#This Row],[Database]]&lt;&gt;strEmpty,DBSizeOverhead,"")</f>
        <v/>
      </c>
      <c r="F177" s="185" t="str">
        <f>IF(Table38[[#This Row],[Database]]&lt;&gt;strEmpty,LogOverheadperDB,"")</f>
        <v/>
      </c>
      <c r="G177" s="132"/>
      <c r="H177" s="459" t="str">
        <f t="shared" si="9"/>
        <v>--</v>
      </c>
      <c r="I177" s="451" t="str">
        <f t="shared" si="10"/>
        <v/>
      </c>
      <c r="J177" s="926" t="str">
        <f t="shared" si="11"/>
        <v/>
      </c>
      <c r="K177" s="951" t="str">
        <f t="shared" si="12"/>
        <v/>
      </c>
    </row>
    <row r="178" spans="1:11" x14ac:dyDescent="0.3">
      <c r="A178" s="26"/>
      <c r="B178" s="131" t="str">
        <f t="shared" si="8"/>
        <v>--</v>
      </c>
      <c r="C178" s="129" t="str">
        <f>IF(Table38[[#This Row],[Database]]&lt;&gt;strEmpty,MBXPerDB,"")</f>
        <v/>
      </c>
      <c r="D178" s="185" t="str">
        <f>IF(Table38[[#This Row],[Database]]&lt;&gt;strEmpty,DBSize,"")</f>
        <v/>
      </c>
      <c r="E178" s="185" t="str">
        <f>IF(Table38[[#This Row],[Database]]&lt;&gt;strEmpty,DBSizeOverhead,"")</f>
        <v/>
      </c>
      <c r="F178" s="185" t="str">
        <f>IF(Table38[[#This Row],[Database]]&lt;&gt;strEmpty,LogOverheadperDB,"")</f>
        <v/>
      </c>
      <c r="G178" s="132"/>
      <c r="H178" s="458" t="str">
        <f t="shared" si="9"/>
        <v>--</v>
      </c>
      <c r="I178" s="911" t="str">
        <f t="shared" si="10"/>
        <v/>
      </c>
      <c r="J178" s="925" t="str">
        <f t="shared" si="11"/>
        <v/>
      </c>
      <c r="K178" s="950" t="str">
        <f t="shared" si="12"/>
        <v/>
      </c>
    </row>
    <row r="179" spans="1:11" x14ac:dyDescent="0.3">
      <c r="A179" s="26"/>
      <c r="B179" s="131" t="str">
        <f t="shared" si="8"/>
        <v>--</v>
      </c>
      <c r="C179" s="129" t="str">
        <f>IF(Table38[[#This Row],[Database]]&lt;&gt;strEmpty,MBXPerDB,"")</f>
        <v/>
      </c>
      <c r="D179" s="185" t="str">
        <f>IF(Table38[[#This Row],[Database]]&lt;&gt;strEmpty,DBSize,"")</f>
        <v/>
      </c>
      <c r="E179" s="185" t="str">
        <f>IF(Table38[[#This Row],[Database]]&lt;&gt;strEmpty,DBSizeOverhead,"")</f>
        <v/>
      </c>
      <c r="F179" s="185" t="str">
        <f>IF(Table38[[#This Row],[Database]]&lt;&gt;strEmpty,LogOverheadperDB,"")</f>
        <v/>
      </c>
      <c r="G179" s="132"/>
      <c r="H179" s="459" t="str">
        <f t="shared" si="9"/>
        <v>--</v>
      </c>
      <c r="I179" s="451" t="str">
        <f t="shared" si="10"/>
        <v/>
      </c>
      <c r="J179" s="926" t="str">
        <f t="shared" si="11"/>
        <v/>
      </c>
      <c r="K179" s="951" t="str">
        <f t="shared" si="12"/>
        <v/>
      </c>
    </row>
    <row r="180" spans="1:11" x14ac:dyDescent="0.3">
      <c r="A180" s="26"/>
      <c r="B180" s="131" t="str">
        <f t="shared" si="8"/>
        <v>--</v>
      </c>
      <c r="C180" s="129" t="str">
        <f>IF(Table38[[#This Row],[Database]]&lt;&gt;strEmpty,MBXPerDB,"")</f>
        <v/>
      </c>
      <c r="D180" s="185" t="str">
        <f>IF(Table38[[#This Row],[Database]]&lt;&gt;strEmpty,DBSize,"")</f>
        <v/>
      </c>
      <c r="E180" s="185" t="str">
        <f>IF(Table38[[#This Row],[Database]]&lt;&gt;strEmpty,DBSizeOverhead,"")</f>
        <v/>
      </c>
      <c r="F180" s="185" t="str">
        <f>IF(Table38[[#This Row],[Database]]&lt;&gt;strEmpty,LogOverheadperDB,"")</f>
        <v/>
      </c>
      <c r="G180" s="132"/>
      <c r="H180" s="458" t="str">
        <f t="shared" si="9"/>
        <v>--</v>
      </c>
      <c r="I180" s="911" t="str">
        <f t="shared" si="10"/>
        <v/>
      </c>
      <c r="J180" s="925" t="str">
        <f t="shared" si="11"/>
        <v/>
      </c>
      <c r="K180" s="950" t="str">
        <f t="shared" si="12"/>
        <v/>
      </c>
    </row>
    <row r="181" spans="1:11" x14ac:dyDescent="0.3">
      <c r="A181" s="26"/>
      <c r="B181" s="131" t="str">
        <f t="shared" si="8"/>
        <v>--</v>
      </c>
      <c r="C181" s="129" t="str">
        <f>IF(Table38[[#This Row],[Database]]&lt;&gt;strEmpty,MBXPerDB,"")</f>
        <v/>
      </c>
      <c r="D181" s="185" t="str">
        <f>IF(Table38[[#This Row],[Database]]&lt;&gt;strEmpty,DBSize,"")</f>
        <v/>
      </c>
      <c r="E181" s="185" t="str">
        <f>IF(Table38[[#This Row],[Database]]&lt;&gt;strEmpty,DBSizeOverhead,"")</f>
        <v/>
      </c>
      <c r="F181" s="185" t="str">
        <f>IF(Table38[[#This Row],[Database]]&lt;&gt;strEmpty,LogOverheadperDB,"")</f>
        <v/>
      </c>
      <c r="G181" s="132"/>
      <c r="H181" s="459" t="str">
        <f t="shared" si="9"/>
        <v>--</v>
      </c>
      <c r="I181" s="451" t="str">
        <f t="shared" si="10"/>
        <v/>
      </c>
      <c r="J181" s="926" t="str">
        <f t="shared" si="11"/>
        <v/>
      </c>
      <c r="K181" s="951" t="str">
        <f t="shared" si="12"/>
        <v/>
      </c>
    </row>
    <row r="182" spans="1:11" x14ac:dyDescent="0.3">
      <c r="A182" s="26"/>
      <c r="B182" s="131" t="str">
        <f t="shared" si="8"/>
        <v>--</v>
      </c>
      <c r="C182" s="129" t="str">
        <f>IF(Table38[[#This Row],[Database]]&lt;&gt;strEmpty,MBXPerDB,"")</f>
        <v/>
      </c>
      <c r="D182" s="185" t="str">
        <f>IF(Table38[[#This Row],[Database]]&lt;&gt;strEmpty,DBSize,"")</f>
        <v/>
      </c>
      <c r="E182" s="185" t="str">
        <f>IF(Table38[[#This Row],[Database]]&lt;&gt;strEmpty,DBSizeOverhead,"")</f>
        <v/>
      </c>
      <c r="F182" s="185" t="str">
        <f>IF(Table38[[#This Row],[Database]]&lt;&gt;strEmpty,LogOverheadperDB,"")</f>
        <v/>
      </c>
      <c r="G182" s="132"/>
      <c r="H182" s="458" t="str">
        <f t="shared" si="9"/>
        <v>--</v>
      </c>
      <c r="I182" s="911" t="str">
        <f t="shared" si="10"/>
        <v/>
      </c>
      <c r="J182" s="925" t="str">
        <f t="shared" si="11"/>
        <v/>
      </c>
      <c r="K182" s="950" t="str">
        <f t="shared" si="12"/>
        <v/>
      </c>
    </row>
    <row r="183" spans="1:11" x14ac:dyDescent="0.3">
      <c r="A183" s="26"/>
      <c r="B183" s="131" t="str">
        <f t="shared" si="8"/>
        <v>--</v>
      </c>
      <c r="C183" s="129" t="str">
        <f>IF(Table38[[#This Row],[Database]]&lt;&gt;strEmpty,MBXPerDB,"")</f>
        <v/>
      </c>
      <c r="D183" s="185" t="str">
        <f>IF(Table38[[#This Row],[Database]]&lt;&gt;strEmpty,DBSize,"")</f>
        <v/>
      </c>
      <c r="E183" s="185" t="str">
        <f>IF(Table38[[#This Row],[Database]]&lt;&gt;strEmpty,DBSizeOverhead,"")</f>
        <v/>
      </c>
      <c r="F183" s="185" t="str">
        <f>IF(Table38[[#This Row],[Database]]&lt;&gt;strEmpty,LogOverheadperDB,"")</f>
        <v/>
      </c>
      <c r="G183" s="132"/>
      <c r="H183" s="459" t="str">
        <f t="shared" si="9"/>
        <v>--</v>
      </c>
      <c r="I183" s="451" t="str">
        <f t="shared" si="10"/>
        <v/>
      </c>
      <c r="J183" s="926" t="str">
        <f t="shared" si="11"/>
        <v/>
      </c>
      <c r="K183" s="951" t="str">
        <f t="shared" si="12"/>
        <v/>
      </c>
    </row>
    <row r="184" spans="1:11" x14ac:dyDescent="0.3">
      <c r="A184" s="26"/>
      <c r="B184" s="131" t="str">
        <f t="shared" si="8"/>
        <v>--</v>
      </c>
      <c r="C184" s="129" t="str">
        <f>IF(Table38[[#This Row],[Database]]&lt;&gt;strEmpty,MBXPerDB,"")</f>
        <v/>
      </c>
      <c r="D184" s="185" t="str">
        <f>IF(Table38[[#This Row],[Database]]&lt;&gt;strEmpty,DBSize,"")</f>
        <v/>
      </c>
      <c r="E184" s="185" t="str">
        <f>IF(Table38[[#This Row],[Database]]&lt;&gt;strEmpty,DBSizeOverhead,"")</f>
        <v/>
      </c>
      <c r="F184" s="185" t="str">
        <f>IF(Table38[[#This Row],[Database]]&lt;&gt;strEmpty,LogOverheadperDB,"")</f>
        <v/>
      </c>
      <c r="G184" s="132"/>
      <c r="H184" s="458" t="str">
        <f t="shared" si="9"/>
        <v>--</v>
      </c>
      <c r="I184" s="911" t="str">
        <f t="shared" si="10"/>
        <v/>
      </c>
      <c r="J184" s="925" t="str">
        <f t="shared" si="11"/>
        <v/>
      </c>
      <c r="K184" s="950" t="str">
        <f t="shared" si="12"/>
        <v/>
      </c>
    </row>
    <row r="185" spans="1:11" x14ac:dyDescent="0.3">
      <c r="A185" s="26"/>
      <c r="B185" s="131" t="str">
        <f t="shared" si="8"/>
        <v>--</v>
      </c>
      <c r="C185" s="129" t="str">
        <f>IF(Table38[[#This Row],[Database]]&lt;&gt;strEmpty,MBXPerDB,"")</f>
        <v/>
      </c>
      <c r="D185" s="185" t="str">
        <f>IF(Table38[[#This Row],[Database]]&lt;&gt;strEmpty,DBSize,"")</f>
        <v/>
      </c>
      <c r="E185" s="185" t="str">
        <f>IF(Table38[[#This Row],[Database]]&lt;&gt;strEmpty,DBSizeOverhead,"")</f>
        <v/>
      </c>
      <c r="F185" s="185" t="str">
        <f>IF(Table38[[#This Row],[Database]]&lt;&gt;strEmpty,LogOverheadperDB,"")</f>
        <v/>
      </c>
      <c r="G185" s="132"/>
      <c r="H185" s="459" t="str">
        <f t="shared" si="9"/>
        <v>--</v>
      </c>
      <c r="I185" s="451" t="str">
        <f t="shared" si="10"/>
        <v/>
      </c>
      <c r="J185" s="926" t="str">
        <f t="shared" si="11"/>
        <v/>
      </c>
      <c r="K185" s="951" t="str">
        <f t="shared" si="12"/>
        <v/>
      </c>
    </row>
    <row r="186" spans="1:11" x14ac:dyDescent="0.3">
      <c r="A186" s="26"/>
      <c r="B186" s="131" t="str">
        <f t="shared" si="8"/>
        <v>--</v>
      </c>
      <c r="C186" s="129" t="str">
        <f>IF(Table38[[#This Row],[Database]]&lt;&gt;strEmpty,MBXPerDB,"")</f>
        <v/>
      </c>
      <c r="D186" s="185" t="str">
        <f>IF(Table38[[#This Row],[Database]]&lt;&gt;strEmpty,DBSize,"")</f>
        <v/>
      </c>
      <c r="E186" s="185" t="str">
        <f>IF(Table38[[#This Row],[Database]]&lt;&gt;strEmpty,DBSizeOverhead,"")</f>
        <v/>
      </c>
      <c r="F186" s="185" t="str">
        <f>IF(Table38[[#This Row],[Database]]&lt;&gt;strEmpty,LogOverheadperDB,"")</f>
        <v/>
      </c>
      <c r="G186" s="132"/>
      <c r="H186" s="458" t="str">
        <f t="shared" si="9"/>
        <v>--</v>
      </c>
      <c r="I186" s="911" t="str">
        <f t="shared" si="10"/>
        <v/>
      </c>
      <c r="J186" s="925" t="str">
        <f t="shared" si="11"/>
        <v/>
      </c>
      <c r="K186" s="950" t="str">
        <f t="shared" si="12"/>
        <v/>
      </c>
    </row>
    <row r="187" spans="1:11" x14ac:dyDescent="0.3">
      <c r="A187" s="26"/>
      <c r="B187" s="131" t="str">
        <f t="shared" ref="B187:B218" si="13">IF(SUMIF($B$6:$B$105,B70,$B$6:$B$105),B70,strEmpty)</f>
        <v>--</v>
      </c>
      <c r="C187" s="129" t="str">
        <f>IF(Table38[[#This Row],[Database]]&lt;&gt;strEmpty,MBXPerDB,"")</f>
        <v/>
      </c>
      <c r="D187" s="185" t="str">
        <f>IF(Table38[[#This Row],[Database]]&lt;&gt;strEmpty,DBSize,"")</f>
        <v/>
      </c>
      <c r="E187" s="185" t="str">
        <f>IF(Table38[[#This Row],[Database]]&lt;&gt;strEmpty,DBSizeOverhead,"")</f>
        <v/>
      </c>
      <c r="F187" s="185" t="str">
        <f>IF(Table38[[#This Row],[Database]]&lt;&gt;strEmpty,LogOverheadperDB,"")</f>
        <v/>
      </c>
      <c r="G187" s="132"/>
      <c r="H187" s="459" t="str">
        <f t="shared" ref="H187:H222" si="14">IFERROR(IF(NOT(ValidationCheck),IF(TotNumDBCopiesServer/NumDBPerVol&gt;ROW()-ROW(DBSet1),IF(NumDBPerVol=1,CONCATENATE("DB",ROW()-ROW(DBSet1)+1),CONCATENATE("DB",ABS(ROW(DBSet1)-ROW()) * NumDBPerVol+1,"-DB",MIN(TotNumDBCopiesServer,(ABS(ROW(DBSet1)-ROW())+1) * NumDBPerVol))),strEmpty),strEmpty),strEmpty)</f>
        <v>--</v>
      </c>
      <c r="I187" s="451" t="str">
        <f t="shared" ref="I187:I218" si="15">IF(H187=strEmpty,"",(SUMIF(C$6:C$105,D70,E$123:E$222)+IF(OR(VolArchitecture=INDEX(varVolumeArchitecture,1),VolArchitecture=INDEX(varVolumeArchitecture,4)),SUMIF(C$6:C$105,D70,F$123:F$222),0)))</f>
        <v/>
      </c>
      <c r="J187" s="926" t="str">
        <f t="shared" ref="J187:J218" si="16">IF(OR(VolArchitecture=INDEX(varVolumeArchitecture,1),VolArchitecture=INDEX(varVolumeArchitecture,4)),"",IF(H187=strEmpty,"",SUMIF(C$6:C$105,D70,F$123:F$222)))</f>
        <v/>
      </c>
      <c r="K187" s="951" t="str">
        <f t="shared" ref="K187:K222" si="17">IF(OR(VolArchitecture=INDEX(varVolumeArchitecture,1),VolArchitecture=INDEX(varVolumeArchitecture,4)),IF(H187=strEmpty,"",(DBRawDiskCap1*1000*1000*1000)/1024/1024/1024),"")</f>
        <v/>
      </c>
    </row>
    <row r="188" spans="1:11" x14ac:dyDescent="0.3">
      <c r="A188" s="26"/>
      <c r="B188" s="131" t="str">
        <f t="shared" si="13"/>
        <v>--</v>
      </c>
      <c r="C188" s="129" t="str">
        <f>IF(Table38[[#This Row],[Database]]&lt;&gt;strEmpty,MBXPerDB,"")</f>
        <v/>
      </c>
      <c r="D188" s="185" t="str">
        <f>IF(Table38[[#This Row],[Database]]&lt;&gt;strEmpty,DBSize,"")</f>
        <v/>
      </c>
      <c r="E188" s="185" t="str">
        <f>IF(Table38[[#This Row],[Database]]&lt;&gt;strEmpty,DBSizeOverhead,"")</f>
        <v/>
      </c>
      <c r="F188" s="185" t="str">
        <f>IF(Table38[[#This Row],[Database]]&lt;&gt;strEmpty,LogOverheadperDB,"")</f>
        <v/>
      </c>
      <c r="G188" s="132"/>
      <c r="H188" s="458" t="str">
        <f t="shared" si="14"/>
        <v>--</v>
      </c>
      <c r="I188" s="911" t="str">
        <f t="shared" si="15"/>
        <v/>
      </c>
      <c r="J188" s="925" t="str">
        <f t="shared" si="16"/>
        <v/>
      </c>
      <c r="K188" s="950" t="str">
        <f t="shared" si="17"/>
        <v/>
      </c>
    </row>
    <row r="189" spans="1:11" x14ac:dyDescent="0.3">
      <c r="A189" s="26"/>
      <c r="B189" s="131" t="str">
        <f t="shared" si="13"/>
        <v>--</v>
      </c>
      <c r="C189" s="129" t="str">
        <f>IF(Table38[[#This Row],[Database]]&lt;&gt;strEmpty,MBXPerDB,"")</f>
        <v/>
      </c>
      <c r="D189" s="185" t="str">
        <f>IF(Table38[[#This Row],[Database]]&lt;&gt;strEmpty,DBSize,"")</f>
        <v/>
      </c>
      <c r="E189" s="185" t="str">
        <f>IF(Table38[[#This Row],[Database]]&lt;&gt;strEmpty,DBSizeOverhead,"")</f>
        <v/>
      </c>
      <c r="F189" s="185" t="str">
        <f>IF(Table38[[#This Row],[Database]]&lt;&gt;strEmpty,LogOverheadperDB,"")</f>
        <v/>
      </c>
      <c r="G189" s="132"/>
      <c r="H189" s="459" t="str">
        <f t="shared" si="14"/>
        <v>--</v>
      </c>
      <c r="I189" s="451" t="str">
        <f t="shared" si="15"/>
        <v/>
      </c>
      <c r="J189" s="926" t="str">
        <f t="shared" si="16"/>
        <v/>
      </c>
      <c r="K189" s="951" t="str">
        <f t="shared" si="17"/>
        <v/>
      </c>
    </row>
    <row r="190" spans="1:11" x14ac:dyDescent="0.3">
      <c r="A190" s="26"/>
      <c r="B190" s="131" t="str">
        <f t="shared" si="13"/>
        <v>--</v>
      </c>
      <c r="C190" s="129" t="str">
        <f>IF(Table38[[#This Row],[Database]]&lt;&gt;strEmpty,MBXPerDB,"")</f>
        <v/>
      </c>
      <c r="D190" s="185" t="str">
        <f>IF(Table38[[#This Row],[Database]]&lt;&gt;strEmpty,DBSize,"")</f>
        <v/>
      </c>
      <c r="E190" s="185" t="str">
        <f>IF(Table38[[#This Row],[Database]]&lt;&gt;strEmpty,DBSizeOverhead,"")</f>
        <v/>
      </c>
      <c r="F190" s="185" t="str">
        <f>IF(Table38[[#This Row],[Database]]&lt;&gt;strEmpty,LogOverheadperDB,"")</f>
        <v/>
      </c>
      <c r="G190" s="132"/>
      <c r="H190" s="458" t="str">
        <f t="shared" si="14"/>
        <v>--</v>
      </c>
      <c r="I190" s="911" t="str">
        <f t="shared" si="15"/>
        <v/>
      </c>
      <c r="J190" s="925" t="str">
        <f t="shared" si="16"/>
        <v/>
      </c>
      <c r="K190" s="950" t="str">
        <f t="shared" si="17"/>
        <v/>
      </c>
    </row>
    <row r="191" spans="1:11" x14ac:dyDescent="0.3">
      <c r="A191" s="26"/>
      <c r="B191" s="131" t="str">
        <f t="shared" si="13"/>
        <v>--</v>
      </c>
      <c r="C191" s="129" t="str">
        <f>IF(Table38[[#This Row],[Database]]&lt;&gt;strEmpty,MBXPerDB,"")</f>
        <v/>
      </c>
      <c r="D191" s="185" t="str">
        <f>IF(Table38[[#This Row],[Database]]&lt;&gt;strEmpty,DBSize,"")</f>
        <v/>
      </c>
      <c r="E191" s="185" t="str">
        <f>IF(Table38[[#This Row],[Database]]&lt;&gt;strEmpty,DBSizeOverhead,"")</f>
        <v/>
      </c>
      <c r="F191" s="185" t="str">
        <f>IF(Table38[[#This Row],[Database]]&lt;&gt;strEmpty,LogOverheadperDB,"")</f>
        <v/>
      </c>
      <c r="G191" s="132"/>
      <c r="H191" s="459" t="str">
        <f t="shared" si="14"/>
        <v>--</v>
      </c>
      <c r="I191" s="451" t="str">
        <f t="shared" si="15"/>
        <v/>
      </c>
      <c r="J191" s="926" t="str">
        <f t="shared" si="16"/>
        <v/>
      </c>
      <c r="K191" s="951" t="str">
        <f t="shared" si="17"/>
        <v/>
      </c>
    </row>
    <row r="192" spans="1:11" x14ac:dyDescent="0.3">
      <c r="A192" s="26"/>
      <c r="B192" s="131" t="str">
        <f t="shared" si="13"/>
        <v>--</v>
      </c>
      <c r="C192" s="129" t="str">
        <f>IF(Table38[[#This Row],[Database]]&lt;&gt;strEmpty,MBXPerDB,"")</f>
        <v/>
      </c>
      <c r="D192" s="185" t="str">
        <f>IF(Table38[[#This Row],[Database]]&lt;&gt;strEmpty,DBSize,"")</f>
        <v/>
      </c>
      <c r="E192" s="185" t="str">
        <f>IF(Table38[[#This Row],[Database]]&lt;&gt;strEmpty,DBSizeOverhead,"")</f>
        <v/>
      </c>
      <c r="F192" s="185" t="str">
        <f>IF(Table38[[#This Row],[Database]]&lt;&gt;strEmpty,LogOverheadperDB,"")</f>
        <v/>
      </c>
      <c r="G192" s="132"/>
      <c r="H192" s="458" t="str">
        <f t="shared" si="14"/>
        <v>--</v>
      </c>
      <c r="I192" s="911" t="str">
        <f t="shared" si="15"/>
        <v/>
      </c>
      <c r="J192" s="925" t="str">
        <f t="shared" si="16"/>
        <v/>
      </c>
      <c r="K192" s="950" t="str">
        <f t="shared" si="17"/>
        <v/>
      </c>
    </row>
    <row r="193" spans="1:11" x14ac:dyDescent="0.3">
      <c r="A193" s="26"/>
      <c r="B193" s="131" t="str">
        <f t="shared" si="13"/>
        <v>--</v>
      </c>
      <c r="C193" s="129" t="str">
        <f>IF(Table38[[#This Row],[Database]]&lt;&gt;strEmpty,MBXPerDB,"")</f>
        <v/>
      </c>
      <c r="D193" s="185" t="str">
        <f>IF(Table38[[#This Row],[Database]]&lt;&gt;strEmpty,DBSize,"")</f>
        <v/>
      </c>
      <c r="E193" s="185" t="str">
        <f>IF(Table38[[#This Row],[Database]]&lt;&gt;strEmpty,DBSizeOverhead,"")</f>
        <v/>
      </c>
      <c r="F193" s="185" t="str">
        <f>IF(Table38[[#This Row],[Database]]&lt;&gt;strEmpty,LogOverheadperDB,"")</f>
        <v/>
      </c>
      <c r="G193" s="132"/>
      <c r="H193" s="459" t="str">
        <f t="shared" si="14"/>
        <v>--</v>
      </c>
      <c r="I193" s="451" t="str">
        <f t="shared" si="15"/>
        <v/>
      </c>
      <c r="J193" s="926" t="str">
        <f t="shared" si="16"/>
        <v/>
      </c>
      <c r="K193" s="951" t="str">
        <f t="shared" si="17"/>
        <v/>
      </c>
    </row>
    <row r="194" spans="1:11" x14ac:dyDescent="0.3">
      <c r="A194" s="26"/>
      <c r="B194" s="131" t="str">
        <f t="shared" si="13"/>
        <v>--</v>
      </c>
      <c r="C194" s="129" t="str">
        <f>IF(Table38[[#This Row],[Database]]&lt;&gt;strEmpty,MBXPerDB,"")</f>
        <v/>
      </c>
      <c r="D194" s="185" t="str">
        <f>IF(Table38[[#This Row],[Database]]&lt;&gt;strEmpty,DBSize,"")</f>
        <v/>
      </c>
      <c r="E194" s="185" t="str">
        <f>IF(Table38[[#This Row],[Database]]&lt;&gt;strEmpty,DBSizeOverhead,"")</f>
        <v/>
      </c>
      <c r="F194" s="185" t="str">
        <f>IF(Table38[[#This Row],[Database]]&lt;&gt;strEmpty,LogOverheadperDB,"")</f>
        <v/>
      </c>
      <c r="G194" s="132"/>
      <c r="H194" s="458" t="str">
        <f t="shared" si="14"/>
        <v>--</v>
      </c>
      <c r="I194" s="911" t="str">
        <f t="shared" si="15"/>
        <v/>
      </c>
      <c r="J194" s="925" t="str">
        <f t="shared" si="16"/>
        <v/>
      </c>
      <c r="K194" s="950" t="str">
        <f t="shared" si="17"/>
        <v/>
      </c>
    </row>
    <row r="195" spans="1:11" x14ac:dyDescent="0.3">
      <c r="A195" s="26"/>
      <c r="B195" s="131" t="str">
        <f t="shared" si="13"/>
        <v>--</v>
      </c>
      <c r="C195" s="129" t="str">
        <f>IF(Table38[[#This Row],[Database]]&lt;&gt;strEmpty,MBXPerDB,"")</f>
        <v/>
      </c>
      <c r="D195" s="185" t="str">
        <f>IF(Table38[[#This Row],[Database]]&lt;&gt;strEmpty,DBSize,"")</f>
        <v/>
      </c>
      <c r="E195" s="185" t="str">
        <f>IF(Table38[[#This Row],[Database]]&lt;&gt;strEmpty,DBSizeOverhead,"")</f>
        <v/>
      </c>
      <c r="F195" s="185" t="str">
        <f>IF(Table38[[#This Row],[Database]]&lt;&gt;strEmpty,LogOverheadperDB,"")</f>
        <v/>
      </c>
      <c r="G195" s="132"/>
      <c r="H195" s="459" t="str">
        <f t="shared" si="14"/>
        <v>--</v>
      </c>
      <c r="I195" s="451" t="str">
        <f t="shared" si="15"/>
        <v/>
      </c>
      <c r="J195" s="926" t="str">
        <f t="shared" si="16"/>
        <v/>
      </c>
      <c r="K195" s="951" t="str">
        <f t="shared" si="17"/>
        <v/>
      </c>
    </row>
    <row r="196" spans="1:11" x14ac:dyDescent="0.3">
      <c r="A196" s="26"/>
      <c r="B196" s="131" t="str">
        <f t="shared" si="13"/>
        <v>--</v>
      </c>
      <c r="C196" s="129" t="str">
        <f>IF(Table38[[#This Row],[Database]]&lt;&gt;strEmpty,MBXPerDB,"")</f>
        <v/>
      </c>
      <c r="D196" s="185" t="str">
        <f>IF(Table38[[#This Row],[Database]]&lt;&gt;strEmpty,DBSize,"")</f>
        <v/>
      </c>
      <c r="E196" s="185" t="str">
        <f>IF(Table38[[#This Row],[Database]]&lt;&gt;strEmpty,DBSizeOverhead,"")</f>
        <v/>
      </c>
      <c r="F196" s="185" t="str">
        <f>IF(Table38[[#This Row],[Database]]&lt;&gt;strEmpty,LogOverheadperDB,"")</f>
        <v/>
      </c>
      <c r="G196" s="132"/>
      <c r="H196" s="458" t="str">
        <f t="shared" si="14"/>
        <v>--</v>
      </c>
      <c r="I196" s="911" t="str">
        <f t="shared" si="15"/>
        <v/>
      </c>
      <c r="J196" s="925" t="str">
        <f t="shared" si="16"/>
        <v/>
      </c>
      <c r="K196" s="950" t="str">
        <f t="shared" si="17"/>
        <v/>
      </c>
    </row>
    <row r="197" spans="1:11" x14ac:dyDescent="0.3">
      <c r="A197" s="26"/>
      <c r="B197" s="131" t="str">
        <f t="shared" si="13"/>
        <v>--</v>
      </c>
      <c r="C197" s="129" t="str">
        <f>IF(Table38[[#This Row],[Database]]&lt;&gt;strEmpty,MBXPerDB,"")</f>
        <v/>
      </c>
      <c r="D197" s="185" t="str">
        <f>IF(Table38[[#This Row],[Database]]&lt;&gt;strEmpty,DBSize,"")</f>
        <v/>
      </c>
      <c r="E197" s="185" t="str">
        <f>IF(Table38[[#This Row],[Database]]&lt;&gt;strEmpty,DBSizeOverhead,"")</f>
        <v/>
      </c>
      <c r="F197" s="185" t="str">
        <f>IF(Table38[[#This Row],[Database]]&lt;&gt;strEmpty,LogOverheadperDB,"")</f>
        <v/>
      </c>
      <c r="G197" s="132"/>
      <c r="H197" s="459" t="str">
        <f t="shared" si="14"/>
        <v>--</v>
      </c>
      <c r="I197" s="451" t="str">
        <f t="shared" si="15"/>
        <v/>
      </c>
      <c r="J197" s="926" t="str">
        <f t="shared" si="16"/>
        <v/>
      </c>
      <c r="K197" s="951" t="str">
        <f t="shared" si="17"/>
        <v/>
      </c>
    </row>
    <row r="198" spans="1:11" x14ac:dyDescent="0.3">
      <c r="A198" s="26"/>
      <c r="B198" s="131" t="str">
        <f t="shared" si="13"/>
        <v>--</v>
      </c>
      <c r="C198" s="129" t="str">
        <f>IF(Table38[[#This Row],[Database]]&lt;&gt;strEmpty,MBXPerDB,"")</f>
        <v/>
      </c>
      <c r="D198" s="185" t="str">
        <f>IF(Table38[[#This Row],[Database]]&lt;&gt;strEmpty,DBSize,"")</f>
        <v/>
      </c>
      <c r="E198" s="185" t="str">
        <f>IF(Table38[[#This Row],[Database]]&lt;&gt;strEmpty,DBSizeOverhead,"")</f>
        <v/>
      </c>
      <c r="F198" s="185" t="str">
        <f>IF(Table38[[#This Row],[Database]]&lt;&gt;strEmpty,LogOverheadperDB,"")</f>
        <v/>
      </c>
      <c r="G198" s="132"/>
      <c r="H198" s="458" t="str">
        <f t="shared" si="14"/>
        <v>--</v>
      </c>
      <c r="I198" s="911" t="str">
        <f t="shared" si="15"/>
        <v/>
      </c>
      <c r="J198" s="925" t="str">
        <f t="shared" si="16"/>
        <v/>
      </c>
      <c r="K198" s="950" t="str">
        <f t="shared" si="17"/>
        <v/>
      </c>
    </row>
    <row r="199" spans="1:11" x14ac:dyDescent="0.3">
      <c r="A199" s="26"/>
      <c r="B199" s="131" t="str">
        <f t="shared" si="13"/>
        <v>--</v>
      </c>
      <c r="C199" s="129" t="str">
        <f>IF(Table38[[#This Row],[Database]]&lt;&gt;strEmpty,MBXPerDB,"")</f>
        <v/>
      </c>
      <c r="D199" s="185" t="str">
        <f>IF(Table38[[#This Row],[Database]]&lt;&gt;strEmpty,DBSize,"")</f>
        <v/>
      </c>
      <c r="E199" s="185" t="str">
        <f>IF(Table38[[#This Row],[Database]]&lt;&gt;strEmpty,DBSizeOverhead,"")</f>
        <v/>
      </c>
      <c r="F199" s="185" t="str">
        <f>IF(Table38[[#This Row],[Database]]&lt;&gt;strEmpty,LogOverheadperDB,"")</f>
        <v/>
      </c>
      <c r="G199" s="132"/>
      <c r="H199" s="459" t="str">
        <f t="shared" si="14"/>
        <v>--</v>
      </c>
      <c r="I199" s="451" t="str">
        <f t="shared" si="15"/>
        <v/>
      </c>
      <c r="J199" s="926" t="str">
        <f t="shared" si="16"/>
        <v/>
      </c>
      <c r="K199" s="951" t="str">
        <f t="shared" si="17"/>
        <v/>
      </c>
    </row>
    <row r="200" spans="1:11" x14ac:dyDescent="0.3">
      <c r="A200" s="26"/>
      <c r="B200" s="131" t="str">
        <f t="shared" si="13"/>
        <v>--</v>
      </c>
      <c r="C200" s="129" t="str">
        <f>IF(Table38[[#This Row],[Database]]&lt;&gt;strEmpty,MBXPerDB,"")</f>
        <v/>
      </c>
      <c r="D200" s="185" t="str">
        <f>IF(Table38[[#This Row],[Database]]&lt;&gt;strEmpty,DBSize,"")</f>
        <v/>
      </c>
      <c r="E200" s="185" t="str">
        <f>IF(Table38[[#This Row],[Database]]&lt;&gt;strEmpty,DBSizeOverhead,"")</f>
        <v/>
      </c>
      <c r="F200" s="185" t="str">
        <f>IF(Table38[[#This Row],[Database]]&lt;&gt;strEmpty,LogOverheadperDB,"")</f>
        <v/>
      </c>
      <c r="G200" s="132"/>
      <c r="H200" s="458" t="str">
        <f t="shared" si="14"/>
        <v>--</v>
      </c>
      <c r="I200" s="911" t="str">
        <f t="shared" si="15"/>
        <v/>
      </c>
      <c r="J200" s="925" t="str">
        <f t="shared" si="16"/>
        <v/>
      </c>
      <c r="K200" s="950" t="str">
        <f t="shared" si="17"/>
        <v/>
      </c>
    </row>
    <row r="201" spans="1:11" x14ac:dyDescent="0.3">
      <c r="A201" s="26"/>
      <c r="B201" s="131" t="str">
        <f t="shared" si="13"/>
        <v>--</v>
      </c>
      <c r="C201" s="129" t="str">
        <f>IF(Table38[[#This Row],[Database]]&lt;&gt;strEmpty,MBXPerDB,"")</f>
        <v/>
      </c>
      <c r="D201" s="185" t="str">
        <f>IF(Table38[[#This Row],[Database]]&lt;&gt;strEmpty,DBSize,"")</f>
        <v/>
      </c>
      <c r="E201" s="185" t="str">
        <f>IF(Table38[[#This Row],[Database]]&lt;&gt;strEmpty,DBSizeOverhead,"")</f>
        <v/>
      </c>
      <c r="F201" s="185" t="str">
        <f>IF(Table38[[#This Row],[Database]]&lt;&gt;strEmpty,LogOverheadperDB,"")</f>
        <v/>
      </c>
      <c r="G201" s="132"/>
      <c r="H201" s="459" t="str">
        <f t="shared" si="14"/>
        <v>--</v>
      </c>
      <c r="I201" s="451" t="str">
        <f t="shared" si="15"/>
        <v/>
      </c>
      <c r="J201" s="926" t="str">
        <f t="shared" si="16"/>
        <v/>
      </c>
      <c r="K201" s="951" t="str">
        <f t="shared" si="17"/>
        <v/>
      </c>
    </row>
    <row r="202" spans="1:11" x14ac:dyDescent="0.3">
      <c r="A202" s="26"/>
      <c r="B202" s="131" t="str">
        <f t="shared" si="13"/>
        <v>--</v>
      </c>
      <c r="C202" s="129" t="str">
        <f>IF(Table38[[#This Row],[Database]]&lt;&gt;strEmpty,MBXPerDB,"")</f>
        <v/>
      </c>
      <c r="D202" s="185" t="str">
        <f>IF(Table38[[#This Row],[Database]]&lt;&gt;strEmpty,DBSize,"")</f>
        <v/>
      </c>
      <c r="E202" s="185" t="str">
        <f>IF(Table38[[#This Row],[Database]]&lt;&gt;strEmpty,DBSizeOverhead,"")</f>
        <v/>
      </c>
      <c r="F202" s="185" t="str">
        <f>IF(Table38[[#This Row],[Database]]&lt;&gt;strEmpty,LogOverheadperDB,"")</f>
        <v/>
      </c>
      <c r="G202" s="132"/>
      <c r="H202" s="458" t="str">
        <f t="shared" si="14"/>
        <v>--</v>
      </c>
      <c r="I202" s="911" t="str">
        <f t="shared" si="15"/>
        <v/>
      </c>
      <c r="J202" s="925" t="str">
        <f t="shared" si="16"/>
        <v/>
      </c>
      <c r="K202" s="950" t="str">
        <f t="shared" si="17"/>
        <v/>
      </c>
    </row>
    <row r="203" spans="1:11" x14ac:dyDescent="0.3">
      <c r="A203" s="26"/>
      <c r="B203" s="131" t="str">
        <f t="shared" si="13"/>
        <v>--</v>
      </c>
      <c r="C203" s="129" t="str">
        <f>IF(Table38[[#This Row],[Database]]&lt;&gt;strEmpty,MBXPerDB,"")</f>
        <v/>
      </c>
      <c r="D203" s="185" t="str">
        <f>IF(Table38[[#This Row],[Database]]&lt;&gt;strEmpty,DBSize,"")</f>
        <v/>
      </c>
      <c r="E203" s="185" t="str">
        <f>IF(Table38[[#This Row],[Database]]&lt;&gt;strEmpty,DBSizeOverhead,"")</f>
        <v/>
      </c>
      <c r="F203" s="185" t="str">
        <f>IF(Table38[[#This Row],[Database]]&lt;&gt;strEmpty,LogOverheadperDB,"")</f>
        <v/>
      </c>
      <c r="G203" s="132"/>
      <c r="H203" s="459" t="str">
        <f t="shared" si="14"/>
        <v>--</v>
      </c>
      <c r="I203" s="451" t="str">
        <f t="shared" si="15"/>
        <v/>
      </c>
      <c r="J203" s="926" t="str">
        <f t="shared" si="16"/>
        <v/>
      </c>
      <c r="K203" s="951" t="str">
        <f t="shared" si="17"/>
        <v/>
      </c>
    </row>
    <row r="204" spans="1:11" x14ac:dyDescent="0.3">
      <c r="A204" s="26"/>
      <c r="B204" s="131" t="str">
        <f t="shared" si="13"/>
        <v>--</v>
      </c>
      <c r="C204" s="129" t="str">
        <f>IF(Table38[[#This Row],[Database]]&lt;&gt;strEmpty,MBXPerDB,"")</f>
        <v/>
      </c>
      <c r="D204" s="185" t="str">
        <f>IF(Table38[[#This Row],[Database]]&lt;&gt;strEmpty,DBSize,"")</f>
        <v/>
      </c>
      <c r="E204" s="185" t="str">
        <f>IF(Table38[[#This Row],[Database]]&lt;&gt;strEmpty,DBSizeOverhead,"")</f>
        <v/>
      </c>
      <c r="F204" s="185" t="str">
        <f>IF(Table38[[#This Row],[Database]]&lt;&gt;strEmpty,LogOverheadperDB,"")</f>
        <v/>
      </c>
      <c r="G204" s="132"/>
      <c r="H204" s="458" t="str">
        <f t="shared" si="14"/>
        <v>--</v>
      </c>
      <c r="I204" s="911" t="str">
        <f t="shared" si="15"/>
        <v/>
      </c>
      <c r="J204" s="925" t="str">
        <f t="shared" si="16"/>
        <v/>
      </c>
      <c r="K204" s="950" t="str">
        <f t="shared" si="17"/>
        <v/>
      </c>
    </row>
    <row r="205" spans="1:11" x14ac:dyDescent="0.3">
      <c r="A205" s="26"/>
      <c r="B205" s="131" t="str">
        <f t="shared" si="13"/>
        <v>--</v>
      </c>
      <c r="C205" s="129" t="str">
        <f>IF(Table38[[#This Row],[Database]]&lt;&gt;strEmpty,MBXPerDB,"")</f>
        <v/>
      </c>
      <c r="D205" s="185" t="str">
        <f>IF(Table38[[#This Row],[Database]]&lt;&gt;strEmpty,DBSize,"")</f>
        <v/>
      </c>
      <c r="E205" s="185" t="str">
        <f>IF(Table38[[#This Row],[Database]]&lt;&gt;strEmpty,DBSizeOverhead,"")</f>
        <v/>
      </c>
      <c r="F205" s="185" t="str">
        <f>IF(Table38[[#This Row],[Database]]&lt;&gt;strEmpty,LogOverheadperDB,"")</f>
        <v/>
      </c>
      <c r="G205" s="132"/>
      <c r="H205" s="459" t="str">
        <f t="shared" si="14"/>
        <v>--</v>
      </c>
      <c r="I205" s="451" t="str">
        <f t="shared" si="15"/>
        <v/>
      </c>
      <c r="J205" s="926" t="str">
        <f t="shared" si="16"/>
        <v/>
      </c>
      <c r="K205" s="951" t="str">
        <f t="shared" si="17"/>
        <v/>
      </c>
    </row>
    <row r="206" spans="1:11" x14ac:dyDescent="0.3">
      <c r="A206" s="26"/>
      <c r="B206" s="131" t="str">
        <f t="shared" si="13"/>
        <v>--</v>
      </c>
      <c r="C206" s="129" t="str">
        <f>IF(Table38[[#This Row],[Database]]&lt;&gt;strEmpty,MBXPerDB,"")</f>
        <v/>
      </c>
      <c r="D206" s="185" t="str">
        <f>IF(Table38[[#This Row],[Database]]&lt;&gt;strEmpty,DBSize,"")</f>
        <v/>
      </c>
      <c r="E206" s="185" t="str">
        <f>IF(Table38[[#This Row],[Database]]&lt;&gt;strEmpty,DBSizeOverhead,"")</f>
        <v/>
      </c>
      <c r="F206" s="185" t="str">
        <f>IF(Table38[[#This Row],[Database]]&lt;&gt;strEmpty,LogOverheadperDB,"")</f>
        <v/>
      </c>
      <c r="G206" s="132"/>
      <c r="H206" s="458" t="str">
        <f t="shared" si="14"/>
        <v>--</v>
      </c>
      <c r="I206" s="911" t="str">
        <f t="shared" si="15"/>
        <v/>
      </c>
      <c r="J206" s="925" t="str">
        <f t="shared" si="16"/>
        <v/>
      </c>
      <c r="K206" s="950" t="str">
        <f t="shared" si="17"/>
        <v/>
      </c>
    </row>
    <row r="207" spans="1:11" x14ac:dyDescent="0.3">
      <c r="A207" s="26"/>
      <c r="B207" s="131" t="str">
        <f t="shared" si="13"/>
        <v>--</v>
      </c>
      <c r="C207" s="129" t="str">
        <f>IF(Table38[[#This Row],[Database]]&lt;&gt;strEmpty,MBXPerDB,"")</f>
        <v/>
      </c>
      <c r="D207" s="185" t="str">
        <f>IF(Table38[[#This Row],[Database]]&lt;&gt;strEmpty,DBSize,"")</f>
        <v/>
      </c>
      <c r="E207" s="185" t="str">
        <f>IF(Table38[[#This Row],[Database]]&lt;&gt;strEmpty,DBSizeOverhead,"")</f>
        <v/>
      </c>
      <c r="F207" s="185" t="str">
        <f>IF(Table38[[#This Row],[Database]]&lt;&gt;strEmpty,LogOverheadperDB,"")</f>
        <v/>
      </c>
      <c r="G207" s="132"/>
      <c r="H207" s="459" t="str">
        <f t="shared" si="14"/>
        <v>--</v>
      </c>
      <c r="I207" s="451" t="str">
        <f t="shared" si="15"/>
        <v/>
      </c>
      <c r="J207" s="926" t="str">
        <f t="shared" si="16"/>
        <v/>
      </c>
      <c r="K207" s="951" t="str">
        <f t="shared" si="17"/>
        <v/>
      </c>
    </row>
    <row r="208" spans="1:11" x14ac:dyDescent="0.3">
      <c r="A208" s="26"/>
      <c r="B208" s="131" t="str">
        <f t="shared" si="13"/>
        <v>--</v>
      </c>
      <c r="C208" s="129" t="str">
        <f>IF(Table38[[#This Row],[Database]]&lt;&gt;strEmpty,MBXPerDB,"")</f>
        <v/>
      </c>
      <c r="D208" s="185" t="str">
        <f>IF(Table38[[#This Row],[Database]]&lt;&gt;strEmpty,DBSize,"")</f>
        <v/>
      </c>
      <c r="E208" s="185" t="str">
        <f>IF(Table38[[#This Row],[Database]]&lt;&gt;strEmpty,DBSizeOverhead,"")</f>
        <v/>
      </c>
      <c r="F208" s="185" t="str">
        <f>IF(Table38[[#This Row],[Database]]&lt;&gt;strEmpty,LogOverheadperDB,"")</f>
        <v/>
      </c>
      <c r="G208" s="132"/>
      <c r="H208" s="458" t="str">
        <f t="shared" si="14"/>
        <v>--</v>
      </c>
      <c r="I208" s="911" t="str">
        <f t="shared" si="15"/>
        <v/>
      </c>
      <c r="J208" s="925" t="str">
        <f t="shared" si="16"/>
        <v/>
      </c>
      <c r="K208" s="950" t="str">
        <f t="shared" si="17"/>
        <v/>
      </c>
    </row>
    <row r="209" spans="1:11" x14ac:dyDescent="0.3">
      <c r="A209" s="26"/>
      <c r="B209" s="131" t="str">
        <f t="shared" si="13"/>
        <v>--</v>
      </c>
      <c r="C209" s="129" t="str">
        <f>IF(Table38[[#This Row],[Database]]&lt;&gt;strEmpty,MBXPerDB,"")</f>
        <v/>
      </c>
      <c r="D209" s="185" t="str">
        <f>IF(Table38[[#This Row],[Database]]&lt;&gt;strEmpty,DBSize,"")</f>
        <v/>
      </c>
      <c r="E209" s="185" t="str">
        <f>IF(Table38[[#This Row],[Database]]&lt;&gt;strEmpty,DBSizeOverhead,"")</f>
        <v/>
      </c>
      <c r="F209" s="185" t="str">
        <f>IF(Table38[[#This Row],[Database]]&lt;&gt;strEmpty,LogOverheadperDB,"")</f>
        <v/>
      </c>
      <c r="G209" s="132"/>
      <c r="H209" s="459" t="str">
        <f t="shared" si="14"/>
        <v>--</v>
      </c>
      <c r="I209" s="451" t="str">
        <f t="shared" si="15"/>
        <v/>
      </c>
      <c r="J209" s="926" t="str">
        <f t="shared" si="16"/>
        <v/>
      </c>
      <c r="K209" s="951" t="str">
        <f t="shared" si="17"/>
        <v/>
      </c>
    </row>
    <row r="210" spans="1:11" x14ac:dyDescent="0.3">
      <c r="A210" s="26"/>
      <c r="B210" s="131" t="str">
        <f t="shared" si="13"/>
        <v>--</v>
      </c>
      <c r="C210" s="129" t="str">
        <f>IF(Table38[[#This Row],[Database]]&lt;&gt;strEmpty,MBXPerDB,"")</f>
        <v/>
      </c>
      <c r="D210" s="185" t="str">
        <f>IF(Table38[[#This Row],[Database]]&lt;&gt;strEmpty,DBSize,"")</f>
        <v/>
      </c>
      <c r="E210" s="185" t="str">
        <f>IF(Table38[[#This Row],[Database]]&lt;&gt;strEmpty,DBSizeOverhead,"")</f>
        <v/>
      </c>
      <c r="F210" s="185" t="str">
        <f>IF(Table38[[#This Row],[Database]]&lt;&gt;strEmpty,LogOverheadperDB,"")</f>
        <v/>
      </c>
      <c r="G210" s="132"/>
      <c r="H210" s="458" t="str">
        <f t="shared" si="14"/>
        <v>--</v>
      </c>
      <c r="I210" s="911" t="str">
        <f t="shared" si="15"/>
        <v/>
      </c>
      <c r="J210" s="925" t="str">
        <f t="shared" si="16"/>
        <v/>
      </c>
      <c r="K210" s="950" t="str">
        <f t="shared" si="17"/>
        <v/>
      </c>
    </row>
    <row r="211" spans="1:11" x14ac:dyDescent="0.3">
      <c r="A211" s="26"/>
      <c r="B211" s="131" t="str">
        <f t="shared" si="13"/>
        <v>--</v>
      </c>
      <c r="C211" s="129" t="str">
        <f>IF(Table38[[#This Row],[Database]]&lt;&gt;strEmpty,MBXPerDB,"")</f>
        <v/>
      </c>
      <c r="D211" s="185" t="str">
        <f>IF(Table38[[#This Row],[Database]]&lt;&gt;strEmpty,DBSize,"")</f>
        <v/>
      </c>
      <c r="E211" s="185" t="str">
        <f>IF(Table38[[#This Row],[Database]]&lt;&gt;strEmpty,DBSizeOverhead,"")</f>
        <v/>
      </c>
      <c r="F211" s="185" t="str">
        <f>IF(Table38[[#This Row],[Database]]&lt;&gt;strEmpty,LogOverheadperDB,"")</f>
        <v/>
      </c>
      <c r="G211" s="132"/>
      <c r="H211" s="459" t="str">
        <f t="shared" si="14"/>
        <v>--</v>
      </c>
      <c r="I211" s="451" t="str">
        <f t="shared" si="15"/>
        <v/>
      </c>
      <c r="J211" s="926" t="str">
        <f t="shared" si="16"/>
        <v/>
      </c>
      <c r="K211" s="951" t="str">
        <f t="shared" si="17"/>
        <v/>
      </c>
    </row>
    <row r="212" spans="1:11" x14ac:dyDescent="0.3">
      <c r="A212" s="26"/>
      <c r="B212" s="131" t="str">
        <f t="shared" si="13"/>
        <v>--</v>
      </c>
      <c r="C212" s="129" t="str">
        <f>IF(Table38[[#This Row],[Database]]&lt;&gt;strEmpty,MBXPerDB,"")</f>
        <v/>
      </c>
      <c r="D212" s="185" t="str">
        <f>IF(Table38[[#This Row],[Database]]&lt;&gt;strEmpty,DBSize,"")</f>
        <v/>
      </c>
      <c r="E212" s="185" t="str">
        <f>IF(Table38[[#This Row],[Database]]&lt;&gt;strEmpty,DBSizeOverhead,"")</f>
        <v/>
      </c>
      <c r="F212" s="185" t="str">
        <f>IF(Table38[[#This Row],[Database]]&lt;&gt;strEmpty,LogOverheadperDB,"")</f>
        <v/>
      </c>
      <c r="G212" s="132"/>
      <c r="H212" s="458" t="str">
        <f t="shared" si="14"/>
        <v>--</v>
      </c>
      <c r="I212" s="911" t="str">
        <f t="shared" si="15"/>
        <v/>
      </c>
      <c r="J212" s="925" t="str">
        <f t="shared" si="16"/>
        <v/>
      </c>
      <c r="K212" s="950" t="str">
        <f t="shared" si="17"/>
        <v/>
      </c>
    </row>
    <row r="213" spans="1:11" x14ac:dyDescent="0.3">
      <c r="A213" s="26"/>
      <c r="B213" s="131" t="str">
        <f t="shared" si="13"/>
        <v>--</v>
      </c>
      <c r="C213" s="129" t="str">
        <f>IF(Table38[[#This Row],[Database]]&lt;&gt;strEmpty,MBXPerDB,"")</f>
        <v/>
      </c>
      <c r="D213" s="185" t="str">
        <f>IF(Table38[[#This Row],[Database]]&lt;&gt;strEmpty,DBSize,"")</f>
        <v/>
      </c>
      <c r="E213" s="185" t="str">
        <f>IF(Table38[[#This Row],[Database]]&lt;&gt;strEmpty,DBSizeOverhead,"")</f>
        <v/>
      </c>
      <c r="F213" s="185" t="str">
        <f>IF(Table38[[#This Row],[Database]]&lt;&gt;strEmpty,LogOverheadperDB,"")</f>
        <v/>
      </c>
      <c r="G213" s="132"/>
      <c r="H213" s="459" t="str">
        <f t="shared" si="14"/>
        <v>--</v>
      </c>
      <c r="I213" s="451" t="str">
        <f t="shared" si="15"/>
        <v/>
      </c>
      <c r="J213" s="926" t="str">
        <f t="shared" si="16"/>
        <v/>
      </c>
      <c r="K213" s="951" t="str">
        <f t="shared" si="17"/>
        <v/>
      </c>
    </row>
    <row r="214" spans="1:11" x14ac:dyDescent="0.3">
      <c r="A214" s="26"/>
      <c r="B214" s="131" t="str">
        <f t="shared" si="13"/>
        <v>--</v>
      </c>
      <c r="C214" s="129" t="str">
        <f>IF(Table38[[#This Row],[Database]]&lt;&gt;strEmpty,MBXPerDB,"")</f>
        <v/>
      </c>
      <c r="D214" s="185" t="str">
        <f>IF(Table38[[#This Row],[Database]]&lt;&gt;strEmpty,DBSize,"")</f>
        <v/>
      </c>
      <c r="E214" s="185" t="str">
        <f>IF(Table38[[#This Row],[Database]]&lt;&gt;strEmpty,DBSizeOverhead,"")</f>
        <v/>
      </c>
      <c r="F214" s="185" t="str">
        <f>IF(Table38[[#This Row],[Database]]&lt;&gt;strEmpty,LogOverheadperDB,"")</f>
        <v/>
      </c>
      <c r="G214" s="132"/>
      <c r="H214" s="458" t="str">
        <f t="shared" si="14"/>
        <v>--</v>
      </c>
      <c r="I214" s="911" t="str">
        <f t="shared" si="15"/>
        <v/>
      </c>
      <c r="J214" s="925" t="str">
        <f t="shared" si="16"/>
        <v/>
      </c>
      <c r="K214" s="950" t="str">
        <f t="shared" si="17"/>
        <v/>
      </c>
    </row>
    <row r="215" spans="1:11" x14ac:dyDescent="0.3">
      <c r="A215" s="26"/>
      <c r="B215" s="131" t="str">
        <f t="shared" si="13"/>
        <v>--</v>
      </c>
      <c r="C215" s="129" t="str">
        <f>IF(Table38[[#This Row],[Database]]&lt;&gt;strEmpty,MBXPerDB,"")</f>
        <v/>
      </c>
      <c r="D215" s="185" t="str">
        <f>IF(Table38[[#This Row],[Database]]&lt;&gt;strEmpty,DBSize,"")</f>
        <v/>
      </c>
      <c r="E215" s="185" t="str">
        <f>IF(Table38[[#This Row],[Database]]&lt;&gt;strEmpty,DBSizeOverhead,"")</f>
        <v/>
      </c>
      <c r="F215" s="185" t="str">
        <f>IF(Table38[[#This Row],[Database]]&lt;&gt;strEmpty,LogOverheadperDB,"")</f>
        <v/>
      </c>
      <c r="G215" s="132"/>
      <c r="H215" s="459" t="str">
        <f t="shared" si="14"/>
        <v>--</v>
      </c>
      <c r="I215" s="451" t="str">
        <f t="shared" si="15"/>
        <v/>
      </c>
      <c r="J215" s="926" t="str">
        <f t="shared" si="16"/>
        <v/>
      </c>
      <c r="K215" s="951" t="str">
        <f t="shared" si="17"/>
        <v/>
      </c>
    </row>
    <row r="216" spans="1:11" x14ac:dyDescent="0.3">
      <c r="A216" s="26"/>
      <c r="B216" s="131" t="str">
        <f t="shared" si="13"/>
        <v>--</v>
      </c>
      <c r="C216" s="129" t="str">
        <f>IF(Table38[[#This Row],[Database]]&lt;&gt;strEmpty,MBXPerDB,"")</f>
        <v/>
      </c>
      <c r="D216" s="185" t="str">
        <f>IF(Table38[[#This Row],[Database]]&lt;&gt;strEmpty,DBSize,"")</f>
        <v/>
      </c>
      <c r="E216" s="185" t="str">
        <f>IF(Table38[[#This Row],[Database]]&lt;&gt;strEmpty,DBSizeOverhead,"")</f>
        <v/>
      </c>
      <c r="F216" s="185" t="str">
        <f>IF(Table38[[#This Row],[Database]]&lt;&gt;strEmpty,LogOverheadperDB,"")</f>
        <v/>
      </c>
      <c r="G216" s="132"/>
      <c r="H216" s="458" t="str">
        <f t="shared" si="14"/>
        <v>--</v>
      </c>
      <c r="I216" s="911" t="str">
        <f t="shared" si="15"/>
        <v/>
      </c>
      <c r="J216" s="925" t="str">
        <f t="shared" si="16"/>
        <v/>
      </c>
      <c r="K216" s="950" t="str">
        <f t="shared" si="17"/>
        <v/>
      </c>
    </row>
    <row r="217" spans="1:11" x14ac:dyDescent="0.3">
      <c r="A217" s="26"/>
      <c r="B217" s="131" t="str">
        <f t="shared" si="13"/>
        <v>--</v>
      </c>
      <c r="C217" s="129" t="str">
        <f>IF(Table38[[#This Row],[Database]]&lt;&gt;strEmpty,MBXPerDB,"")</f>
        <v/>
      </c>
      <c r="D217" s="185" t="str">
        <f>IF(Table38[[#This Row],[Database]]&lt;&gt;strEmpty,DBSize,"")</f>
        <v/>
      </c>
      <c r="E217" s="185" t="str">
        <f>IF(Table38[[#This Row],[Database]]&lt;&gt;strEmpty,DBSizeOverhead,"")</f>
        <v/>
      </c>
      <c r="F217" s="185" t="str">
        <f>IF(Table38[[#This Row],[Database]]&lt;&gt;strEmpty,LogOverheadperDB,"")</f>
        <v/>
      </c>
      <c r="G217" s="132"/>
      <c r="H217" s="459" t="str">
        <f t="shared" si="14"/>
        <v>--</v>
      </c>
      <c r="I217" s="451" t="str">
        <f t="shared" si="15"/>
        <v/>
      </c>
      <c r="J217" s="926" t="str">
        <f t="shared" si="16"/>
        <v/>
      </c>
      <c r="K217" s="951" t="str">
        <f t="shared" si="17"/>
        <v/>
      </c>
    </row>
    <row r="218" spans="1:11" x14ac:dyDescent="0.3">
      <c r="A218" s="26"/>
      <c r="B218" s="131" t="str">
        <f t="shared" si="13"/>
        <v>--</v>
      </c>
      <c r="C218" s="129" t="str">
        <f>IF(Table38[[#This Row],[Database]]&lt;&gt;strEmpty,MBXPerDB,"")</f>
        <v/>
      </c>
      <c r="D218" s="185" t="str">
        <f>IF(Table38[[#This Row],[Database]]&lt;&gt;strEmpty,DBSize,"")</f>
        <v/>
      </c>
      <c r="E218" s="185" t="str">
        <f>IF(Table38[[#This Row],[Database]]&lt;&gt;strEmpty,DBSizeOverhead,"")</f>
        <v/>
      </c>
      <c r="F218" s="185" t="str">
        <f>IF(Table38[[#This Row],[Database]]&lt;&gt;strEmpty,LogOverheadperDB,"")</f>
        <v/>
      </c>
      <c r="G218" s="132"/>
      <c r="H218" s="458" t="str">
        <f t="shared" si="14"/>
        <v>--</v>
      </c>
      <c r="I218" s="911" t="str">
        <f t="shared" si="15"/>
        <v/>
      </c>
      <c r="J218" s="925" t="str">
        <f t="shared" si="16"/>
        <v/>
      </c>
      <c r="K218" s="950" t="str">
        <f t="shared" si="17"/>
        <v/>
      </c>
    </row>
    <row r="219" spans="1:11" x14ac:dyDescent="0.3">
      <c r="A219" s="26"/>
      <c r="B219" s="131" t="str">
        <f t="shared" ref="B219:B222" si="18">IF(SUMIF($B$6:$B$105,B102,$B$6:$B$105),B102,strEmpty)</f>
        <v>--</v>
      </c>
      <c r="C219" s="129" t="str">
        <f>IF(Table38[[#This Row],[Database]]&lt;&gt;strEmpty,MBXPerDB,"")</f>
        <v/>
      </c>
      <c r="D219" s="185" t="str">
        <f>IF(Table38[[#This Row],[Database]]&lt;&gt;strEmpty,DBSize,"")</f>
        <v/>
      </c>
      <c r="E219" s="185" t="str">
        <f>IF(Table38[[#This Row],[Database]]&lt;&gt;strEmpty,DBSizeOverhead,"")</f>
        <v/>
      </c>
      <c r="F219" s="185" t="str">
        <f>IF(Table38[[#This Row],[Database]]&lt;&gt;strEmpty,LogOverheadperDB,"")</f>
        <v/>
      </c>
      <c r="G219" s="132"/>
      <c r="H219" s="459" t="str">
        <f t="shared" si="14"/>
        <v>--</v>
      </c>
      <c r="I219" s="451" t="str">
        <f t="shared" ref="I219:I222" si="19">IF(H219=strEmpty,"",(SUMIF(C$6:C$105,D102,E$123:E$222)+IF(OR(VolArchitecture=INDEX(varVolumeArchitecture,1),VolArchitecture=INDEX(varVolumeArchitecture,4)),SUMIF(C$6:C$105,D102,F$123:F$222),0)))</f>
        <v/>
      </c>
      <c r="J219" s="926" t="str">
        <f t="shared" ref="J219:J222" si="20">IF(OR(VolArchitecture=INDEX(varVolumeArchitecture,1),VolArchitecture=INDEX(varVolumeArchitecture,4)),"",IF(H219=strEmpty,"",SUMIF(C$6:C$105,D102,F$123:F$222)))</f>
        <v/>
      </c>
      <c r="K219" s="951" t="str">
        <f t="shared" si="17"/>
        <v/>
      </c>
    </row>
    <row r="220" spans="1:11" x14ac:dyDescent="0.3">
      <c r="A220" s="26"/>
      <c r="B220" s="131" t="str">
        <f t="shared" si="18"/>
        <v>--</v>
      </c>
      <c r="C220" s="129" t="str">
        <f>IF(Table38[[#This Row],[Database]]&lt;&gt;strEmpty,MBXPerDB,"")</f>
        <v/>
      </c>
      <c r="D220" s="185" t="str">
        <f>IF(Table38[[#This Row],[Database]]&lt;&gt;strEmpty,DBSize,"")</f>
        <v/>
      </c>
      <c r="E220" s="185" t="str">
        <f>IF(Table38[[#This Row],[Database]]&lt;&gt;strEmpty,DBSizeOverhead,"")</f>
        <v/>
      </c>
      <c r="F220" s="185" t="str">
        <f>IF(Table38[[#This Row],[Database]]&lt;&gt;strEmpty,LogOverheadperDB,"")</f>
        <v/>
      </c>
      <c r="G220" s="132"/>
      <c r="H220" s="458" t="str">
        <f t="shared" si="14"/>
        <v>--</v>
      </c>
      <c r="I220" s="911" t="str">
        <f t="shared" si="19"/>
        <v/>
      </c>
      <c r="J220" s="925" t="str">
        <f t="shared" si="20"/>
        <v/>
      </c>
      <c r="K220" s="950" t="str">
        <f t="shared" si="17"/>
        <v/>
      </c>
    </row>
    <row r="221" spans="1:11" x14ac:dyDescent="0.3">
      <c r="A221" s="26"/>
      <c r="B221" s="131" t="str">
        <f t="shared" si="18"/>
        <v>--</v>
      </c>
      <c r="C221" s="129" t="str">
        <f>IF(Table38[[#This Row],[Database]]&lt;&gt;strEmpty,MBXPerDB,"")</f>
        <v/>
      </c>
      <c r="D221" s="185" t="str">
        <f>IF(Table38[[#This Row],[Database]]&lt;&gt;strEmpty,DBSize,"")</f>
        <v/>
      </c>
      <c r="E221" s="185" t="str">
        <f>IF(Table38[[#This Row],[Database]]&lt;&gt;strEmpty,DBSizeOverhead,"")</f>
        <v/>
      </c>
      <c r="F221" s="185" t="str">
        <f>IF(Table38[[#This Row],[Database]]&lt;&gt;strEmpty,LogOverheadperDB,"")</f>
        <v/>
      </c>
      <c r="G221" s="132"/>
      <c r="H221" s="459" t="str">
        <f t="shared" si="14"/>
        <v>--</v>
      </c>
      <c r="I221" s="451" t="str">
        <f t="shared" si="19"/>
        <v/>
      </c>
      <c r="J221" s="926" t="str">
        <f t="shared" si="20"/>
        <v/>
      </c>
      <c r="K221" s="951" t="str">
        <f t="shared" si="17"/>
        <v/>
      </c>
    </row>
    <row r="222" spans="1:11" x14ac:dyDescent="0.3">
      <c r="A222" s="26"/>
      <c r="B222" s="131" t="str">
        <f t="shared" si="18"/>
        <v>--</v>
      </c>
      <c r="C222" s="129" t="str">
        <f>IF(Table38[[#This Row],[Database]]&lt;&gt;strEmpty,MBXPerDB,"")</f>
        <v/>
      </c>
      <c r="D222" s="185" t="str">
        <f>IF(Table38[[#This Row],[Database]]&lt;&gt;strEmpty,DBSize,"")</f>
        <v/>
      </c>
      <c r="E222" s="185" t="str">
        <f>IF(Table38[[#This Row],[Database]]&lt;&gt;strEmpty,DBSizeOverhead,"")</f>
        <v/>
      </c>
      <c r="F222" s="185" t="str">
        <f>IF(Table38[[#This Row],[Database]]&lt;&gt;strEmpty,LogOverheadperDB,"")</f>
        <v/>
      </c>
      <c r="G222" s="132"/>
      <c r="H222" s="952" t="str">
        <f t="shared" si="14"/>
        <v>--</v>
      </c>
      <c r="I222" s="953" t="str">
        <f t="shared" si="19"/>
        <v/>
      </c>
      <c r="J222" s="954" t="str">
        <f t="shared" si="20"/>
        <v/>
      </c>
      <c r="K222" s="955" t="str">
        <f t="shared" si="17"/>
        <v/>
      </c>
    </row>
    <row r="223" spans="1:11" x14ac:dyDescent="0.3">
      <c r="A223" s="26"/>
      <c r="B223" s="316" t="s">
        <v>532</v>
      </c>
      <c r="C223" s="317">
        <f>IF(RecNumDBs&lt;101,SUM(C123:C222)/(numMBXServers*IF(SRModel=INDEX(varSRModel,1),2,1)),_xlfn.CONCAT(strEmpty,"*"))</f>
        <v>0</v>
      </c>
      <c r="D223" s="972">
        <f>IF(RecNumDBs&lt;101,SUM(D123:D222)/(numMBXServers*IF(SRModel=INDEX(varSRModel,1),2,1)),_xlfn.CONCAT(strEmpty,"*"))</f>
        <v>0</v>
      </c>
      <c r="E223" s="972">
        <f>IF(RecNumDBs&lt;101,SUM(E123:E222)/(numMBXServers*IF(SRModel=INDEX(varSRModel,1),2,1)),_xlfn.CONCAT(strEmpty,"*"))</f>
        <v>0</v>
      </c>
      <c r="F223" s="972">
        <f>IF(RecNumDBs&lt;101,SUM(F123:F222)/(numMBXServers*IF(SRModel=INDEX(varSRModel,1),2,1)),_xlfn.CONCAT(strEmpty,"*"))</f>
        <v>0</v>
      </c>
      <c r="G223" s="132"/>
      <c r="H223" s="320" t="s">
        <v>532</v>
      </c>
      <c r="I223" s="321">
        <f>SUM(I123:I222)</f>
        <v>0</v>
      </c>
      <c r="J223" s="927">
        <f>SUM(J123:J222)</f>
        <v>0</v>
      </c>
      <c r="K223" s="927">
        <f>SUM(K123:K222)</f>
        <v>0</v>
      </c>
    </row>
    <row r="224" spans="1:11" x14ac:dyDescent="0.3">
      <c r="A224" s="26"/>
      <c r="B224" s="318" t="s">
        <v>533</v>
      </c>
      <c r="C224" s="317">
        <f>IF(RecNumDBs&lt;101,IF(calcHAOption,C223*(numDAGServersPDC+IF(SRModel=INDEX(varSRModel,1),numDAGServersSDC,0)),strEmpty),_xlfn.CONCAT(strEmpty,"*"))</f>
        <v>0</v>
      </c>
      <c r="D224" s="319">
        <f>IF(RecNumDBs&lt;101,IF(calcHAOption, DBSize*TotNumDBCopiesDAG,strEmpty),_xlfn.CONCAT(strEmpty,"*"))</f>
        <v>0</v>
      </c>
      <c r="E224" s="319">
        <f>IF(RecNumDBs&lt;101,IF(calcHAOption, DBSize*TotNumDBCopiesDAG,strEmpty),_xlfn.CONCAT(strEmpty,"*"))</f>
        <v>0</v>
      </c>
      <c r="F224" s="319">
        <f>IF(RecNumDBs&lt;101,IF(calcHAOption, DBSize*TotNumDBCopiesDAG,strEmpty),_xlfn.CONCAT(strEmpty,"*"))</f>
        <v>0</v>
      </c>
      <c r="G224" s="132"/>
      <c r="H224" s="322" t="s">
        <v>533</v>
      </c>
      <c r="I224" s="323">
        <f>IF(calcHAOption,TotDBVolSpace*TotNumMBXServersinDAG,strEmpty)</f>
        <v>0</v>
      </c>
      <c r="J224" s="927">
        <f>IF(calcHAOption,J223*TotNumMBXServersinDAG,strEmpty)</f>
        <v>0</v>
      </c>
      <c r="K224" s="927">
        <f>IF(calcHAOption,K223*TotNumMBXServersinDAG,strEmpty)</f>
        <v>0</v>
      </c>
    </row>
    <row r="225" spans="1:11" x14ac:dyDescent="0.3">
      <c r="A225" s="26"/>
      <c r="B225" s="318" t="s">
        <v>534</v>
      </c>
      <c r="C225" s="317">
        <f>IF(RecNumDBs&lt;101,IF(calcHAOption,C224*numDAGs,C223*numMBXServers),_xlfn.CONCAT(strEmpty,"*"))</f>
        <v>0</v>
      </c>
      <c r="D225" s="319">
        <f>IF(RecNumDBs&lt;101,IF(calcHAOption, D224*calcNumDAGs,D223*numMBXServers),_xlfn.CONCAT(strEmpty,"*"))</f>
        <v>0</v>
      </c>
      <c r="E225" s="319">
        <f>IF(RecNumDBs&lt;101,IF(calcHAOption, E224*calcNumDAGs,E223*numMBXServers),_xlfn.CONCAT(strEmpty,"*"))</f>
        <v>0</v>
      </c>
      <c r="F225" s="319">
        <f>IF(RecNumDBs&lt;101,IF(calcHAOption, F224*calcNumDAGs,F223*numMBXServers),_xlfn.CONCAT(strEmpty,"*"))</f>
        <v>0</v>
      </c>
      <c r="G225" s="132"/>
      <c r="H225" s="320" t="s">
        <v>534</v>
      </c>
      <c r="I225" s="449">
        <f>IF(calcHAOption,TotDBVolSpaceDAG*numDAGsEnv,TotDBVolSpace*numMBXServers)</f>
        <v>0</v>
      </c>
      <c r="J225" s="928">
        <f>IF(calcHAOption,TotLogVolSpace*numDAGsEnv,TotLogVolSpace*numMBXServers)</f>
        <v>0</v>
      </c>
      <c r="K225" s="927">
        <f>IF(calcHAOption,K224*numDAGsEnv,K223*numMBXServers)</f>
        <v>0</v>
      </c>
    </row>
    <row r="226" spans="1:11" ht="15" thickBot="1" x14ac:dyDescent="0.35">
      <c r="A226" s="26"/>
      <c r="B226" s="102" t="str">
        <f>IF(RecNumDBs&gt;100,_xlfn.CONCAT("*",INDEX(strTable,59,2)),"")</f>
        <v/>
      </c>
      <c r="C226" s="102"/>
      <c r="D226" s="102"/>
      <c r="E226" s="102"/>
      <c r="F226" s="102"/>
      <c r="G226" s="102"/>
      <c r="H226" s="102"/>
      <c r="I226" s="102"/>
      <c r="J226" s="443"/>
      <c r="K226" s="133"/>
    </row>
    <row r="231" spans="1:11" x14ac:dyDescent="0.3">
      <c r="G231" s="980"/>
    </row>
  </sheetData>
  <mergeCells count="14">
    <mergeCell ref="B112:E112"/>
    <mergeCell ref="H114:I118"/>
    <mergeCell ref="H121:K121"/>
    <mergeCell ref="B121:F121"/>
    <mergeCell ref="B1:K1"/>
    <mergeCell ref="B107:K107"/>
    <mergeCell ref="B3:K3"/>
    <mergeCell ref="B114:D114"/>
    <mergeCell ref="B115:D115"/>
    <mergeCell ref="B116:D116"/>
    <mergeCell ref="B118:D118"/>
    <mergeCell ref="B119:D119"/>
    <mergeCell ref="B113:D113"/>
    <mergeCell ref="B117:D117"/>
  </mergeCells>
  <phoneticPr fontId="24" type="noConversion"/>
  <conditionalFormatting sqref="H114:I118">
    <cfRule type="expression" dxfId="556" priority="1">
      <formula>IF(HAOption="Yes",TRUE,FALSE)</formula>
    </cfRule>
  </conditionalFormatting>
  <pageMargins left="0.75" right="0.75" top="1" bottom="1" header="0.5" footer="0.5"/>
  <pageSetup scale="33" orientation="portrait" r:id="rId1"/>
  <headerFooter alignWithMargins="0"/>
  <colBreaks count="1" manualBreakCount="1">
    <brk id="11" max="1048575" man="1"/>
  </colBreaks>
  <legacyDrawing r:id="rId2"/>
  <tableParts count="6">
    <tablePart r:id="rId3"/>
    <tablePart r:id="rId4"/>
    <tablePart r:id="rId5"/>
    <tablePart r:id="rId6"/>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L133"/>
  <sheetViews>
    <sheetView showGridLines="0" showRowColHeaders="0" zoomScale="85" zoomScaleNormal="85" workbookViewId="0">
      <selection activeCell="B1" sqref="B1:K1"/>
    </sheetView>
  </sheetViews>
  <sheetFormatPr defaultColWidth="9" defaultRowHeight="14.5" outlineLevelRow="1" x14ac:dyDescent="0.3"/>
  <cols>
    <col min="1" max="1" width="3.3984375" style="21" customWidth="1"/>
    <col min="2" max="2" width="33.59765625" style="21" customWidth="1"/>
    <col min="3" max="3" width="19.8984375" style="21" customWidth="1"/>
    <col min="4" max="4" width="13.59765625" style="21" bestFit="1" customWidth="1"/>
    <col min="5" max="5" width="15" style="21" bestFit="1" customWidth="1"/>
    <col min="6" max="6" width="13.59765625" style="21" bestFit="1" customWidth="1"/>
    <col min="7" max="7" width="12.09765625" style="21" bestFit="1" customWidth="1"/>
    <col min="8" max="9" width="13.59765625" style="21" bestFit="1" customWidth="1"/>
    <col min="10" max="10" width="7.59765625" style="21" bestFit="1" customWidth="1"/>
    <col min="11" max="16384" width="9" style="21"/>
  </cols>
  <sheetData>
    <row r="1" spans="1:12" x14ac:dyDescent="0.3">
      <c r="B1" s="1109" t="str">
        <f>VLOOKUP(47,strTable,2,FALSE)</f>
        <v>Note 1: Do not make any changes to this sheet.  This sheet is only used for calculation purposes.</v>
      </c>
      <c r="C1" s="1110"/>
      <c r="D1" s="1110"/>
      <c r="E1" s="1110"/>
      <c r="F1" s="1110"/>
      <c r="G1" s="1110"/>
      <c r="H1" s="1110"/>
      <c r="I1" s="1110"/>
      <c r="J1" s="1110"/>
      <c r="K1" s="1111"/>
    </row>
    <row r="2" spans="1:12" x14ac:dyDescent="0.3">
      <c r="B2" s="36"/>
      <c r="C2" s="20"/>
      <c r="D2" s="20"/>
      <c r="E2" s="20"/>
      <c r="F2" s="20"/>
      <c r="G2" s="20"/>
      <c r="H2" s="20"/>
      <c r="I2" s="20"/>
      <c r="K2" s="26"/>
    </row>
    <row r="3" spans="1:12" x14ac:dyDescent="0.3">
      <c r="B3" s="1124" t="s">
        <v>88</v>
      </c>
      <c r="C3" s="1093"/>
      <c r="D3" s="1093"/>
      <c r="E3" s="1093"/>
      <c r="F3" s="1093"/>
      <c r="G3" s="1093"/>
      <c r="H3" s="1093"/>
      <c r="I3" s="1093"/>
      <c r="J3" s="1093"/>
      <c r="K3" s="1093"/>
      <c r="L3" s="25"/>
    </row>
    <row r="4" spans="1:12" customFormat="1" ht="12.75" hidden="1" customHeight="1" outlineLevel="1" x14ac:dyDescent="0.3">
      <c r="A4" s="176"/>
      <c r="K4" s="176"/>
    </row>
    <row r="5" spans="1:12" collapsed="1" x14ac:dyDescent="0.35">
      <c r="A5" s="26"/>
      <c r="B5" s="58"/>
      <c r="C5" s="19"/>
      <c r="D5" s="19"/>
      <c r="E5" s="19"/>
      <c r="F5" s="19"/>
      <c r="G5" s="40"/>
      <c r="H5" s="40"/>
      <c r="I5" s="40"/>
      <c r="J5" s="40"/>
      <c r="K5" s="58"/>
      <c r="L5" s="25"/>
    </row>
    <row r="6" spans="1:12" x14ac:dyDescent="0.3">
      <c r="A6" s="26"/>
      <c r="B6" s="1125" t="s">
        <v>489</v>
      </c>
      <c r="C6" s="1094"/>
      <c r="D6" s="1094"/>
      <c r="E6" s="1094"/>
      <c r="F6" s="1094"/>
      <c r="G6" s="1094"/>
      <c r="H6" s="1094"/>
      <c r="I6" s="1094"/>
      <c r="J6" s="1094"/>
      <c r="K6" s="1112"/>
    </row>
    <row r="7" spans="1:12" x14ac:dyDescent="0.35">
      <c r="A7" s="26"/>
      <c r="B7" s="136"/>
      <c r="C7" s="37"/>
      <c r="D7" s="38"/>
      <c r="E7" s="38"/>
      <c r="F7" s="139"/>
      <c r="K7" s="26"/>
    </row>
    <row r="8" spans="1:12" ht="15.75" customHeight="1" thickBot="1" x14ac:dyDescent="0.4">
      <c r="A8" s="26"/>
      <c r="B8" s="1133" t="s">
        <v>12</v>
      </c>
      <c r="C8" s="1105"/>
      <c r="D8" s="1105"/>
      <c r="E8" s="38"/>
      <c r="F8" s="1087" t="s">
        <v>2092</v>
      </c>
      <c r="G8" s="1087"/>
      <c r="H8" s="1087"/>
      <c r="I8" s="1087"/>
      <c r="J8" s="1087"/>
      <c r="K8" s="26"/>
    </row>
    <row r="9" spans="1:12" x14ac:dyDescent="0.35">
      <c r="A9" s="26"/>
      <c r="B9" s="455" t="s">
        <v>806</v>
      </c>
      <c r="C9" s="1127">
        <f>IF(NOT(ValidationCheck),NumDBPerVol,"--")</f>
        <v>4</v>
      </c>
      <c r="D9" s="1128"/>
      <c r="E9" s="38"/>
      <c r="F9" s="1087"/>
      <c r="G9" s="1087"/>
      <c r="H9" s="1087"/>
      <c r="I9" s="1087"/>
      <c r="J9" s="1087"/>
      <c r="K9" s="26"/>
    </row>
    <row r="10" spans="1:12" x14ac:dyDescent="0.35">
      <c r="A10" s="26"/>
      <c r="B10" s="172" t="s">
        <v>18</v>
      </c>
      <c r="C10" s="1129" t="str">
        <f>IF(NOT(ValidationCheck),BackupMethod,"--")</f>
        <v>Exchange Native Data Protection</v>
      </c>
      <c r="D10" s="1130"/>
      <c r="E10" s="38"/>
      <c r="F10" s="1087"/>
      <c r="G10" s="1087"/>
      <c r="H10" s="1087"/>
      <c r="I10" s="1087"/>
      <c r="J10" s="1087"/>
      <c r="K10" s="26"/>
    </row>
    <row r="11" spans="1:12" x14ac:dyDescent="0.35">
      <c r="A11" s="26"/>
      <c r="B11" s="173" t="s">
        <v>23</v>
      </c>
      <c r="C11" s="1131" t="str">
        <f>IF(NOT(ValidationCheck),IF(BackupMethod="Exchange Native Data Protection","--",BackupFreq),"--")</f>
        <v>--</v>
      </c>
      <c r="D11" s="1132"/>
      <c r="E11" s="38"/>
      <c r="F11" s="1087"/>
      <c r="G11" s="1087"/>
      <c r="H11" s="1087"/>
      <c r="I11" s="1087"/>
      <c r="J11" s="1087"/>
      <c r="K11" s="26"/>
    </row>
    <row r="12" spans="1:12" x14ac:dyDescent="0.35">
      <c r="A12" s="26"/>
      <c r="B12"/>
      <c r="C12"/>
      <c r="D12" s="38"/>
      <c r="E12" s="38"/>
      <c r="F12" s="139"/>
      <c r="G12" s="35"/>
      <c r="H12" s="35"/>
      <c r="I12" s="35"/>
      <c r="K12" s="26"/>
    </row>
    <row r="13" spans="1:12" x14ac:dyDescent="0.35">
      <c r="B13" s="1107" t="s">
        <v>490</v>
      </c>
      <c r="C13" s="1126"/>
      <c r="D13" s="1126"/>
      <c r="E13" s="1126"/>
      <c r="F13" s="1126"/>
      <c r="G13" s="1126"/>
      <c r="H13" s="1126"/>
      <c r="I13" s="1126"/>
      <c r="K13" s="26"/>
    </row>
    <row r="14" spans="1:12" x14ac:dyDescent="0.3">
      <c r="B14" s="138" t="s">
        <v>200</v>
      </c>
      <c r="C14" s="128" t="s">
        <v>81</v>
      </c>
      <c r="D14" s="128" t="s">
        <v>82</v>
      </c>
      <c r="E14" s="128" t="s">
        <v>83</v>
      </c>
      <c r="F14" s="128" t="s">
        <v>87</v>
      </c>
      <c r="G14" s="128" t="s">
        <v>84</v>
      </c>
      <c r="H14" s="128" t="s">
        <v>85</v>
      </c>
      <c r="I14" s="128" t="s">
        <v>86</v>
      </c>
      <c r="K14" s="26"/>
    </row>
    <row r="15" spans="1:12" x14ac:dyDescent="0.3">
      <c r="A15" s="26"/>
      <c r="B15" s="131" t="str">
        <f>IF(NOT(ValidationCheck),IF(BackupMethod="Exchange Native Data Protection","--",1),"--")</f>
        <v>--</v>
      </c>
      <c r="C15" s="129"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129" t="str">
        <f t="shared" ref="D15:I15" si="0">IF($B15="--","--",IF(BackupFreq="Daily Full","Full",IF(BackupFreq="Weekly Full / Daily Incremental","Incremental","Differential")))</f>
        <v>--</v>
      </c>
      <c r="E15" s="129" t="str">
        <f t="shared" si="0"/>
        <v>--</v>
      </c>
      <c r="F15" s="129" t="str">
        <f>IF($B15="--","--",IF(BackupFreq="Daily Full","Full",IF(BackupFreq="Weekly Full / Daily Incremental","Incremental","Differential")))</f>
        <v>--</v>
      </c>
      <c r="G15" s="129" t="str">
        <f t="shared" si="0"/>
        <v>--</v>
      </c>
      <c r="H15" s="129" t="str">
        <f t="shared" si="0"/>
        <v>--</v>
      </c>
      <c r="I15" s="129" t="str">
        <f t="shared" si="0"/>
        <v>--</v>
      </c>
      <c r="K15" s="26"/>
    </row>
    <row r="16" spans="1:12" x14ac:dyDescent="0.3">
      <c r="A16" s="26"/>
      <c r="B16" s="131" t="str">
        <f>IF(BackupMethod="Exchange Native Data Protection","--",IF(TotNumDBCopiesServer&gt;COUNTA(B$15:B15),B15+1,"--"))</f>
        <v>--</v>
      </c>
      <c r="C16" s="129"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129" t="str">
        <f t="shared" ref="D16:D47" si="1">IF($B16="--","--",IF(BackupFreq="Daily Full","Full",IF(AND($C15="Full",ROW(D16)&lt;&gt;ROW($C15)),"Full",IF(BackupFreq="Weekly Full / Daily Incremental","Incremental","Differential"))))</f>
        <v>--</v>
      </c>
      <c r="E16" s="129" t="str">
        <f t="shared" ref="E16:E47" si="2">IF($B16="--","--",IF(BackupFreq="Daily Full","Full",IF(AND(D16="Full",ROW(E16)=ROW(D16)),IF(BackupFreq="Weekly Full / Daily Incremental","Incremental","Differential"),IF(AND($D15="Full",ROW(E16)&lt;&gt;ROW($D15)),"Full",IF(BackupFreq="Weekly Full / Daily Incremental","Incremental","Differential")))))</f>
        <v>--</v>
      </c>
      <c r="F16" s="129"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129"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129"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129"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K16" s="26"/>
    </row>
    <row r="17" spans="1:11" x14ac:dyDescent="0.3">
      <c r="A17" s="26"/>
      <c r="B17" s="131" t="str">
        <f>IF(BackupMethod="Exchange Native Data Protection","--",IF(TotNumDBCopiesServer&gt;COUNTA(B$15:B16),B16+1,"--"))</f>
        <v>--</v>
      </c>
      <c r="C17" s="129"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129" t="str">
        <f t="shared" si="1"/>
        <v>--</v>
      </c>
      <c r="E17" s="129" t="str">
        <f t="shared" si="2"/>
        <v>--</v>
      </c>
      <c r="F17" s="129" t="str">
        <f t="shared" si="3"/>
        <v>--</v>
      </c>
      <c r="G17" s="129" t="str">
        <f t="shared" si="4"/>
        <v>--</v>
      </c>
      <c r="H17" s="129" t="str">
        <f t="shared" si="5"/>
        <v>--</v>
      </c>
      <c r="I17" s="129" t="str">
        <f t="shared" si="6"/>
        <v>--</v>
      </c>
      <c r="K17" s="26"/>
    </row>
    <row r="18" spans="1:11" x14ac:dyDescent="0.3">
      <c r="A18" s="26"/>
      <c r="B18" s="131" t="str">
        <f>IF(BackupMethod="Exchange Native Data Protection","--",IF(TotNumDBCopiesServer&gt;COUNTA(B$15:B17),B17+1,"--"))</f>
        <v>--</v>
      </c>
      <c r="C18" s="129"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129" t="str">
        <f t="shared" si="1"/>
        <v>--</v>
      </c>
      <c r="E18" s="129" t="str">
        <f t="shared" si="2"/>
        <v>--</v>
      </c>
      <c r="F18" s="129" t="str">
        <f t="shared" si="3"/>
        <v>--</v>
      </c>
      <c r="G18" s="129" t="str">
        <f t="shared" si="4"/>
        <v>--</v>
      </c>
      <c r="H18" s="129" t="str">
        <f t="shared" si="5"/>
        <v>--</v>
      </c>
      <c r="I18" s="129" t="str">
        <f t="shared" si="6"/>
        <v>--</v>
      </c>
      <c r="K18" s="26"/>
    </row>
    <row r="19" spans="1:11" x14ac:dyDescent="0.3">
      <c r="A19" s="26"/>
      <c r="B19" s="131" t="str">
        <f>IF(BackupMethod="Exchange Native Data Protection","--",IF(TotNumDBCopiesServer&gt;COUNTA(B$15:B18),B18+1,"--"))</f>
        <v>--</v>
      </c>
      <c r="C19" s="129"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129" t="str">
        <f t="shared" si="1"/>
        <v>--</v>
      </c>
      <c r="E19" s="129" t="str">
        <f t="shared" si="2"/>
        <v>--</v>
      </c>
      <c r="F19" s="129" t="str">
        <f t="shared" si="3"/>
        <v>--</v>
      </c>
      <c r="G19" s="129" t="str">
        <f t="shared" si="4"/>
        <v>--</v>
      </c>
      <c r="H19" s="129" t="str">
        <f t="shared" si="5"/>
        <v>--</v>
      </c>
      <c r="I19" s="129" t="str">
        <f t="shared" si="6"/>
        <v>--</v>
      </c>
      <c r="K19" s="26"/>
    </row>
    <row r="20" spans="1:11" x14ac:dyDescent="0.3">
      <c r="A20" s="26"/>
      <c r="B20" s="131" t="str">
        <f>IF(BackupMethod="Exchange Native Data Protection","--",IF(TotNumDBCopiesServer&gt;COUNTA(B$15:B19),B19+1,"--"))</f>
        <v>--</v>
      </c>
      <c r="C20" s="129" t="str">
        <f t="shared" si="7"/>
        <v>--</v>
      </c>
      <c r="D20" s="129" t="str">
        <f t="shared" si="1"/>
        <v>--</v>
      </c>
      <c r="E20" s="129" t="str">
        <f t="shared" si="2"/>
        <v>--</v>
      </c>
      <c r="F20" s="129" t="str">
        <f t="shared" si="3"/>
        <v>--</v>
      </c>
      <c r="G20" s="129" t="str">
        <f t="shared" si="4"/>
        <v>--</v>
      </c>
      <c r="H20" s="129" t="str">
        <f t="shared" si="5"/>
        <v>--</v>
      </c>
      <c r="I20" s="129" t="str">
        <f t="shared" si="6"/>
        <v>--</v>
      </c>
      <c r="K20" s="26"/>
    </row>
    <row r="21" spans="1:11" x14ac:dyDescent="0.3">
      <c r="A21" s="26"/>
      <c r="B21" s="131" t="str">
        <f>IF(BackupMethod="Exchange Native Data Protection","--",IF(TotNumDBCopiesServer&gt;COUNTA(B$15:B20),B20+1,"--"))</f>
        <v>--</v>
      </c>
      <c r="C21" s="129" t="str">
        <f t="shared" si="7"/>
        <v>--</v>
      </c>
      <c r="D21" s="129" t="str">
        <f t="shared" si="1"/>
        <v>--</v>
      </c>
      <c r="E21" s="129" t="str">
        <f t="shared" si="2"/>
        <v>--</v>
      </c>
      <c r="F21" s="129" t="str">
        <f t="shared" si="3"/>
        <v>--</v>
      </c>
      <c r="G21" s="129" t="str">
        <f t="shared" si="4"/>
        <v>--</v>
      </c>
      <c r="H21" s="129" t="str">
        <f t="shared" si="5"/>
        <v>--</v>
      </c>
      <c r="I21" s="129" t="str">
        <f t="shared" si="6"/>
        <v>--</v>
      </c>
      <c r="K21" s="26"/>
    </row>
    <row r="22" spans="1:11" x14ac:dyDescent="0.3">
      <c r="A22" s="26"/>
      <c r="B22" s="131" t="str">
        <f>IF(BackupMethod="Exchange Native Data Protection","--",IF(TotNumDBCopiesServer&gt;COUNTA(B$15:B21),B21+1,"--"))</f>
        <v>--</v>
      </c>
      <c r="C22" s="129"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129" t="str">
        <f t="shared" si="1"/>
        <v>--</v>
      </c>
      <c r="E22" s="129" t="str">
        <f t="shared" si="2"/>
        <v>--</v>
      </c>
      <c r="F22" s="129" t="str">
        <f t="shared" si="3"/>
        <v>--</v>
      </c>
      <c r="G22" s="129" t="str">
        <f t="shared" si="4"/>
        <v>--</v>
      </c>
      <c r="H22" s="129" t="str">
        <f t="shared" si="5"/>
        <v>--</v>
      </c>
      <c r="I22" s="129" t="str">
        <f t="shared" si="6"/>
        <v>--</v>
      </c>
      <c r="K22" s="26"/>
    </row>
    <row r="23" spans="1:11" x14ac:dyDescent="0.3">
      <c r="A23" s="26"/>
      <c r="B23" s="131" t="str">
        <f>IF(BackupMethod="Exchange Native Data Protection","--",IF(TotNumDBCopiesServer&gt;COUNTA(B$15:B22),B22+1,"--"))</f>
        <v>--</v>
      </c>
      <c r="C23" s="129"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129" t="str">
        <f t="shared" si="1"/>
        <v>--</v>
      </c>
      <c r="E23" s="129" t="str">
        <f t="shared" si="2"/>
        <v>--</v>
      </c>
      <c r="F23" s="129" t="str">
        <f t="shared" si="3"/>
        <v>--</v>
      </c>
      <c r="G23" s="129" t="str">
        <f t="shared" si="4"/>
        <v>--</v>
      </c>
      <c r="H23" s="129" t="str">
        <f t="shared" si="5"/>
        <v>--</v>
      </c>
      <c r="I23" s="129" t="str">
        <f t="shared" si="6"/>
        <v>--</v>
      </c>
      <c r="K23" s="26"/>
    </row>
    <row r="24" spans="1:11" x14ac:dyDescent="0.3">
      <c r="A24" s="26"/>
      <c r="B24" s="131" t="str">
        <f>IF(BackupMethod="Exchange Native Data Protection","--",IF(TotNumDBCopiesServer&gt;COUNTA(B$15:B23),B23+1,"--"))</f>
        <v>--</v>
      </c>
      <c r="C24" s="129" t="str">
        <f t="shared" si="7"/>
        <v>--</v>
      </c>
      <c r="D24" s="129" t="str">
        <f t="shared" si="1"/>
        <v>--</v>
      </c>
      <c r="E24" s="129" t="str">
        <f t="shared" si="2"/>
        <v>--</v>
      </c>
      <c r="F24" s="129" t="str">
        <f t="shared" si="3"/>
        <v>--</v>
      </c>
      <c r="G24" s="129" t="str">
        <f t="shared" si="4"/>
        <v>--</v>
      </c>
      <c r="H24" s="129" t="str">
        <f t="shared" si="5"/>
        <v>--</v>
      </c>
      <c r="I24" s="129" t="str">
        <f t="shared" si="6"/>
        <v>--</v>
      </c>
      <c r="K24" s="26"/>
    </row>
    <row r="25" spans="1:11" x14ac:dyDescent="0.3">
      <c r="A25" s="26"/>
      <c r="B25" s="131" t="str">
        <f>IF(BackupMethod="Exchange Native Data Protection","--",IF(TotNumDBCopiesServer&gt;COUNTA(B$15:B24),B24+1,"--"))</f>
        <v>--</v>
      </c>
      <c r="C25" s="129" t="str">
        <f t="shared" si="7"/>
        <v>--</v>
      </c>
      <c r="D25" s="129" t="str">
        <f t="shared" si="1"/>
        <v>--</v>
      </c>
      <c r="E25" s="129" t="str">
        <f t="shared" si="2"/>
        <v>--</v>
      </c>
      <c r="F25" s="129" t="str">
        <f t="shared" si="3"/>
        <v>--</v>
      </c>
      <c r="G25" s="129" t="str">
        <f t="shared" si="4"/>
        <v>--</v>
      </c>
      <c r="H25" s="129" t="str">
        <f t="shared" si="5"/>
        <v>--</v>
      </c>
      <c r="I25" s="129" t="str">
        <f t="shared" si="6"/>
        <v>--</v>
      </c>
      <c r="K25" s="26"/>
    </row>
    <row r="26" spans="1:11" x14ac:dyDescent="0.3">
      <c r="A26" s="26"/>
      <c r="B26" s="131" t="str">
        <f>IF(BackupMethod="Exchange Native Data Protection","--",IF(TotNumDBCopiesServer&gt;COUNTA(B$15:B25),B25+1,"--"))</f>
        <v>--</v>
      </c>
      <c r="C26" s="129" t="str">
        <f t="shared" si="7"/>
        <v>--</v>
      </c>
      <c r="D26" s="129" t="str">
        <f t="shared" si="1"/>
        <v>--</v>
      </c>
      <c r="E26" s="129" t="str">
        <f t="shared" si="2"/>
        <v>--</v>
      </c>
      <c r="F26" s="129" t="str">
        <f t="shared" si="3"/>
        <v>--</v>
      </c>
      <c r="G26" s="129" t="str">
        <f t="shared" si="4"/>
        <v>--</v>
      </c>
      <c r="H26" s="129" t="str">
        <f t="shared" si="5"/>
        <v>--</v>
      </c>
      <c r="I26" s="129" t="str">
        <f t="shared" si="6"/>
        <v>--</v>
      </c>
      <c r="K26" s="26"/>
    </row>
    <row r="27" spans="1:11" x14ac:dyDescent="0.3">
      <c r="A27" s="26"/>
      <c r="B27" s="131" t="str">
        <f>IF(BackupMethod="Exchange Native Data Protection","--",IF(TotNumDBCopiesServer&gt;COUNTA(B$15:B26),B26+1,"--"))</f>
        <v>--</v>
      </c>
      <c r="C27" s="129" t="str">
        <f t="shared" si="7"/>
        <v>--</v>
      </c>
      <c r="D27" s="129" t="str">
        <f t="shared" si="1"/>
        <v>--</v>
      </c>
      <c r="E27" s="129" t="str">
        <f t="shared" si="2"/>
        <v>--</v>
      </c>
      <c r="F27" s="129" t="str">
        <f t="shared" si="3"/>
        <v>--</v>
      </c>
      <c r="G27" s="129" t="str">
        <f t="shared" si="4"/>
        <v>--</v>
      </c>
      <c r="H27" s="129" t="str">
        <f t="shared" si="5"/>
        <v>--</v>
      </c>
      <c r="I27" s="129" t="str">
        <f t="shared" si="6"/>
        <v>--</v>
      </c>
      <c r="K27" s="26"/>
    </row>
    <row r="28" spans="1:11" x14ac:dyDescent="0.3">
      <c r="A28" s="26"/>
      <c r="B28" s="131" t="str">
        <f>IF(BackupMethod="Exchange Native Data Protection","--",IF(TotNumDBCopiesServer&gt;COUNTA(B$15:B27),B27+1,"--"))</f>
        <v>--</v>
      </c>
      <c r="C28" s="129" t="str">
        <f t="shared" si="7"/>
        <v>--</v>
      </c>
      <c r="D28" s="129" t="str">
        <f t="shared" si="1"/>
        <v>--</v>
      </c>
      <c r="E28" s="129" t="str">
        <f t="shared" si="2"/>
        <v>--</v>
      </c>
      <c r="F28" s="129" t="str">
        <f t="shared" si="3"/>
        <v>--</v>
      </c>
      <c r="G28" s="129" t="str">
        <f t="shared" si="4"/>
        <v>--</v>
      </c>
      <c r="H28" s="129" t="str">
        <f t="shared" si="5"/>
        <v>--</v>
      </c>
      <c r="I28" s="129" t="str">
        <f t="shared" si="6"/>
        <v>--</v>
      </c>
      <c r="K28" s="26"/>
    </row>
    <row r="29" spans="1:11" x14ac:dyDescent="0.3">
      <c r="A29" s="26"/>
      <c r="B29" s="131" t="str">
        <f>IF(BackupMethod="Exchange Native Data Protection","--",IF(TotNumDBCopiesServer&gt;COUNTA(B$15:B28),B28+1,"--"))</f>
        <v>--</v>
      </c>
      <c r="C29" s="129"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129" t="str">
        <f t="shared" si="1"/>
        <v>--</v>
      </c>
      <c r="E29" s="129" t="str">
        <f t="shared" si="2"/>
        <v>--</v>
      </c>
      <c r="F29" s="129" t="str">
        <f t="shared" si="3"/>
        <v>--</v>
      </c>
      <c r="G29" s="129" t="str">
        <f t="shared" si="4"/>
        <v>--</v>
      </c>
      <c r="H29" s="129" t="str">
        <f t="shared" si="5"/>
        <v>--</v>
      </c>
      <c r="I29" s="129" t="str">
        <f t="shared" si="6"/>
        <v>--</v>
      </c>
      <c r="K29" s="26"/>
    </row>
    <row r="30" spans="1:11" x14ac:dyDescent="0.3">
      <c r="A30" s="26"/>
      <c r="B30" s="131" t="str">
        <f>IF(BackupMethod="Exchange Native Data Protection","--",IF(TotNumDBCopiesServer&gt;COUNTA(B$15:B29),B29+1,"--"))</f>
        <v>--</v>
      </c>
      <c r="C30" s="129"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129" t="str">
        <f t="shared" si="1"/>
        <v>--</v>
      </c>
      <c r="E30" s="129" t="str">
        <f t="shared" si="2"/>
        <v>--</v>
      </c>
      <c r="F30" s="129" t="str">
        <f t="shared" si="3"/>
        <v>--</v>
      </c>
      <c r="G30" s="129" t="str">
        <f t="shared" si="4"/>
        <v>--</v>
      </c>
      <c r="H30" s="129" t="str">
        <f t="shared" si="5"/>
        <v>--</v>
      </c>
      <c r="I30" s="129" t="str">
        <f t="shared" si="6"/>
        <v>--</v>
      </c>
      <c r="K30" s="26"/>
    </row>
    <row r="31" spans="1:11" x14ac:dyDescent="0.3">
      <c r="A31" s="26"/>
      <c r="B31" s="131" t="str">
        <f>IF(BackupMethod="Exchange Native Data Protection","--",IF(TotNumDBCopiesServer&gt;COUNTA(B$15:B30),B30+1,"--"))</f>
        <v>--</v>
      </c>
      <c r="C31" s="129" t="str">
        <f t="shared" si="7"/>
        <v>--</v>
      </c>
      <c r="D31" s="129" t="str">
        <f t="shared" si="1"/>
        <v>--</v>
      </c>
      <c r="E31" s="129" t="str">
        <f t="shared" si="2"/>
        <v>--</v>
      </c>
      <c r="F31" s="129" t="str">
        <f t="shared" si="3"/>
        <v>--</v>
      </c>
      <c r="G31" s="129" t="str">
        <f t="shared" si="4"/>
        <v>--</v>
      </c>
      <c r="H31" s="129" t="str">
        <f t="shared" si="5"/>
        <v>--</v>
      </c>
      <c r="I31" s="129" t="str">
        <f t="shared" si="6"/>
        <v>--</v>
      </c>
      <c r="K31" s="26"/>
    </row>
    <row r="32" spans="1:11" x14ac:dyDescent="0.3">
      <c r="A32" s="26"/>
      <c r="B32" s="131" t="str">
        <f>IF(BackupMethod="Exchange Native Data Protection","--",IF(TotNumDBCopiesServer&gt;COUNTA(B$15:B31),B31+1,"--"))</f>
        <v>--</v>
      </c>
      <c r="C32" s="129" t="str">
        <f t="shared" si="7"/>
        <v>--</v>
      </c>
      <c r="D32" s="129" t="str">
        <f t="shared" si="1"/>
        <v>--</v>
      </c>
      <c r="E32" s="129" t="str">
        <f t="shared" si="2"/>
        <v>--</v>
      </c>
      <c r="F32" s="129" t="str">
        <f t="shared" si="3"/>
        <v>--</v>
      </c>
      <c r="G32" s="129" t="str">
        <f t="shared" si="4"/>
        <v>--</v>
      </c>
      <c r="H32" s="129" t="str">
        <f t="shared" si="5"/>
        <v>--</v>
      </c>
      <c r="I32" s="129" t="str">
        <f t="shared" si="6"/>
        <v>--</v>
      </c>
      <c r="K32" s="26"/>
    </row>
    <row r="33" spans="1:11" x14ac:dyDescent="0.3">
      <c r="A33" s="26"/>
      <c r="B33" s="131" t="str">
        <f>IF(BackupMethod="Exchange Native Data Protection","--",IF(TotNumDBCopiesServer&gt;COUNTA(B$15:B32),B32+1,"--"))</f>
        <v>--</v>
      </c>
      <c r="C33" s="129" t="str">
        <f t="shared" si="7"/>
        <v>--</v>
      </c>
      <c r="D33" s="129" t="str">
        <f t="shared" si="1"/>
        <v>--</v>
      </c>
      <c r="E33" s="129" t="str">
        <f t="shared" si="2"/>
        <v>--</v>
      </c>
      <c r="F33" s="129" t="str">
        <f t="shared" si="3"/>
        <v>--</v>
      </c>
      <c r="G33" s="129" t="str">
        <f t="shared" si="4"/>
        <v>--</v>
      </c>
      <c r="H33" s="129" t="str">
        <f t="shared" si="5"/>
        <v>--</v>
      </c>
      <c r="I33" s="129" t="str">
        <f t="shared" si="6"/>
        <v>--</v>
      </c>
      <c r="K33" s="26"/>
    </row>
    <row r="34" spans="1:11" x14ac:dyDescent="0.3">
      <c r="A34" s="26"/>
      <c r="B34" s="131" t="str">
        <f>IF(BackupMethod="Exchange Native Data Protection","--",IF(TotNumDBCopiesServer&gt;COUNTA(B$15:B33),B33+1,"--"))</f>
        <v>--</v>
      </c>
      <c r="C34" s="129" t="str">
        <f t="shared" si="7"/>
        <v>--</v>
      </c>
      <c r="D34" s="129" t="str">
        <f t="shared" si="1"/>
        <v>--</v>
      </c>
      <c r="E34" s="129" t="str">
        <f t="shared" si="2"/>
        <v>--</v>
      </c>
      <c r="F34" s="129" t="str">
        <f t="shared" si="3"/>
        <v>--</v>
      </c>
      <c r="G34" s="129" t="str">
        <f t="shared" si="4"/>
        <v>--</v>
      </c>
      <c r="H34" s="129" t="str">
        <f t="shared" si="5"/>
        <v>--</v>
      </c>
      <c r="I34" s="129" t="str">
        <f t="shared" si="6"/>
        <v>--</v>
      </c>
      <c r="K34" s="26"/>
    </row>
    <row r="35" spans="1:11" x14ac:dyDescent="0.3">
      <c r="A35" s="26"/>
      <c r="B35" s="131" t="str">
        <f>IF(BackupMethod="Exchange Native Data Protection","--",IF(TotNumDBCopiesServer&gt;COUNTA(B$15:B34),B34+1,"--"))</f>
        <v>--</v>
      </c>
      <c r="C35" s="129" t="str">
        <f t="shared" si="7"/>
        <v>--</v>
      </c>
      <c r="D35" s="129" t="str">
        <f t="shared" si="1"/>
        <v>--</v>
      </c>
      <c r="E35" s="129" t="str">
        <f t="shared" si="2"/>
        <v>--</v>
      </c>
      <c r="F35" s="129" t="str">
        <f t="shared" si="3"/>
        <v>--</v>
      </c>
      <c r="G35" s="129" t="str">
        <f t="shared" si="4"/>
        <v>--</v>
      </c>
      <c r="H35" s="129" t="str">
        <f t="shared" si="5"/>
        <v>--</v>
      </c>
      <c r="I35" s="129" t="str">
        <f t="shared" si="6"/>
        <v>--</v>
      </c>
      <c r="K35" s="26"/>
    </row>
    <row r="36" spans="1:11" x14ac:dyDescent="0.3">
      <c r="A36" s="26"/>
      <c r="B36" s="131" t="str">
        <f>IF(BackupMethod="Exchange Native Data Protection","--",IF(TotNumDBCopiesServer&gt;COUNTA(B$15:B35),B35+1,"--"))</f>
        <v>--</v>
      </c>
      <c r="C36" s="129"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129" t="str">
        <f t="shared" si="1"/>
        <v>--</v>
      </c>
      <c r="E36" s="129" t="str">
        <f t="shared" si="2"/>
        <v>--</v>
      </c>
      <c r="F36" s="129" t="str">
        <f t="shared" si="3"/>
        <v>--</v>
      </c>
      <c r="G36" s="129" t="str">
        <f t="shared" si="4"/>
        <v>--</v>
      </c>
      <c r="H36" s="129" t="str">
        <f t="shared" si="5"/>
        <v>--</v>
      </c>
      <c r="I36" s="129" t="str">
        <f t="shared" si="6"/>
        <v>--</v>
      </c>
      <c r="K36" s="26"/>
    </row>
    <row r="37" spans="1:11" x14ac:dyDescent="0.3">
      <c r="A37" s="26"/>
      <c r="B37" s="131" t="str">
        <f>IF(BackupMethod="Exchange Native Data Protection","--",IF(TotNumDBCopiesServer&gt;COUNTA(B$15:B36),B36+1,"--"))</f>
        <v>--</v>
      </c>
      <c r="C37" s="129"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129" t="str">
        <f t="shared" si="1"/>
        <v>--</v>
      </c>
      <c r="E37" s="129" t="str">
        <f t="shared" si="2"/>
        <v>--</v>
      </c>
      <c r="F37" s="129" t="str">
        <f t="shared" si="3"/>
        <v>--</v>
      </c>
      <c r="G37" s="129" t="str">
        <f t="shared" si="4"/>
        <v>--</v>
      </c>
      <c r="H37" s="129" t="str">
        <f t="shared" si="5"/>
        <v>--</v>
      </c>
      <c r="I37" s="129" t="str">
        <f t="shared" si="6"/>
        <v>--</v>
      </c>
      <c r="K37" s="26"/>
    </row>
    <row r="38" spans="1:11" x14ac:dyDescent="0.3">
      <c r="A38" s="26"/>
      <c r="B38" s="131" t="str">
        <f>IF(BackupMethod="Exchange Native Data Protection","--",IF(TotNumDBCopiesServer&gt;COUNTA(B$15:B37),B37+1,"--"))</f>
        <v>--</v>
      </c>
      <c r="C38" s="129" t="str">
        <f t="shared" si="7"/>
        <v>--</v>
      </c>
      <c r="D38" s="129" t="str">
        <f t="shared" si="1"/>
        <v>--</v>
      </c>
      <c r="E38" s="129" t="str">
        <f t="shared" si="2"/>
        <v>--</v>
      </c>
      <c r="F38" s="129" t="str">
        <f t="shared" si="3"/>
        <v>--</v>
      </c>
      <c r="G38" s="129" t="str">
        <f t="shared" si="4"/>
        <v>--</v>
      </c>
      <c r="H38" s="129" t="str">
        <f t="shared" si="5"/>
        <v>--</v>
      </c>
      <c r="I38" s="129" t="str">
        <f t="shared" si="6"/>
        <v>--</v>
      </c>
      <c r="K38" s="26"/>
    </row>
    <row r="39" spans="1:11" x14ac:dyDescent="0.3">
      <c r="A39" s="26"/>
      <c r="B39" s="131" t="str">
        <f>IF(BackupMethod="Exchange Native Data Protection","--",IF(TotNumDBCopiesServer&gt;COUNTA(B$15:B38),B38+1,"--"))</f>
        <v>--</v>
      </c>
      <c r="C39" s="129" t="str">
        <f t="shared" si="7"/>
        <v>--</v>
      </c>
      <c r="D39" s="129" t="str">
        <f t="shared" si="1"/>
        <v>--</v>
      </c>
      <c r="E39" s="129" t="str">
        <f t="shared" si="2"/>
        <v>--</v>
      </c>
      <c r="F39" s="129" t="str">
        <f t="shared" si="3"/>
        <v>--</v>
      </c>
      <c r="G39" s="129" t="str">
        <f t="shared" si="4"/>
        <v>--</v>
      </c>
      <c r="H39" s="129" t="str">
        <f t="shared" si="5"/>
        <v>--</v>
      </c>
      <c r="I39" s="129" t="str">
        <f t="shared" si="6"/>
        <v>--</v>
      </c>
      <c r="K39" s="26"/>
    </row>
    <row r="40" spans="1:11" x14ac:dyDescent="0.3">
      <c r="A40" s="26"/>
      <c r="B40" s="131" t="str">
        <f>IF(BackupMethod="Exchange Native Data Protection","--",IF(TotNumDBCopiesServer&gt;COUNTA(B$15:B39),B39+1,"--"))</f>
        <v>--</v>
      </c>
      <c r="C40" s="129" t="str">
        <f t="shared" si="7"/>
        <v>--</v>
      </c>
      <c r="D40" s="129" t="str">
        <f t="shared" si="1"/>
        <v>--</v>
      </c>
      <c r="E40" s="129" t="str">
        <f t="shared" si="2"/>
        <v>--</v>
      </c>
      <c r="F40" s="129" t="str">
        <f t="shared" si="3"/>
        <v>--</v>
      </c>
      <c r="G40" s="129" t="str">
        <f t="shared" si="4"/>
        <v>--</v>
      </c>
      <c r="H40" s="129" t="str">
        <f t="shared" si="5"/>
        <v>--</v>
      </c>
      <c r="I40" s="129" t="str">
        <f t="shared" si="6"/>
        <v>--</v>
      </c>
      <c r="K40" s="26"/>
    </row>
    <row r="41" spans="1:11" x14ac:dyDescent="0.3">
      <c r="A41" s="26"/>
      <c r="B41" s="131" t="str">
        <f>IF(BackupMethod="Exchange Native Data Protection","--",IF(TotNumDBCopiesServer&gt;COUNTA(B$15:B40),B40+1,"--"))</f>
        <v>--</v>
      </c>
      <c r="C41" s="129" t="str">
        <f t="shared" si="7"/>
        <v>--</v>
      </c>
      <c r="D41" s="129" t="str">
        <f t="shared" si="1"/>
        <v>--</v>
      </c>
      <c r="E41" s="129" t="str">
        <f t="shared" si="2"/>
        <v>--</v>
      </c>
      <c r="F41" s="129" t="str">
        <f t="shared" si="3"/>
        <v>--</v>
      </c>
      <c r="G41" s="129" t="str">
        <f t="shared" si="4"/>
        <v>--</v>
      </c>
      <c r="H41" s="129" t="str">
        <f t="shared" si="5"/>
        <v>--</v>
      </c>
      <c r="I41" s="129" t="str">
        <f t="shared" si="6"/>
        <v>--</v>
      </c>
      <c r="K41" s="26"/>
    </row>
    <row r="42" spans="1:11" x14ac:dyDescent="0.3">
      <c r="A42" s="26"/>
      <c r="B42" s="131" t="str">
        <f>IF(BackupMethod="Exchange Native Data Protection","--",IF(TotNumDBCopiesServer&gt;COUNTA(B$15:B41),B41+1,"--"))</f>
        <v>--</v>
      </c>
      <c r="C42" s="129" t="str">
        <f t="shared" si="7"/>
        <v>--</v>
      </c>
      <c r="D42" s="129" t="str">
        <f t="shared" si="1"/>
        <v>--</v>
      </c>
      <c r="E42" s="129" t="str">
        <f t="shared" si="2"/>
        <v>--</v>
      </c>
      <c r="F42" s="129" t="str">
        <f t="shared" si="3"/>
        <v>--</v>
      </c>
      <c r="G42" s="129" t="str">
        <f t="shared" si="4"/>
        <v>--</v>
      </c>
      <c r="H42" s="129" t="str">
        <f t="shared" si="5"/>
        <v>--</v>
      </c>
      <c r="I42" s="129" t="str">
        <f t="shared" si="6"/>
        <v>--</v>
      </c>
      <c r="K42" s="26"/>
    </row>
    <row r="43" spans="1:11" x14ac:dyDescent="0.3">
      <c r="A43" s="26"/>
      <c r="B43" s="131" t="str">
        <f>IF(BackupMethod="Exchange Native Data Protection","--",IF(TotNumDBCopiesServer&gt;COUNTA(B$15:B42),B42+1,"--"))</f>
        <v>--</v>
      </c>
      <c r="C43" s="129"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129" t="str">
        <f t="shared" si="1"/>
        <v>--</v>
      </c>
      <c r="E43" s="129" t="str">
        <f t="shared" si="2"/>
        <v>--</v>
      </c>
      <c r="F43" s="129" t="str">
        <f t="shared" si="3"/>
        <v>--</v>
      </c>
      <c r="G43" s="129" t="str">
        <f t="shared" si="4"/>
        <v>--</v>
      </c>
      <c r="H43" s="129" t="str">
        <f t="shared" si="5"/>
        <v>--</v>
      </c>
      <c r="I43" s="129" t="str">
        <f t="shared" si="6"/>
        <v>--</v>
      </c>
      <c r="K43" s="26"/>
    </row>
    <row r="44" spans="1:11" x14ac:dyDescent="0.3">
      <c r="A44" s="26"/>
      <c r="B44" s="131" t="str">
        <f>IF(BackupMethod="Exchange Native Data Protection","--",IF(TotNumDBCopiesServer&gt;COUNTA(B$15:B43),B43+1,"--"))</f>
        <v>--</v>
      </c>
      <c r="C44" s="129"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129" t="str">
        <f t="shared" si="1"/>
        <v>--</v>
      </c>
      <c r="E44" s="129" t="str">
        <f t="shared" si="2"/>
        <v>--</v>
      </c>
      <c r="F44" s="129" t="str">
        <f t="shared" si="3"/>
        <v>--</v>
      </c>
      <c r="G44" s="129" t="str">
        <f t="shared" si="4"/>
        <v>--</v>
      </c>
      <c r="H44" s="129" t="str">
        <f t="shared" si="5"/>
        <v>--</v>
      </c>
      <c r="I44" s="129" t="str">
        <f t="shared" si="6"/>
        <v>--</v>
      </c>
      <c r="K44" s="26"/>
    </row>
    <row r="45" spans="1:11" x14ac:dyDescent="0.3">
      <c r="A45" s="26"/>
      <c r="B45" s="131" t="str">
        <f>IF(BackupMethod="Exchange Native Data Protection","--",IF(TotNumDBCopiesServer&gt;COUNTA(B$15:B44),B44+1,"--"))</f>
        <v>--</v>
      </c>
      <c r="C45" s="129" t="str">
        <f t="shared" si="7"/>
        <v>--</v>
      </c>
      <c r="D45" s="129" t="str">
        <f t="shared" si="1"/>
        <v>--</v>
      </c>
      <c r="E45" s="129" t="str">
        <f t="shared" si="2"/>
        <v>--</v>
      </c>
      <c r="F45" s="129" t="str">
        <f t="shared" si="3"/>
        <v>--</v>
      </c>
      <c r="G45" s="129" t="str">
        <f t="shared" si="4"/>
        <v>--</v>
      </c>
      <c r="H45" s="129" t="str">
        <f t="shared" si="5"/>
        <v>--</v>
      </c>
      <c r="I45" s="129" t="str">
        <f t="shared" si="6"/>
        <v>--</v>
      </c>
      <c r="K45" s="26"/>
    </row>
    <row r="46" spans="1:11" x14ac:dyDescent="0.3">
      <c r="A46" s="26"/>
      <c r="B46" s="131" t="str">
        <f>IF(BackupMethod="Exchange Native Data Protection","--",IF(TotNumDBCopiesServer&gt;COUNTA(B$15:B45),B45+1,"--"))</f>
        <v>--</v>
      </c>
      <c r="C46" s="129" t="str">
        <f t="shared" si="7"/>
        <v>--</v>
      </c>
      <c r="D46" s="129" t="str">
        <f t="shared" si="1"/>
        <v>--</v>
      </c>
      <c r="E46" s="129" t="str">
        <f t="shared" si="2"/>
        <v>--</v>
      </c>
      <c r="F46" s="129" t="str">
        <f t="shared" si="3"/>
        <v>--</v>
      </c>
      <c r="G46" s="129" t="str">
        <f t="shared" si="4"/>
        <v>--</v>
      </c>
      <c r="H46" s="129" t="str">
        <f t="shared" si="5"/>
        <v>--</v>
      </c>
      <c r="I46" s="129" t="str">
        <f t="shared" si="6"/>
        <v>--</v>
      </c>
      <c r="K46" s="26"/>
    </row>
    <row r="47" spans="1:11" x14ac:dyDescent="0.3">
      <c r="A47" s="26"/>
      <c r="B47" s="131" t="str">
        <f>IF(BackupMethod="Exchange Native Data Protection","--",IF(TotNumDBCopiesServer&gt;COUNTA(B$15:B46),B46+1,"--"))</f>
        <v>--</v>
      </c>
      <c r="C47" s="129" t="str">
        <f t="shared" si="7"/>
        <v>--</v>
      </c>
      <c r="D47" s="129" t="str">
        <f t="shared" si="1"/>
        <v>--</v>
      </c>
      <c r="E47" s="129" t="str">
        <f t="shared" si="2"/>
        <v>--</v>
      </c>
      <c r="F47" s="129" t="str">
        <f t="shared" si="3"/>
        <v>--</v>
      </c>
      <c r="G47" s="129" t="str">
        <f t="shared" si="4"/>
        <v>--</v>
      </c>
      <c r="H47" s="129" t="str">
        <f t="shared" si="5"/>
        <v>--</v>
      </c>
      <c r="I47" s="129" t="str">
        <f t="shared" si="6"/>
        <v>--</v>
      </c>
      <c r="K47" s="26"/>
    </row>
    <row r="48" spans="1:11" x14ac:dyDescent="0.3">
      <c r="A48" s="26"/>
      <c r="B48" s="131" t="str">
        <f>IF(BackupMethod="Exchange Native Data Protection","--",IF(TotNumDBCopiesServer&gt;COUNTA(B$15:B47),B47+1,"--"))</f>
        <v>--</v>
      </c>
      <c r="C48" s="129" t="str">
        <f t="shared" si="7"/>
        <v>--</v>
      </c>
      <c r="D48" s="129" t="str">
        <f t="shared" ref="D48:D111" si="8">IF($B48="--","--",IF(BackupFreq="Daily Full","Full",IF(AND($C47="Full",ROW(D48)&lt;&gt;ROW($C47)),"Full",IF(BackupFreq="Weekly Full / Daily Incremental","Incremental","Differential"))))</f>
        <v>--</v>
      </c>
      <c r="E48" s="129" t="str">
        <f t="shared" ref="E48:E111" si="9">IF($B48="--","--",IF(BackupFreq="Daily Full","Full",IF(AND(D48="Full",ROW(E48)=ROW(D48)),IF(BackupFreq="Weekly Full / Daily Incremental","Incremental","Differential"),IF(AND($D47="Full",ROW(E48)&lt;&gt;ROW($D47)),"Full",IF(BackupFreq="Weekly Full / Daily Incremental","Incremental","Differential")))))</f>
        <v>--</v>
      </c>
      <c r="F48" s="129"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129"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129"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129"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K48" s="26"/>
    </row>
    <row r="49" spans="1:11" x14ac:dyDescent="0.3">
      <c r="A49" s="26"/>
      <c r="B49" s="131" t="str">
        <f>IF(BackupMethod="Exchange Native Data Protection","--",IF(TotNumDBCopiesServer&gt;COUNTA(B$15:B48),B48+1,"--"))</f>
        <v>--</v>
      </c>
      <c r="C49" s="129" t="str">
        <f t="shared" si="7"/>
        <v>--</v>
      </c>
      <c r="D49" s="129" t="str">
        <f t="shared" si="8"/>
        <v>--</v>
      </c>
      <c r="E49" s="129" t="str">
        <f t="shared" si="9"/>
        <v>--</v>
      </c>
      <c r="F49" s="129" t="str">
        <f t="shared" si="10"/>
        <v>--</v>
      </c>
      <c r="G49" s="129" t="str">
        <f t="shared" si="11"/>
        <v>--</v>
      </c>
      <c r="H49" s="129" t="str">
        <f t="shared" si="12"/>
        <v>--</v>
      </c>
      <c r="I49" s="129" t="str">
        <f t="shared" si="13"/>
        <v>--</v>
      </c>
      <c r="K49" s="26"/>
    </row>
    <row r="50" spans="1:11" x14ac:dyDescent="0.3">
      <c r="A50" s="26"/>
      <c r="B50" s="131" t="str">
        <f>IF(BackupMethod="Exchange Native Data Protection","--",IF(TotNumDBCopiesServer&gt;COUNTA(B$15:B49),B49+1,"--"))</f>
        <v>--</v>
      </c>
      <c r="C50" s="129"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129" t="str">
        <f t="shared" si="8"/>
        <v>--</v>
      </c>
      <c r="E50" s="129" t="str">
        <f t="shared" si="9"/>
        <v>--</v>
      </c>
      <c r="F50" s="129" t="str">
        <f t="shared" si="10"/>
        <v>--</v>
      </c>
      <c r="G50" s="129" t="str">
        <f t="shared" si="11"/>
        <v>--</v>
      </c>
      <c r="H50" s="129" t="str">
        <f t="shared" si="12"/>
        <v>--</v>
      </c>
      <c r="I50" s="129" t="str">
        <f t="shared" si="13"/>
        <v>--</v>
      </c>
      <c r="K50" s="26"/>
    </row>
    <row r="51" spans="1:11" x14ac:dyDescent="0.3">
      <c r="A51" s="26"/>
      <c r="B51" s="131" t="str">
        <f>IF(BackupMethod="Exchange Native Data Protection","--",IF(TotNumDBCopiesServer&gt;COUNTA(B$15:B50),B50+1,"--"))</f>
        <v>--</v>
      </c>
      <c r="C51" s="129"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129" t="str">
        <f t="shared" si="8"/>
        <v>--</v>
      </c>
      <c r="E51" s="129" t="str">
        <f t="shared" si="9"/>
        <v>--</v>
      </c>
      <c r="F51" s="129" t="str">
        <f t="shared" si="10"/>
        <v>--</v>
      </c>
      <c r="G51" s="129" t="str">
        <f t="shared" si="11"/>
        <v>--</v>
      </c>
      <c r="H51" s="129" t="str">
        <f t="shared" si="12"/>
        <v>--</v>
      </c>
      <c r="I51" s="129" t="str">
        <f t="shared" si="13"/>
        <v>--</v>
      </c>
      <c r="K51" s="26"/>
    </row>
    <row r="52" spans="1:11" x14ac:dyDescent="0.3">
      <c r="A52" s="26"/>
      <c r="B52" s="131" t="str">
        <f>IF(BackupMethod="Exchange Native Data Protection","--",IF(TotNumDBCopiesServer&gt;COUNTA(B$15:B51),B51+1,"--"))</f>
        <v>--</v>
      </c>
      <c r="C52" s="129"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129" t="str">
        <f t="shared" si="8"/>
        <v>--</v>
      </c>
      <c r="E52" s="129" t="str">
        <f t="shared" si="9"/>
        <v>--</v>
      </c>
      <c r="F52" s="129" t="str">
        <f t="shared" si="10"/>
        <v>--</v>
      </c>
      <c r="G52" s="129" t="str">
        <f t="shared" si="11"/>
        <v>--</v>
      </c>
      <c r="H52" s="129" t="str">
        <f t="shared" si="12"/>
        <v>--</v>
      </c>
      <c r="I52" s="129" t="str">
        <f t="shared" si="13"/>
        <v>--</v>
      </c>
      <c r="K52" s="26"/>
    </row>
    <row r="53" spans="1:11" x14ac:dyDescent="0.3">
      <c r="A53" s="26"/>
      <c r="B53" s="131" t="str">
        <f>IF(BackupMethod="Exchange Native Data Protection","--",IF(TotNumDBCopiesServer&gt;COUNTA(B$15:B52),B52+1,"--"))</f>
        <v>--</v>
      </c>
      <c r="C53" s="129" t="str">
        <f t="shared" si="14"/>
        <v>--</v>
      </c>
      <c r="D53" s="129" t="str">
        <f t="shared" si="8"/>
        <v>--</v>
      </c>
      <c r="E53" s="129" t="str">
        <f t="shared" si="9"/>
        <v>--</v>
      </c>
      <c r="F53" s="129" t="str">
        <f t="shared" si="10"/>
        <v>--</v>
      </c>
      <c r="G53" s="129" t="str">
        <f t="shared" si="11"/>
        <v>--</v>
      </c>
      <c r="H53" s="129" t="str">
        <f t="shared" si="12"/>
        <v>--</v>
      </c>
      <c r="I53" s="129" t="str">
        <f t="shared" si="13"/>
        <v>--</v>
      </c>
      <c r="K53" s="26"/>
    </row>
    <row r="54" spans="1:11" x14ac:dyDescent="0.3">
      <c r="A54" s="26"/>
      <c r="B54" s="131" t="str">
        <f>IF(BackupMethod="Exchange Native Data Protection","--",IF(TotNumDBCopiesServer&gt;COUNTA(B$15:B53),B53+1,"--"))</f>
        <v>--</v>
      </c>
      <c r="C54" s="129" t="str">
        <f t="shared" si="14"/>
        <v>--</v>
      </c>
      <c r="D54" s="129" t="str">
        <f t="shared" si="8"/>
        <v>--</v>
      </c>
      <c r="E54" s="129" t="str">
        <f t="shared" si="9"/>
        <v>--</v>
      </c>
      <c r="F54" s="129" t="str">
        <f t="shared" si="10"/>
        <v>--</v>
      </c>
      <c r="G54" s="129" t="str">
        <f t="shared" si="11"/>
        <v>--</v>
      </c>
      <c r="H54" s="129" t="str">
        <f t="shared" si="12"/>
        <v>--</v>
      </c>
      <c r="I54" s="129" t="str">
        <f t="shared" si="13"/>
        <v>--</v>
      </c>
      <c r="K54" s="26"/>
    </row>
    <row r="55" spans="1:11" x14ac:dyDescent="0.3">
      <c r="A55" s="26"/>
      <c r="B55" s="131" t="str">
        <f>IF(BackupMethod="Exchange Native Data Protection","--",IF(TotNumDBCopiesServer&gt;COUNTA(B$15:B54),B54+1,"--"))</f>
        <v>--</v>
      </c>
      <c r="C55" s="129" t="str">
        <f t="shared" si="14"/>
        <v>--</v>
      </c>
      <c r="D55" s="129" t="str">
        <f t="shared" si="8"/>
        <v>--</v>
      </c>
      <c r="E55" s="129" t="str">
        <f t="shared" si="9"/>
        <v>--</v>
      </c>
      <c r="F55" s="129" t="str">
        <f t="shared" si="10"/>
        <v>--</v>
      </c>
      <c r="G55" s="129" t="str">
        <f t="shared" si="11"/>
        <v>--</v>
      </c>
      <c r="H55" s="129" t="str">
        <f t="shared" si="12"/>
        <v>--</v>
      </c>
      <c r="I55" s="129" t="str">
        <f t="shared" si="13"/>
        <v>--</v>
      </c>
      <c r="K55" s="26"/>
    </row>
    <row r="56" spans="1:11" x14ac:dyDescent="0.3">
      <c r="A56" s="26"/>
      <c r="B56" s="131" t="str">
        <f>IF(BackupMethod="Exchange Native Data Protection","--",IF(TotNumDBCopiesServer&gt;COUNTA(B$15:B55),B55+1,"--"))</f>
        <v>--</v>
      </c>
      <c r="C56" s="129" t="str">
        <f t="shared" si="14"/>
        <v>--</v>
      </c>
      <c r="D56" s="129" t="str">
        <f t="shared" si="8"/>
        <v>--</v>
      </c>
      <c r="E56" s="129" t="str">
        <f t="shared" si="9"/>
        <v>--</v>
      </c>
      <c r="F56" s="129" t="str">
        <f t="shared" si="10"/>
        <v>--</v>
      </c>
      <c r="G56" s="129" t="str">
        <f t="shared" si="11"/>
        <v>--</v>
      </c>
      <c r="H56" s="129" t="str">
        <f t="shared" si="12"/>
        <v>--</v>
      </c>
      <c r="I56" s="129" t="str">
        <f t="shared" si="13"/>
        <v>--</v>
      </c>
      <c r="K56" s="26"/>
    </row>
    <row r="57" spans="1:11" x14ac:dyDescent="0.3">
      <c r="A57" s="26"/>
      <c r="B57" s="131" t="str">
        <f>IF(BackupMethod="Exchange Native Data Protection","--",IF(TotNumDBCopiesServer&gt;COUNTA(B$15:B56),B56+1,"--"))</f>
        <v>--</v>
      </c>
      <c r="C57" s="129"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129" t="str">
        <f t="shared" si="8"/>
        <v>--</v>
      </c>
      <c r="E57" s="129" t="str">
        <f t="shared" si="9"/>
        <v>--</v>
      </c>
      <c r="F57" s="129" t="str">
        <f t="shared" si="10"/>
        <v>--</v>
      </c>
      <c r="G57" s="129" t="str">
        <f t="shared" si="11"/>
        <v>--</v>
      </c>
      <c r="H57" s="129" t="str">
        <f t="shared" si="12"/>
        <v>--</v>
      </c>
      <c r="I57" s="129" t="str">
        <f t="shared" si="13"/>
        <v>--</v>
      </c>
      <c r="K57" s="26"/>
    </row>
    <row r="58" spans="1:11" x14ac:dyDescent="0.3">
      <c r="A58" s="26"/>
      <c r="B58" s="131" t="str">
        <f>IF(BackupMethod="Exchange Native Data Protection","--",IF(TotNumDBCopiesServer&gt;COUNTA(B$15:B57),B57+1,"--"))</f>
        <v>--</v>
      </c>
      <c r="C58" s="129"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129" t="str">
        <f t="shared" si="8"/>
        <v>--</v>
      </c>
      <c r="E58" s="129" t="str">
        <f t="shared" si="9"/>
        <v>--</v>
      </c>
      <c r="F58" s="129" t="str">
        <f t="shared" si="10"/>
        <v>--</v>
      </c>
      <c r="G58" s="129" t="str">
        <f t="shared" si="11"/>
        <v>--</v>
      </c>
      <c r="H58" s="129" t="str">
        <f t="shared" si="12"/>
        <v>--</v>
      </c>
      <c r="I58" s="129" t="str">
        <f t="shared" si="13"/>
        <v>--</v>
      </c>
      <c r="K58" s="26"/>
    </row>
    <row r="59" spans="1:11" x14ac:dyDescent="0.3">
      <c r="A59" s="26"/>
      <c r="B59" s="131" t="str">
        <f>IF(BackupMethod="Exchange Native Data Protection","--",IF(TotNumDBCopiesServer&gt;COUNTA(B$15:B58),B58+1,"--"))</f>
        <v>--</v>
      </c>
      <c r="C59" s="129" t="str">
        <f t="shared" si="14"/>
        <v>--</v>
      </c>
      <c r="D59" s="129" t="str">
        <f t="shared" si="8"/>
        <v>--</v>
      </c>
      <c r="E59" s="129" t="str">
        <f t="shared" si="9"/>
        <v>--</v>
      </c>
      <c r="F59" s="129" t="str">
        <f t="shared" si="10"/>
        <v>--</v>
      </c>
      <c r="G59" s="129" t="str">
        <f t="shared" si="11"/>
        <v>--</v>
      </c>
      <c r="H59" s="129" t="str">
        <f t="shared" si="12"/>
        <v>--</v>
      </c>
      <c r="I59" s="129" t="str">
        <f t="shared" si="13"/>
        <v>--</v>
      </c>
      <c r="K59" s="26"/>
    </row>
    <row r="60" spans="1:11" x14ac:dyDescent="0.3">
      <c r="A60" s="26"/>
      <c r="B60" s="131" t="str">
        <f>IF(BackupMethod="Exchange Native Data Protection","--",IF(TotNumDBCopiesServer&gt;COUNTA(B$15:B59),B59+1,"--"))</f>
        <v>--</v>
      </c>
      <c r="C60" s="129" t="str">
        <f t="shared" si="14"/>
        <v>--</v>
      </c>
      <c r="D60" s="129" t="str">
        <f t="shared" si="8"/>
        <v>--</v>
      </c>
      <c r="E60" s="129" t="str">
        <f t="shared" si="9"/>
        <v>--</v>
      </c>
      <c r="F60" s="129" t="str">
        <f t="shared" si="10"/>
        <v>--</v>
      </c>
      <c r="G60" s="129" t="str">
        <f t="shared" si="11"/>
        <v>--</v>
      </c>
      <c r="H60" s="129" t="str">
        <f t="shared" si="12"/>
        <v>--</v>
      </c>
      <c r="I60" s="129" t="str">
        <f t="shared" si="13"/>
        <v>--</v>
      </c>
      <c r="K60" s="26"/>
    </row>
    <row r="61" spans="1:11" x14ac:dyDescent="0.3">
      <c r="A61" s="26"/>
      <c r="B61" s="131" t="str">
        <f>IF(BackupMethod="Exchange Native Data Protection","--",IF(TotNumDBCopiesServer&gt;COUNTA(B$15:B60),B60+1,"--"))</f>
        <v>--</v>
      </c>
      <c r="C61" s="129" t="str">
        <f t="shared" si="14"/>
        <v>--</v>
      </c>
      <c r="D61" s="129" t="str">
        <f t="shared" si="8"/>
        <v>--</v>
      </c>
      <c r="E61" s="129" t="str">
        <f t="shared" si="9"/>
        <v>--</v>
      </c>
      <c r="F61" s="129" t="str">
        <f t="shared" si="10"/>
        <v>--</v>
      </c>
      <c r="G61" s="129" t="str">
        <f t="shared" si="11"/>
        <v>--</v>
      </c>
      <c r="H61" s="129" t="str">
        <f t="shared" si="12"/>
        <v>--</v>
      </c>
      <c r="I61" s="129" t="str">
        <f t="shared" si="13"/>
        <v>--</v>
      </c>
      <c r="K61" s="26"/>
    </row>
    <row r="62" spans="1:11" x14ac:dyDescent="0.3">
      <c r="A62" s="26"/>
      <c r="B62" s="131" t="str">
        <f>IF(BackupMethod="Exchange Native Data Protection","--",IF(TotNumDBCopiesServer&gt;COUNTA(B$15:B61),B61+1,"--"))</f>
        <v>--</v>
      </c>
      <c r="C62" s="129" t="str">
        <f t="shared" si="14"/>
        <v>--</v>
      </c>
      <c r="D62" s="129" t="str">
        <f t="shared" si="8"/>
        <v>--</v>
      </c>
      <c r="E62" s="129" t="str">
        <f t="shared" si="9"/>
        <v>--</v>
      </c>
      <c r="F62" s="129" t="str">
        <f t="shared" si="10"/>
        <v>--</v>
      </c>
      <c r="G62" s="129" t="str">
        <f t="shared" si="11"/>
        <v>--</v>
      </c>
      <c r="H62" s="129" t="str">
        <f t="shared" si="12"/>
        <v>--</v>
      </c>
      <c r="I62" s="129" t="str">
        <f t="shared" si="13"/>
        <v>--</v>
      </c>
      <c r="K62" s="26"/>
    </row>
    <row r="63" spans="1:11" x14ac:dyDescent="0.3">
      <c r="A63" s="26"/>
      <c r="B63" s="131" t="str">
        <f>IF(BackupMethod="Exchange Native Data Protection","--",IF(TotNumDBCopiesServer&gt;COUNTA(B$15:B62),B62+1,"--"))</f>
        <v>--</v>
      </c>
      <c r="C63" s="129" t="str">
        <f t="shared" si="14"/>
        <v>--</v>
      </c>
      <c r="D63" s="129" t="str">
        <f t="shared" si="8"/>
        <v>--</v>
      </c>
      <c r="E63" s="129" t="str">
        <f t="shared" si="9"/>
        <v>--</v>
      </c>
      <c r="F63" s="129" t="str">
        <f t="shared" si="10"/>
        <v>--</v>
      </c>
      <c r="G63" s="129" t="str">
        <f t="shared" si="11"/>
        <v>--</v>
      </c>
      <c r="H63" s="129" t="str">
        <f t="shared" si="12"/>
        <v>--</v>
      </c>
      <c r="I63" s="129" t="str">
        <f t="shared" si="13"/>
        <v>--</v>
      </c>
      <c r="K63" s="26"/>
    </row>
    <row r="64" spans="1:11" x14ac:dyDescent="0.3">
      <c r="A64" s="26"/>
      <c r="B64" s="131" t="str">
        <f>IF(BackupMethod="Exchange Native Data Protection","--",IF(TotNumDBCopiesServer&gt;COUNTA(B$15:B63),B63+1,"--"))</f>
        <v>--</v>
      </c>
      <c r="C64" s="129"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129" t="str">
        <f t="shared" si="8"/>
        <v>--</v>
      </c>
      <c r="E64" s="129" t="str">
        <f t="shared" si="9"/>
        <v>--</v>
      </c>
      <c r="F64" s="129" t="str">
        <f t="shared" si="10"/>
        <v>--</v>
      </c>
      <c r="G64" s="129" t="str">
        <f t="shared" si="11"/>
        <v>--</v>
      </c>
      <c r="H64" s="129" t="str">
        <f t="shared" si="12"/>
        <v>--</v>
      </c>
      <c r="I64" s="129" t="str">
        <f t="shared" si="13"/>
        <v>--</v>
      </c>
      <c r="K64" s="26"/>
    </row>
    <row r="65" spans="1:11" x14ac:dyDescent="0.3">
      <c r="A65" s="26"/>
      <c r="B65" s="131" t="str">
        <f>IF(BackupMethod="Exchange Native Data Protection","--",IF(TotNumDBCopiesServer&gt;COUNTA(B$15:B64),B64+1,"--"))</f>
        <v>--</v>
      </c>
      <c r="C65" s="129"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129" t="str">
        <f t="shared" si="8"/>
        <v>--</v>
      </c>
      <c r="E65" s="129" t="str">
        <f t="shared" si="9"/>
        <v>--</v>
      </c>
      <c r="F65" s="129" t="str">
        <f t="shared" si="10"/>
        <v>--</v>
      </c>
      <c r="G65" s="129" t="str">
        <f t="shared" si="11"/>
        <v>--</v>
      </c>
      <c r="H65" s="129" t="str">
        <f t="shared" si="12"/>
        <v>--</v>
      </c>
      <c r="I65" s="129" t="str">
        <f t="shared" si="13"/>
        <v>--</v>
      </c>
      <c r="K65" s="26"/>
    </row>
    <row r="66" spans="1:11" x14ac:dyDescent="0.3">
      <c r="A66" s="26"/>
      <c r="B66" s="131" t="str">
        <f>IF(BackupMethod="Exchange Native Data Protection","--",IF(TotNumDBCopiesServer&gt;COUNTA(B$15:B65),B65+1,"--"))</f>
        <v>--</v>
      </c>
      <c r="C66" s="129" t="str">
        <f t="shared" si="14"/>
        <v>--</v>
      </c>
      <c r="D66" s="129" t="str">
        <f t="shared" si="8"/>
        <v>--</v>
      </c>
      <c r="E66" s="129" t="str">
        <f t="shared" si="9"/>
        <v>--</v>
      </c>
      <c r="F66" s="129" t="str">
        <f t="shared" si="10"/>
        <v>--</v>
      </c>
      <c r="G66" s="129" t="str">
        <f t="shared" si="11"/>
        <v>--</v>
      </c>
      <c r="H66" s="129" t="str">
        <f t="shared" si="12"/>
        <v>--</v>
      </c>
      <c r="I66" s="129" t="str">
        <f t="shared" si="13"/>
        <v>--</v>
      </c>
      <c r="K66" s="26"/>
    </row>
    <row r="67" spans="1:11" x14ac:dyDescent="0.3">
      <c r="A67" s="26"/>
      <c r="B67" s="131" t="str">
        <f>IF(BackupMethod="Exchange Native Data Protection","--",IF(TotNumDBCopiesServer&gt;COUNTA(B$15:B66),B66+1,"--"))</f>
        <v>--</v>
      </c>
      <c r="C67" s="129" t="str">
        <f t="shared" si="14"/>
        <v>--</v>
      </c>
      <c r="D67" s="129" t="str">
        <f t="shared" si="8"/>
        <v>--</v>
      </c>
      <c r="E67" s="129" t="str">
        <f t="shared" si="9"/>
        <v>--</v>
      </c>
      <c r="F67" s="129" t="str">
        <f t="shared" si="10"/>
        <v>--</v>
      </c>
      <c r="G67" s="129" t="str">
        <f t="shared" si="11"/>
        <v>--</v>
      </c>
      <c r="H67" s="129" t="str">
        <f t="shared" si="12"/>
        <v>--</v>
      </c>
      <c r="I67" s="129" t="str">
        <f t="shared" si="13"/>
        <v>--</v>
      </c>
      <c r="K67" s="26"/>
    </row>
    <row r="68" spans="1:11" x14ac:dyDescent="0.3">
      <c r="A68" s="26"/>
      <c r="B68" s="131" t="str">
        <f>IF(BackupMethod="Exchange Native Data Protection","--",IF(TotNumDBCopiesServer&gt;COUNTA(B$15:B67),B67+1,"--"))</f>
        <v>--</v>
      </c>
      <c r="C68" s="129" t="str">
        <f t="shared" si="14"/>
        <v>--</v>
      </c>
      <c r="D68" s="129" t="str">
        <f t="shared" si="8"/>
        <v>--</v>
      </c>
      <c r="E68" s="129" t="str">
        <f t="shared" si="9"/>
        <v>--</v>
      </c>
      <c r="F68" s="129" t="str">
        <f t="shared" si="10"/>
        <v>--</v>
      </c>
      <c r="G68" s="129" t="str">
        <f t="shared" si="11"/>
        <v>--</v>
      </c>
      <c r="H68" s="129" t="str">
        <f t="shared" si="12"/>
        <v>--</v>
      </c>
      <c r="I68" s="129" t="str">
        <f t="shared" si="13"/>
        <v>--</v>
      </c>
      <c r="K68" s="26"/>
    </row>
    <row r="69" spans="1:11" x14ac:dyDescent="0.3">
      <c r="A69" s="26"/>
      <c r="B69" s="131" t="str">
        <f>IF(BackupMethod="Exchange Native Data Protection","--",IF(TotNumDBCopiesServer&gt;COUNTA(B$15:B68),B68+1,"--"))</f>
        <v>--</v>
      </c>
      <c r="C69" s="129" t="str">
        <f t="shared" si="14"/>
        <v>--</v>
      </c>
      <c r="D69" s="129" t="str">
        <f t="shared" si="8"/>
        <v>--</v>
      </c>
      <c r="E69" s="129" t="str">
        <f t="shared" si="9"/>
        <v>--</v>
      </c>
      <c r="F69" s="129" t="str">
        <f t="shared" si="10"/>
        <v>--</v>
      </c>
      <c r="G69" s="129" t="str">
        <f t="shared" si="11"/>
        <v>--</v>
      </c>
      <c r="H69" s="129" t="str">
        <f t="shared" si="12"/>
        <v>--</v>
      </c>
      <c r="I69" s="129" t="str">
        <f t="shared" si="13"/>
        <v>--</v>
      </c>
      <c r="K69" s="26"/>
    </row>
    <row r="70" spans="1:11" x14ac:dyDescent="0.3">
      <c r="A70" s="26"/>
      <c r="B70" s="131" t="str">
        <f>IF(BackupMethod="Exchange Native Data Protection","--",IF(TotNumDBCopiesServer&gt;COUNTA(B$15:B69),B69+1,"--"))</f>
        <v>--</v>
      </c>
      <c r="C70" s="129" t="str">
        <f t="shared" si="14"/>
        <v>--</v>
      </c>
      <c r="D70" s="129" t="str">
        <f t="shared" si="8"/>
        <v>--</v>
      </c>
      <c r="E70" s="129" t="str">
        <f t="shared" si="9"/>
        <v>--</v>
      </c>
      <c r="F70" s="129" t="str">
        <f t="shared" si="10"/>
        <v>--</v>
      </c>
      <c r="G70" s="129" t="str">
        <f t="shared" si="11"/>
        <v>--</v>
      </c>
      <c r="H70" s="129" t="str">
        <f t="shared" si="12"/>
        <v>--</v>
      </c>
      <c r="I70" s="129" t="str">
        <f t="shared" si="13"/>
        <v>--</v>
      </c>
      <c r="K70" s="26"/>
    </row>
    <row r="71" spans="1:11" x14ac:dyDescent="0.3">
      <c r="A71" s="26"/>
      <c r="B71" s="131" t="str">
        <f>IF(BackupMethod="Exchange Native Data Protection","--",IF(TotNumDBCopiesServer&gt;COUNTA(B$15:B70),B70+1,"--"))</f>
        <v>--</v>
      </c>
      <c r="C71" s="129"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129" t="str">
        <f t="shared" si="8"/>
        <v>--</v>
      </c>
      <c r="E71" s="129" t="str">
        <f t="shared" si="9"/>
        <v>--</v>
      </c>
      <c r="F71" s="129" t="str">
        <f t="shared" si="10"/>
        <v>--</v>
      </c>
      <c r="G71" s="129" t="str">
        <f t="shared" si="11"/>
        <v>--</v>
      </c>
      <c r="H71" s="129" t="str">
        <f t="shared" si="12"/>
        <v>--</v>
      </c>
      <c r="I71" s="129" t="str">
        <f t="shared" si="13"/>
        <v>--</v>
      </c>
      <c r="K71" s="26"/>
    </row>
    <row r="72" spans="1:11" x14ac:dyDescent="0.3">
      <c r="A72" s="26"/>
      <c r="B72" s="131" t="str">
        <f>IF(BackupMethod="Exchange Native Data Protection","--",IF(TotNumDBCopiesServer&gt;COUNTA(B$15:B71),B71+1,"--"))</f>
        <v>--</v>
      </c>
      <c r="C72" s="129"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129" t="str">
        <f t="shared" si="8"/>
        <v>--</v>
      </c>
      <c r="E72" s="129" t="str">
        <f t="shared" si="9"/>
        <v>--</v>
      </c>
      <c r="F72" s="129" t="str">
        <f t="shared" si="10"/>
        <v>--</v>
      </c>
      <c r="G72" s="129" t="str">
        <f t="shared" si="11"/>
        <v>--</v>
      </c>
      <c r="H72" s="129" t="str">
        <f t="shared" si="12"/>
        <v>--</v>
      </c>
      <c r="I72" s="129" t="str">
        <f t="shared" si="13"/>
        <v>--</v>
      </c>
      <c r="K72" s="26"/>
    </row>
    <row r="73" spans="1:11" x14ac:dyDescent="0.3">
      <c r="A73" s="26"/>
      <c r="B73" s="131" t="str">
        <f>IF(BackupMethod="Exchange Native Data Protection","--",IF(TotNumDBCopiesServer&gt;COUNTA(B$15:B72),B72+1,"--"))</f>
        <v>--</v>
      </c>
      <c r="C73" s="129" t="str">
        <f t="shared" si="14"/>
        <v>--</v>
      </c>
      <c r="D73" s="129" t="str">
        <f t="shared" si="8"/>
        <v>--</v>
      </c>
      <c r="E73" s="129" t="str">
        <f t="shared" si="9"/>
        <v>--</v>
      </c>
      <c r="F73" s="129" t="str">
        <f t="shared" si="10"/>
        <v>--</v>
      </c>
      <c r="G73" s="129" t="str">
        <f t="shared" si="11"/>
        <v>--</v>
      </c>
      <c r="H73" s="129" t="str">
        <f t="shared" si="12"/>
        <v>--</v>
      </c>
      <c r="I73" s="129" t="str">
        <f t="shared" si="13"/>
        <v>--</v>
      </c>
      <c r="K73" s="26"/>
    </row>
    <row r="74" spans="1:11" x14ac:dyDescent="0.3">
      <c r="A74" s="26"/>
      <c r="B74" s="131" t="str">
        <f>IF(BackupMethod="Exchange Native Data Protection","--",IF(TotNumDBCopiesServer&gt;COUNTA(B$15:B73),B73+1,"--"))</f>
        <v>--</v>
      </c>
      <c r="C74" s="129" t="str">
        <f t="shared" si="14"/>
        <v>--</v>
      </c>
      <c r="D74" s="129" t="str">
        <f t="shared" si="8"/>
        <v>--</v>
      </c>
      <c r="E74" s="129" t="str">
        <f t="shared" si="9"/>
        <v>--</v>
      </c>
      <c r="F74" s="129" t="str">
        <f t="shared" si="10"/>
        <v>--</v>
      </c>
      <c r="G74" s="129" t="str">
        <f t="shared" si="11"/>
        <v>--</v>
      </c>
      <c r="H74" s="129" t="str">
        <f t="shared" si="12"/>
        <v>--</v>
      </c>
      <c r="I74" s="129" t="str">
        <f t="shared" si="13"/>
        <v>--</v>
      </c>
      <c r="K74" s="26"/>
    </row>
    <row r="75" spans="1:11" x14ac:dyDescent="0.3">
      <c r="A75" s="26"/>
      <c r="B75" s="131" t="str">
        <f>IF(BackupMethod="Exchange Native Data Protection","--",IF(TotNumDBCopiesServer&gt;COUNTA(B$15:B74),B74+1,"--"))</f>
        <v>--</v>
      </c>
      <c r="C75" s="129" t="str">
        <f t="shared" si="14"/>
        <v>--</v>
      </c>
      <c r="D75" s="129" t="str">
        <f t="shared" si="8"/>
        <v>--</v>
      </c>
      <c r="E75" s="129" t="str">
        <f t="shared" si="9"/>
        <v>--</v>
      </c>
      <c r="F75" s="129" t="str">
        <f t="shared" si="10"/>
        <v>--</v>
      </c>
      <c r="G75" s="129" t="str">
        <f t="shared" si="11"/>
        <v>--</v>
      </c>
      <c r="H75" s="129" t="str">
        <f t="shared" si="12"/>
        <v>--</v>
      </c>
      <c r="I75" s="129" t="str">
        <f t="shared" si="13"/>
        <v>--</v>
      </c>
      <c r="K75" s="26"/>
    </row>
    <row r="76" spans="1:11" x14ac:dyDescent="0.3">
      <c r="A76" s="26"/>
      <c r="B76" s="131" t="str">
        <f>IF(BackupMethod="Exchange Native Data Protection","--",IF(TotNumDBCopiesServer&gt;COUNTA(B$15:B75),B75+1,"--"))</f>
        <v>--</v>
      </c>
      <c r="C76" s="129" t="str">
        <f t="shared" si="14"/>
        <v>--</v>
      </c>
      <c r="D76" s="129" t="str">
        <f t="shared" si="8"/>
        <v>--</v>
      </c>
      <c r="E76" s="129" t="str">
        <f t="shared" si="9"/>
        <v>--</v>
      </c>
      <c r="F76" s="129" t="str">
        <f t="shared" si="10"/>
        <v>--</v>
      </c>
      <c r="G76" s="129" t="str">
        <f t="shared" si="11"/>
        <v>--</v>
      </c>
      <c r="H76" s="129" t="str">
        <f t="shared" si="12"/>
        <v>--</v>
      </c>
      <c r="I76" s="129" t="str">
        <f t="shared" si="13"/>
        <v>--</v>
      </c>
      <c r="K76" s="26"/>
    </row>
    <row r="77" spans="1:11" x14ac:dyDescent="0.3">
      <c r="A77" s="26"/>
      <c r="B77" s="131" t="str">
        <f>IF(BackupMethod="Exchange Native Data Protection","--",IF(TotNumDBCopiesServer&gt;COUNTA(B$15:B76),B76+1,"--"))</f>
        <v>--</v>
      </c>
      <c r="C77" s="129" t="str">
        <f t="shared" si="14"/>
        <v>--</v>
      </c>
      <c r="D77" s="129" t="str">
        <f t="shared" si="8"/>
        <v>--</v>
      </c>
      <c r="E77" s="129" t="str">
        <f t="shared" si="9"/>
        <v>--</v>
      </c>
      <c r="F77" s="129" t="str">
        <f t="shared" si="10"/>
        <v>--</v>
      </c>
      <c r="G77" s="129" t="str">
        <f t="shared" si="11"/>
        <v>--</v>
      </c>
      <c r="H77" s="129" t="str">
        <f t="shared" si="12"/>
        <v>--</v>
      </c>
      <c r="I77" s="129" t="str">
        <f t="shared" si="13"/>
        <v>--</v>
      </c>
      <c r="K77" s="26"/>
    </row>
    <row r="78" spans="1:11" x14ac:dyDescent="0.3">
      <c r="A78" s="26"/>
      <c r="B78" s="131" t="str">
        <f>IF(BackupMethod="Exchange Native Data Protection","--",IF(TotNumDBCopiesServer&gt;COUNTA(B$15:B77),B77+1,"--"))</f>
        <v>--</v>
      </c>
      <c r="C78" s="129"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129" t="str">
        <f t="shared" si="8"/>
        <v>--</v>
      </c>
      <c r="E78" s="129" t="str">
        <f t="shared" si="9"/>
        <v>--</v>
      </c>
      <c r="F78" s="129" t="str">
        <f t="shared" si="10"/>
        <v>--</v>
      </c>
      <c r="G78" s="129" t="str">
        <f t="shared" si="11"/>
        <v>--</v>
      </c>
      <c r="H78" s="129" t="str">
        <f t="shared" si="12"/>
        <v>--</v>
      </c>
      <c r="I78" s="129" t="str">
        <f t="shared" si="13"/>
        <v>--</v>
      </c>
      <c r="K78" s="26"/>
    </row>
    <row r="79" spans="1:11" x14ac:dyDescent="0.3">
      <c r="A79" s="26"/>
      <c r="B79" s="131" t="str">
        <f>IF(BackupMethod="Exchange Native Data Protection","--",IF(TotNumDBCopiesServer&gt;COUNTA(B$15:B78),B78+1,"--"))</f>
        <v>--</v>
      </c>
      <c r="C79" s="129"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129" t="str">
        <f t="shared" si="8"/>
        <v>--</v>
      </c>
      <c r="E79" s="129" t="str">
        <f t="shared" si="9"/>
        <v>--</v>
      </c>
      <c r="F79" s="129" t="str">
        <f t="shared" si="10"/>
        <v>--</v>
      </c>
      <c r="G79" s="129" t="str">
        <f t="shared" si="11"/>
        <v>--</v>
      </c>
      <c r="H79" s="129" t="str">
        <f t="shared" si="12"/>
        <v>--</v>
      </c>
      <c r="I79" s="129" t="str">
        <f t="shared" si="13"/>
        <v>--</v>
      </c>
      <c r="K79" s="26"/>
    </row>
    <row r="80" spans="1:11" x14ac:dyDescent="0.3">
      <c r="A80" s="26"/>
      <c r="B80" s="131" t="str">
        <f>IF(BackupMethod="Exchange Native Data Protection","--",IF(TotNumDBCopiesServer&gt;COUNTA(B$15:B79),B79+1,"--"))</f>
        <v>--</v>
      </c>
      <c r="C80" s="129" t="str">
        <f t="shared" si="14"/>
        <v>--</v>
      </c>
      <c r="D80" s="129" t="str">
        <f t="shared" si="8"/>
        <v>--</v>
      </c>
      <c r="E80" s="129" t="str">
        <f t="shared" si="9"/>
        <v>--</v>
      </c>
      <c r="F80" s="129" t="str">
        <f t="shared" si="10"/>
        <v>--</v>
      </c>
      <c r="G80" s="129" t="str">
        <f t="shared" si="11"/>
        <v>--</v>
      </c>
      <c r="H80" s="129" t="str">
        <f t="shared" si="12"/>
        <v>--</v>
      </c>
      <c r="I80" s="129" t="str">
        <f t="shared" si="13"/>
        <v>--</v>
      </c>
      <c r="K80" s="26"/>
    </row>
    <row r="81" spans="1:11" x14ac:dyDescent="0.3">
      <c r="A81" s="26"/>
      <c r="B81" s="131" t="str">
        <f>IF(BackupMethod="Exchange Native Data Protection","--",IF(TotNumDBCopiesServer&gt;COUNTA(B$15:B80),B80+1,"--"))</f>
        <v>--</v>
      </c>
      <c r="C81" s="129" t="str">
        <f t="shared" si="14"/>
        <v>--</v>
      </c>
      <c r="D81" s="129" t="str">
        <f t="shared" si="8"/>
        <v>--</v>
      </c>
      <c r="E81" s="129" t="str">
        <f t="shared" si="9"/>
        <v>--</v>
      </c>
      <c r="F81" s="129" t="str">
        <f t="shared" si="10"/>
        <v>--</v>
      </c>
      <c r="G81" s="129" t="str">
        <f t="shared" si="11"/>
        <v>--</v>
      </c>
      <c r="H81" s="129" t="str">
        <f t="shared" si="12"/>
        <v>--</v>
      </c>
      <c r="I81" s="129" t="str">
        <f t="shared" si="13"/>
        <v>--</v>
      </c>
      <c r="K81" s="26"/>
    </row>
    <row r="82" spans="1:11" x14ac:dyDescent="0.3">
      <c r="A82" s="26"/>
      <c r="B82" s="131" t="str">
        <f>IF(BackupMethod="Exchange Native Data Protection","--",IF(TotNumDBCopiesServer&gt;COUNTA(B$15:B81),B81+1,"--"))</f>
        <v>--</v>
      </c>
      <c r="C82" s="129" t="str">
        <f t="shared" si="14"/>
        <v>--</v>
      </c>
      <c r="D82" s="129" t="str">
        <f t="shared" si="8"/>
        <v>--</v>
      </c>
      <c r="E82" s="129" t="str">
        <f t="shared" si="9"/>
        <v>--</v>
      </c>
      <c r="F82" s="129" t="str">
        <f t="shared" si="10"/>
        <v>--</v>
      </c>
      <c r="G82" s="129" t="str">
        <f t="shared" si="11"/>
        <v>--</v>
      </c>
      <c r="H82" s="129" t="str">
        <f t="shared" si="12"/>
        <v>--</v>
      </c>
      <c r="I82" s="129" t="str">
        <f t="shared" si="13"/>
        <v>--</v>
      </c>
      <c r="K82" s="26"/>
    </row>
    <row r="83" spans="1:11" x14ac:dyDescent="0.3">
      <c r="A83" s="26"/>
      <c r="B83" s="131" t="str">
        <f>IF(BackupMethod="Exchange Native Data Protection","--",IF(TotNumDBCopiesServer&gt;COUNTA(B$15:B82),B82+1,"--"))</f>
        <v>--</v>
      </c>
      <c r="C83" s="129"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129" t="str">
        <f t="shared" si="8"/>
        <v>--</v>
      </c>
      <c r="E83" s="129" t="str">
        <f t="shared" si="9"/>
        <v>--</v>
      </c>
      <c r="F83" s="129" t="str">
        <f t="shared" si="10"/>
        <v>--</v>
      </c>
      <c r="G83" s="129" t="str">
        <f t="shared" si="11"/>
        <v>--</v>
      </c>
      <c r="H83" s="129" t="str">
        <f t="shared" si="12"/>
        <v>--</v>
      </c>
      <c r="I83" s="129" t="str">
        <f t="shared" si="13"/>
        <v>--</v>
      </c>
      <c r="K83" s="26"/>
    </row>
    <row r="84" spans="1:11" x14ac:dyDescent="0.3">
      <c r="A84" s="26"/>
      <c r="B84" s="131" t="str">
        <f>IF(BackupMethod="Exchange Native Data Protection","--",IF(TotNumDBCopiesServer&gt;COUNTA(B$15:B83),B83+1,"--"))</f>
        <v>--</v>
      </c>
      <c r="C84" s="129" t="str">
        <f t="shared" si="15"/>
        <v>--</v>
      </c>
      <c r="D84" s="129" t="str">
        <f t="shared" si="8"/>
        <v>--</v>
      </c>
      <c r="E84" s="129" t="str">
        <f t="shared" si="9"/>
        <v>--</v>
      </c>
      <c r="F84" s="129" t="str">
        <f t="shared" si="10"/>
        <v>--</v>
      </c>
      <c r="G84" s="129" t="str">
        <f t="shared" si="11"/>
        <v>--</v>
      </c>
      <c r="H84" s="129" t="str">
        <f t="shared" si="12"/>
        <v>--</v>
      </c>
      <c r="I84" s="129" t="str">
        <f t="shared" si="13"/>
        <v>--</v>
      </c>
      <c r="K84" s="26"/>
    </row>
    <row r="85" spans="1:11" x14ac:dyDescent="0.3">
      <c r="A85" s="26"/>
      <c r="B85" s="131" t="str">
        <f>IF(BackupMethod="Exchange Native Data Protection","--",IF(TotNumDBCopiesServer&gt;COUNTA(B$15:B84),B84+1,"--"))</f>
        <v>--</v>
      </c>
      <c r="C85" s="129"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129" t="str">
        <f t="shared" si="8"/>
        <v>--</v>
      </c>
      <c r="E85" s="129" t="str">
        <f t="shared" si="9"/>
        <v>--</v>
      </c>
      <c r="F85" s="129" t="str">
        <f t="shared" si="10"/>
        <v>--</v>
      </c>
      <c r="G85" s="129" t="str">
        <f t="shared" si="11"/>
        <v>--</v>
      </c>
      <c r="H85" s="129" t="str">
        <f t="shared" si="12"/>
        <v>--</v>
      </c>
      <c r="I85" s="129" t="str">
        <f t="shared" si="13"/>
        <v>--</v>
      </c>
      <c r="K85" s="26"/>
    </row>
    <row r="86" spans="1:11" x14ac:dyDescent="0.3">
      <c r="A86" s="26"/>
      <c r="B86" s="131" t="str">
        <f>IF(BackupMethod="Exchange Native Data Protection","--",IF(TotNumDBCopiesServer&gt;COUNTA(B$15:B85),B85+1,"--"))</f>
        <v>--</v>
      </c>
      <c r="C86" s="129"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129" t="str">
        <f t="shared" si="8"/>
        <v>--</v>
      </c>
      <c r="E86" s="129" t="str">
        <f t="shared" si="9"/>
        <v>--</v>
      </c>
      <c r="F86" s="129" t="str">
        <f t="shared" si="10"/>
        <v>--</v>
      </c>
      <c r="G86" s="129" t="str">
        <f t="shared" si="11"/>
        <v>--</v>
      </c>
      <c r="H86" s="129" t="str">
        <f t="shared" si="12"/>
        <v>--</v>
      </c>
      <c r="I86" s="129" t="str">
        <f t="shared" si="13"/>
        <v>--</v>
      </c>
      <c r="K86" s="26"/>
    </row>
    <row r="87" spans="1:11" x14ac:dyDescent="0.3">
      <c r="A87" s="26"/>
      <c r="B87" s="131" t="str">
        <f>IF(BackupMethod="Exchange Native Data Protection","--",IF(TotNumDBCopiesServer&gt;COUNTA(B$15:B86),B86+1,"--"))</f>
        <v>--</v>
      </c>
      <c r="C87" s="129" t="str">
        <f t="shared" si="15"/>
        <v>--</v>
      </c>
      <c r="D87" s="129" t="str">
        <f t="shared" si="8"/>
        <v>--</v>
      </c>
      <c r="E87" s="129" t="str">
        <f t="shared" si="9"/>
        <v>--</v>
      </c>
      <c r="F87" s="129" t="str">
        <f t="shared" si="10"/>
        <v>--</v>
      </c>
      <c r="G87" s="129" t="str">
        <f t="shared" si="11"/>
        <v>--</v>
      </c>
      <c r="H87" s="129" t="str">
        <f t="shared" si="12"/>
        <v>--</v>
      </c>
      <c r="I87" s="129" t="str">
        <f t="shared" si="13"/>
        <v>--</v>
      </c>
      <c r="K87" s="26"/>
    </row>
    <row r="88" spans="1:11" x14ac:dyDescent="0.3">
      <c r="A88" s="26"/>
      <c r="B88" s="131" t="str">
        <f>IF(BackupMethod="Exchange Native Data Protection","--",IF(TotNumDBCopiesServer&gt;COUNTA(B$15:B87),B87+1,"--"))</f>
        <v>--</v>
      </c>
      <c r="C88" s="129" t="str">
        <f t="shared" si="15"/>
        <v>--</v>
      </c>
      <c r="D88" s="129" t="str">
        <f t="shared" si="8"/>
        <v>--</v>
      </c>
      <c r="E88" s="129" t="str">
        <f t="shared" si="9"/>
        <v>--</v>
      </c>
      <c r="F88" s="129" t="str">
        <f t="shared" si="10"/>
        <v>--</v>
      </c>
      <c r="G88" s="129" t="str">
        <f t="shared" si="11"/>
        <v>--</v>
      </c>
      <c r="H88" s="129" t="str">
        <f t="shared" si="12"/>
        <v>--</v>
      </c>
      <c r="I88" s="129" t="str">
        <f t="shared" si="13"/>
        <v>--</v>
      </c>
      <c r="K88" s="26"/>
    </row>
    <row r="89" spans="1:11" x14ac:dyDescent="0.3">
      <c r="A89" s="26"/>
      <c r="B89" s="131" t="str">
        <f>IF(BackupMethod="Exchange Native Data Protection","--",IF(TotNumDBCopiesServer&gt;COUNTA(B$15:B88),B88+1,"--"))</f>
        <v>--</v>
      </c>
      <c r="C89" s="129" t="str">
        <f t="shared" si="15"/>
        <v>--</v>
      </c>
      <c r="D89" s="129" t="str">
        <f t="shared" si="8"/>
        <v>--</v>
      </c>
      <c r="E89" s="129" t="str">
        <f t="shared" si="9"/>
        <v>--</v>
      </c>
      <c r="F89" s="129" t="str">
        <f t="shared" si="10"/>
        <v>--</v>
      </c>
      <c r="G89" s="129" t="str">
        <f t="shared" si="11"/>
        <v>--</v>
      </c>
      <c r="H89" s="129" t="str">
        <f t="shared" si="12"/>
        <v>--</v>
      </c>
      <c r="I89" s="129" t="str">
        <f t="shared" si="13"/>
        <v>--</v>
      </c>
      <c r="K89" s="26"/>
    </row>
    <row r="90" spans="1:11" x14ac:dyDescent="0.3">
      <c r="A90" s="26"/>
      <c r="B90" s="131" t="str">
        <f>IF(BackupMethod="Exchange Native Data Protection","--",IF(TotNumDBCopiesServer&gt;COUNTA(B$15:B89),B89+1,"--"))</f>
        <v>--</v>
      </c>
      <c r="C90" s="129" t="str">
        <f t="shared" si="15"/>
        <v>--</v>
      </c>
      <c r="D90" s="129" t="str">
        <f t="shared" si="8"/>
        <v>--</v>
      </c>
      <c r="E90" s="129" t="str">
        <f t="shared" si="9"/>
        <v>--</v>
      </c>
      <c r="F90" s="129" t="str">
        <f t="shared" si="10"/>
        <v>--</v>
      </c>
      <c r="G90" s="129" t="str">
        <f t="shared" si="11"/>
        <v>--</v>
      </c>
      <c r="H90" s="129" t="str">
        <f t="shared" si="12"/>
        <v>--</v>
      </c>
      <c r="I90" s="129" t="str">
        <f t="shared" si="13"/>
        <v>--</v>
      </c>
      <c r="K90" s="26"/>
    </row>
    <row r="91" spans="1:11" x14ac:dyDescent="0.3">
      <c r="A91" s="26"/>
      <c r="B91" s="131" t="str">
        <f>IF(BackupMethod="Exchange Native Data Protection","--",IF(TotNumDBCopiesServer&gt;COUNTA(B$15:B90),B90+1,"--"))</f>
        <v>--</v>
      </c>
      <c r="C91" s="129" t="str">
        <f t="shared" si="15"/>
        <v>--</v>
      </c>
      <c r="D91" s="129" t="str">
        <f t="shared" si="8"/>
        <v>--</v>
      </c>
      <c r="E91" s="129" t="str">
        <f t="shared" si="9"/>
        <v>--</v>
      </c>
      <c r="F91" s="129" t="str">
        <f t="shared" si="10"/>
        <v>--</v>
      </c>
      <c r="G91" s="129" t="str">
        <f t="shared" si="11"/>
        <v>--</v>
      </c>
      <c r="H91" s="129" t="str">
        <f t="shared" si="12"/>
        <v>--</v>
      </c>
      <c r="I91" s="129" t="str">
        <f t="shared" si="13"/>
        <v>--</v>
      </c>
      <c r="K91" s="26"/>
    </row>
    <row r="92" spans="1:11" x14ac:dyDescent="0.3">
      <c r="A92" s="26"/>
      <c r="B92" s="131" t="str">
        <f>IF(BackupMethod="Exchange Native Data Protection","--",IF(TotNumDBCopiesServer&gt;COUNTA(B$15:B91),B91+1,"--"))</f>
        <v>--</v>
      </c>
      <c r="C92" s="129"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129" t="str">
        <f t="shared" si="8"/>
        <v>--</v>
      </c>
      <c r="E92" s="129" t="str">
        <f t="shared" si="9"/>
        <v>--</v>
      </c>
      <c r="F92" s="129" t="str">
        <f t="shared" si="10"/>
        <v>--</v>
      </c>
      <c r="G92" s="129" t="str">
        <f t="shared" si="11"/>
        <v>--</v>
      </c>
      <c r="H92" s="129" t="str">
        <f t="shared" si="12"/>
        <v>--</v>
      </c>
      <c r="I92" s="129" t="str">
        <f t="shared" si="13"/>
        <v>--</v>
      </c>
      <c r="K92" s="26"/>
    </row>
    <row r="93" spans="1:11" x14ac:dyDescent="0.3">
      <c r="A93" s="26"/>
      <c r="B93" s="131" t="str">
        <f>IF(BackupMethod="Exchange Native Data Protection","--",IF(TotNumDBCopiesServer&gt;COUNTA(B$15:B92),B92+1,"--"))</f>
        <v>--</v>
      </c>
      <c r="C93" s="129"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129" t="str">
        <f t="shared" si="8"/>
        <v>--</v>
      </c>
      <c r="E93" s="129" t="str">
        <f t="shared" si="9"/>
        <v>--</v>
      </c>
      <c r="F93" s="129" t="str">
        <f t="shared" si="10"/>
        <v>--</v>
      </c>
      <c r="G93" s="129" t="str">
        <f t="shared" si="11"/>
        <v>--</v>
      </c>
      <c r="H93" s="129" t="str">
        <f t="shared" si="12"/>
        <v>--</v>
      </c>
      <c r="I93" s="129" t="str">
        <f t="shared" si="13"/>
        <v>--</v>
      </c>
      <c r="K93" s="26"/>
    </row>
    <row r="94" spans="1:11" x14ac:dyDescent="0.3">
      <c r="A94" s="26"/>
      <c r="B94" s="131" t="str">
        <f>IF(BackupMethod="Exchange Native Data Protection","--",IF(TotNumDBCopiesServer&gt;COUNTA(B$15:B93),B93+1,"--"))</f>
        <v>--</v>
      </c>
      <c r="C94" s="129" t="str">
        <f t="shared" si="15"/>
        <v>--</v>
      </c>
      <c r="D94" s="129" t="str">
        <f t="shared" si="8"/>
        <v>--</v>
      </c>
      <c r="E94" s="129" t="str">
        <f t="shared" si="9"/>
        <v>--</v>
      </c>
      <c r="F94" s="129" t="str">
        <f t="shared" si="10"/>
        <v>--</v>
      </c>
      <c r="G94" s="129" t="str">
        <f t="shared" si="11"/>
        <v>--</v>
      </c>
      <c r="H94" s="129" t="str">
        <f t="shared" si="12"/>
        <v>--</v>
      </c>
      <c r="I94" s="129" t="str">
        <f t="shared" si="13"/>
        <v>--</v>
      </c>
      <c r="K94" s="26"/>
    </row>
    <row r="95" spans="1:11" x14ac:dyDescent="0.3">
      <c r="A95" s="26"/>
      <c r="B95" s="131" t="str">
        <f>IF(BackupMethod="Exchange Native Data Protection","--",IF(TotNumDBCopiesServer&gt;COUNTA(B$15:B94),B94+1,"--"))</f>
        <v>--</v>
      </c>
      <c r="C95" s="129" t="str">
        <f t="shared" si="15"/>
        <v>--</v>
      </c>
      <c r="D95" s="129" t="str">
        <f t="shared" si="8"/>
        <v>--</v>
      </c>
      <c r="E95" s="129" t="str">
        <f t="shared" si="9"/>
        <v>--</v>
      </c>
      <c r="F95" s="129" t="str">
        <f t="shared" si="10"/>
        <v>--</v>
      </c>
      <c r="G95" s="129" t="str">
        <f t="shared" si="11"/>
        <v>--</v>
      </c>
      <c r="H95" s="129" t="str">
        <f t="shared" si="12"/>
        <v>--</v>
      </c>
      <c r="I95" s="129" t="str">
        <f t="shared" si="13"/>
        <v>--</v>
      </c>
      <c r="K95" s="26"/>
    </row>
    <row r="96" spans="1:11" x14ac:dyDescent="0.3">
      <c r="A96" s="26"/>
      <c r="B96" s="131" t="str">
        <f>IF(BackupMethod="Exchange Native Data Protection","--",IF(TotNumDBCopiesServer&gt;COUNTA(B$15:B95),B95+1,"--"))</f>
        <v>--</v>
      </c>
      <c r="C96" s="129" t="str">
        <f t="shared" si="15"/>
        <v>--</v>
      </c>
      <c r="D96" s="129" t="str">
        <f t="shared" si="8"/>
        <v>--</v>
      </c>
      <c r="E96" s="129" t="str">
        <f t="shared" si="9"/>
        <v>--</v>
      </c>
      <c r="F96" s="129" t="str">
        <f t="shared" si="10"/>
        <v>--</v>
      </c>
      <c r="G96" s="129" t="str">
        <f t="shared" si="11"/>
        <v>--</v>
      </c>
      <c r="H96" s="129" t="str">
        <f t="shared" si="12"/>
        <v>--</v>
      </c>
      <c r="I96" s="129" t="str">
        <f t="shared" si="13"/>
        <v>--</v>
      </c>
      <c r="K96" s="26"/>
    </row>
    <row r="97" spans="1:11" x14ac:dyDescent="0.3">
      <c r="A97" s="26"/>
      <c r="B97" s="131" t="str">
        <f>IF(BackupMethod="Exchange Native Data Protection","--",IF(TotNumDBCopiesServer&gt;COUNTA(B$15:B96),B96+1,"--"))</f>
        <v>--</v>
      </c>
      <c r="C97" s="129" t="str">
        <f t="shared" si="15"/>
        <v>--</v>
      </c>
      <c r="D97" s="129" t="str">
        <f t="shared" si="8"/>
        <v>--</v>
      </c>
      <c r="E97" s="129" t="str">
        <f t="shared" si="9"/>
        <v>--</v>
      </c>
      <c r="F97" s="129" t="str">
        <f t="shared" si="10"/>
        <v>--</v>
      </c>
      <c r="G97" s="129" t="str">
        <f t="shared" si="11"/>
        <v>--</v>
      </c>
      <c r="H97" s="129" t="str">
        <f t="shared" si="12"/>
        <v>--</v>
      </c>
      <c r="I97" s="129" t="str">
        <f t="shared" si="13"/>
        <v>--</v>
      </c>
      <c r="K97" s="26"/>
    </row>
    <row r="98" spans="1:11" x14ac:dyDescent="0.3">
      <c r="A98" s="26"/>
      <c r="B98" s="131" t="str">
        <f>IF(BackupMethod="Exchange Native Data Protection","--",IF(TotNumDBCopiesServer&gt;COUNTA(B$15:B97),B97+1,"--"))</f>
        <v>--</v>
      </c>
      <c r="C98" s="129" t="str">
        <f t="shared" si="15"/>
        <v>--</v>
      </c>
      <c r="D98" s="129" t="str">
        <f t="shared" si="8"/>
        <v>--</v>
      </c>
      <c r="E98" s="129" t="str">
        <f t="shared" si="9"/>
        <v>--</v>
      </c>
      <c r="F98" s="129" t="str">
        <f t="shared" si="10"/>
        <v>--</v>
      </c>
      <c r="G98" s="129" t="str">
        <f t="shared" si="11"/>
        <v>--</v>
      </c>
      <c r="H98" s="129" t="str">
        <f t="shared" si="12"/>
        <v>--</v>
      </c>
      <c r="I98" s="129" t="str">
        <f t="shared" si="13"/>
        <v>--</v>
      </c>
      <c r="K98" s="26"/>
    </row>
    <row r="99" spans="1:11" x14ac:dyDescent="0.3">
      <c r="A99" s="26"/>
      <c r="B99" s="131" t="str">
        <f>IF(BackupMethod="Exchange Native Data Protection","--",IF(TotNumDBCopiesServer&gt;COUNTA(B$15:B98),B98+1,"--"))</f>
        <v>--</v>
      </c>
      <c r="C99" s="129"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129" t="str">
        <f t="shared" si="8"/>
        <v>--</v>
      </c>
      <c r="E99" s="129" t="str">
        <f t="shared" si="9"/>
        <v>--</v>
      </c>
      <c r="F99" s="129" t="str">
        <f t="shared" si="10"/>
        <v>--</v>
      </c>
      <c r="G99" s="129" t="str">
        <f t="shared" si="11"/>
        <v>--</v>
      </c>
      <c r="H99" s="129" t="str">
        <f t="shared" si="12"/>
        <v>--</v>
      </c>
      <c r="I99" s="129" t="str">
        <f t="shared" si="13"/>
        <v>--</v>
      </c>
      <c r="K99" s="26"/>
    </row>
    <row r="100" spans="1:11" x14ac:dyDescent="0.3">
      <c r="A100" s="26"/>
      <c r="B100" s="131" t="str">
        <f>IF(BackupMethod="Exchange Native Data Protection","--",IF(TotNumDBCopiesServer&gt;COUNTA(B$15:B99),B99+1,"--"))</f>
        <v>--</v>
      </c>
      <c r="C100" s="129"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129" t="str">
        <f t="shared" si="8"/>
        <v>--</v>
      </c>
      <c r="E100" s="129" t="str">
        <f t="shared" si="9"/>
        <v>--</v>
      </c>
      <c r="F100" s="129" t="str">
        <f t="shared" si="10"/>
        <v>--</v>
      </c>
      <c r="G100" s="129" t="str">
        <f t="shared" si="11"/>
        <v>--</v>
      </c>
      <c r="H100" s="129" t="str">
        <f t="shared" si="12"/>
        <v>--</v>
      </c>
      <c r="I100" s="129" t="str">
        <f t="shared" si="13"/>
        <v>--</v>
      </c>
      <c r="K100" s="26"/>
    </row>
    <row r="101" spans="1:11" x14ac:dyDescent="0.3">
      <c r="A101" s="26"/>
      <c r="B101" s="131" t="str">
        <f>IF(BackupMethod="Exchange Native Data Protection","--",IF(TotNumDBCopiesServer&gt;COUNTA(B$15:B100),B100+1,"--"))</f>
        <v>--</v>
      </c>
      <c r="C101" s="129" t="str">
        <f t="shared" si="15"/>
        <v>--</v>
      </c>
      <c r="D101" s="129" t="str">
        <f t="shared" si="8"/>
        <v>--</v>
      </c>
      <c r="E101" s="129" t="str">
        <f t="shared" si="9"/>
        <v>--</v>
      </c>
      <c r="F101" s="129" t="str">
        <f t="shared" si="10"/>
        <v>--</v>
      </c>
      <c r="G101" s="129" t="str">
        <f t="shared" si="11"/>
        <v>--</v>
      </c>
      <c r="H101" s="129" t="str">
        <f t="shared" si="12"/>
        <v>--</v>
      </c>
      <c r="I101" s="129" t="str">
        <f t="shared" si="13"/>
        <v>--</v>
      </c>
      <c r="K101" s="26"/>
    </row>
    <row r="102" spans="1:11" x14ac:dyDescent="0.3">
      <c r="A102" s="26"/>
      <c r="B102" s="131" t="str">
        <f>IF(BackupMethod="Exchange Native Data Protection","--",IF(TotNumDBCopiesServer&gt;COUNTA(B$15:B101),B101+1,"--"))</f>
        <v>--</v>
      </c>
      <c r="C102" s="129" t="str">
        <f t="shared" si="15"/>
        <v>--</v>
      </c>
      <c r="D102" s="129" t="str">
        <f t="shared" si="8"/>
        <v>--</v>
      </c>
      <c r="E102" s="129" t="str">
        <f t="shared" si="9"/>
        <v>--</v>
      </c>
      <c r="F102" s="129" t="str">
        <f t="shared" si="10"/>
        <v>--</v>
      </c>
      <c r="G102" s="129" t="str">
        <f t="shared" si="11"/>
        <v>--</v>
      </c>
      <c r="H102" s="129" t="str">
        <f t="shared" si="12"/>
        <v>--</v>
      </c>
      <c r="I102" s="129" t="str">
        <f t="shared" si="13"/>
        <v>--</v>
      </c>
      <c r="K102" s="26"/>
    </row>
    <row r="103" spans="1:11" x14ac:dyDescent="0.3">
      <c r="A103" s="26"/>
      <c r="B103" s="131" t="str">
        <f>IF(BackupMethod="Exchange Native Data Protection","--",IF(TotNumDBCopiesServer&gt;COUNTA(B$15:B102),B102+1,"--"))</f>
        <v>--</v>
      </c>
      <c r="C103" s="129" t="str">
        <f t="shared" si="15"/>
        <v>--</v>
      </c>
      <c r="D103" s="129" t="str">
        <f t="shared" si="8"/>
        <v>--</v>
      </c>
      <c r="E103" s="129" t="str">
        <f t="shared" si="9"/>
        <v>--</v>
      </c>
      <c r="F103" s="129" t="str">
        <f t="shared" si="10"/>
        <v>--</v>
      </c>
      <c r="G103" s="129" t="str">
        <f t="shared" si="11"/>
        <v>--</v>
      </c>
      <c r="H103" s="129" t="str">
        <f t="shared" si="12"/>
        <v>--</v>
      </c>
      <c r="I103" s="129" t="str">
        <f t="shared" si="13"/>
        <v>--</v>
      </c>
      <c r="K103" s="26"/>
    </row>
    <row r="104" spans="1:11" x14ac:dyDescent="0.3">
      <c r="A104" s="26"/>
      <c r="B104" s="131" t="str">
        <f>IF(BackupMethod="Exchange Native Data Protection","--",IF(TotNumDBCopiesServer&gt;COUNTA(B$15:B103),B103+1,"--"))</f>
        <v>--</v>
      </c>
      <c r="C104" s="129" t="str">
        <f t="shared" si="15"/>
        <v>--</v>
      </c>
      <c r="D104" s="129" t="str">
        <f t="shared" si="8"/>
        <v>--</v>
      </c>
      <c r="E104" s="129" t="str">
        <f t="shared" si="9"/>
        <v>--</v>
      </c>
      <c r="F104" s="129" t="str">
        <f t="shared" si="10"/>
        <v>--</v>
      </c>
      <c r="G104" s="129" t="str">
        <f t="shared" si="11"/>
        <v>--</v>
      </c>
      <c r="H104" s="129" t="str">
        <f t="shared" si="12"/>
        <v>--</v>
      </c>
      <c r="I104" s="129" t="str">
        <f t="shared" si="13"/>
        <v>--</v>
      </c>
      <c r="K104" s="26"/>
    </row>
    <row r="105" spans="1:11" x14ac:dyDescent="0.3">
      <c r="A105" s="26"/>
      <c r="B105" s="131" t="str">
        <f>IF(BackupMethod="Exchange Native Data Protection","--",IF(TotNumDBCopiesServer&gt;COUNTA(B$15:B104),B104+1,"--"))</f>
        <v>--</v>
      </c>
      <c r="C105" s="129" t="str">
        <f t="shared" si="15"/>
        <v>--</v>
      </c>
      <c r="D105" s="129" t="str">
        <f t="shared" si="8"/>
        <v>--</v>
      </c>
      <c r="E105" s="129" t="str">
        <f t="shared" si="9"/>
        <v>--</v>
      </c>
      <c r="F105" s="129" t="str">
        <f t="shared" si="10"/>
        <v>--</v>
      </c>
      <c r="G105" s="129" t="str">
        <f t="shared" si="11"/>
        <v>--</v>
      </c>
      <c r="H105" s="129" t="str">
        <f t="shared" si="12"/>
        <v>--</v>
      </c>
      <c r="I105" s="129" t="str">
        <f t="shared" si="13"/>
        <v>--</v>
      </c>
      <c r="K105" s="26"/>
    </row>
    <row r="106" spans="1:11" x14ac:dyDescent="0.3">
      <c r="A106" s="26"/>
      <c r="B106" s="131" t="str">
        <f>IF(BackupMethod="Exchange Native Data Protection","--",IF(TotNumDBCopiesServer&gt;COUNTA(B$15:B105),B105+1,"--"))</f>
        <v>--</v>
      </c>
      <c r="C106" s="129"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129" t="str">
        <f t="shared" si="8"/>
        <v>--</v>
      </c>
      <c r="E106" s="129" t="str">
        <f t="shared" si="9"/>
        <v>--</v>
      </c>
      <c r="F106" s="129" t="str">
        <f t="shared" si="10"/>
        <v>--</v>
      </c>
      <c r="G106" s="129" t="str">
        <f t="shared" si="11"/>
        <v>--</v>
      </c>
      <c r="H106" s="129" t="str">
        <f t="shared" si="12"/>
        <v>--</v>
      </c>
      <c r="I106" s="129" t="str">
        <f t="shared" si="13"/>
        <v>--</v>
      </c>
      <c r="K106" s="26"/>
    </row>
    <row r="107" spans="1:11" x14ac:dyDescent="0.3">
      <c r="A107" s="26"/>
      <c r="B107" s="131" t="str">
        <f>IF(BackupMethod="Exchange Native Data Protection","--",IF(TotNumDBCopiesServer&gt;COUNTA(B$15:B106),B106+1,"--"))</f>
        <v>--</v>
      </c>
      <c r="C107" s="129"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129" t="str">
        <f t="shared" si="8"/>
        <v>--</v>
      </c>
      <c r="E107" s="129" t="str">
        <f t="shared" si="9"/>
        <v>--</v>
      </c>
      <c r="F107" s="129" t="str">
        <f t="shared" si="10"/>
        <v>--</v>
      </c>
      <c r="G107" s="129" t="str">
        <f t="shared" si="11"/>
        <v>--</v>
      </c>
      <c r="H107" s="129" t="str">
        <f t="shared" si="12"/>
        <v>--</v>
      </c>
      <c r="I107" s="129" t="str">
        <f t="shared" si="13"/>
        <v>--</v>
      </c>
      <c r="K107" s="26"/>
    </row>
    <row r="108" spans="1:11" x14ac:dyDescent="0.3">
      <c r="A108" s="26"/>
      <c r="B108" s="131" t="str">
        <f>IF(BackupMethod="Exchange Native Data Protection","--",IF(TotNumDBCopiesServer&gt;COUNTA(B$15:B107),B107+1,"--"))</f>
        <v>--</v>
      </c>
      <c r="C108" s="129" t="str">
        <f t="shared" si="15"/>
        <v>--</v>
      </c>
      <c r="D108" s="129" t="str">
        <f t="shared" si="8"/>
        <v>--</v>
      </c>
      <c r="E108" s="129" t="str">
        <f t="shared" si="9"/>
        <v>--</v>
      </c>
      <c r="F108" s="129" t="str">
        <f t="shared" si="10"/>
        <v>--</v>
      </c>
      <c r="G108" s="129" t="str">
        <f t="shared" si="11"/>
        <v>--</v>
      </c>
      <c r="H108" s="129" t="str">
        <f t="shared" si="12"/>
        <v>--</v>
      </c>
      <c r="I108" s="129" t="str">
        <f t="shared" si="13"/>
        <v>--</v>
      </c>
      <c r="K108" s="26"/>
    </row>
    <row r="109" spans="1:11" x14ac:dyDescent="0.3">
      <c r="A109" s="26"/>
      <c r="B109" s="131" t="str">
        <f>IF(BackupMethod="Exchange Native Data Protection","--",IF(TotNumDBCopiesServer&gt;COUNTA(B$15:B108),B108+1,"--"))</f>
        <v>--</v>
      </c>
      <c r="C109" s="129" t="str">
        <f t="shared" si="15"/>
        <v>--</v>
      </c>
      <c r="D109" s="129" t="str">
        <f t="shared" si="8"/>
        <v>--</v>
      </c>
      <c r="E109" s="129" t="str">
        <f t="shared" si="9"/>
        <v>--</v>
      </c>
      <c r="F109" s="129" t="str">
        <f t="shared" si="10"/>
        <v>--</v>
      </c>
      <c r="G109" s="129" t="str">
        <f t="shared" si="11"/>
        <v>--</v>
      </c>
      <c r="H109" s="129" t="str">
        <f t="shared" si="12"/>
        <v>--</v>
      </c>
      <c r="I109" s="129" t="str">
        <f t="shared" si="13"/>
        <v>--</v>
      </c>
      <c r="K109" s="26"/>
    </row>
    <row r="110" spans="1:11" x14ac:dyDescent="0.3">
      <c r="A110" s="26"/>
      <c r="B110" s="131" t="str">
        <f>IF(BackupMethod="Exchange Native Data Protection","--",IF(TotNumDBCopiesServer&gt;COUNTA(B$15:B109),B109+1,"--"))</f>
        <v>--</v>
      </c>
      <c r="C110" s="129" t="str">
        <f t="shared" si="15"/>
        <v>--</v>
      </c>
      <c r="D110" s="129" t="str">
        <f t="shared" si="8"/>
        <v>--</v>
      </c>
      <c r="E110" s="129" t="str">
        <f t="shared" si="9"/>
        <v>--</v>
      </c>
      <c r="F110" s="129" t="str">
        <f t="shared" si="10"/>
        <v>--</v>
      </c>
      <c r="G110" s="129" t="str">
        <f t="shared" si="11"/>
        <v>--</v>
      </c>
      <c r="H110" s="129" t="str">
        <f t="shared" si="12"/>
        <v>--</v>
      </c>
      <c r="I110" s="129" t="str">
        <f t="shared" si="13"/>
        <v>--</v>
      </c>
      <c r="K110" s="26"/>
    </row>
    <row r="111" spans="1:11" x14ac:dyDescent="0.3">
      <c r="A111" s="26"/>
      <c r="B111" s="131" t="str">
        <f>IF(BackupMethod="Exchange Native Data Protection","--",IF(TotNumDBCopiesServer&gt;COUNTA(B$15:B110),B110+1,"--"))</f>
        <v>--</v>
      </c>
      <c r="C111" s="129" t="str">
        <f t="shared" si="15"/>
        <v>--</v>
      </c>
      <c r="D111" s="129" t="str">
        <f t="shared" si="8"/>
        <v>--</v>
      </c>
      <c r="E111" s="129" t="str">
        <f t="shared" si="9"/>
        <v>--</v>
      </c>
      <c r="F111" s="129" t="str">
        <f t="shared" si="10"/>
        <v>--</v>
      </c>
      <c r="G111" s="129" t="str">
        <f t="shared" si="11"/>
        <v>--</v>
      </c>
      <c r="H111" s="129" t="str">
        <f t="shared" si="12"/>
        <v>--</v>
      </c>
      <c r="I111" s="129" t="str">
        <f t="shared" si="13"/>
        <v>--</v>
      </c>
      <c r="K111" s="26"/>
    </row>
    <row r="112" spans="1:11" x14ac:dyDescent="0.3">
      <c r="A112" s="26"/>
      <c r="B112" s="131" t="str">
        <f>IF(BackupMethod="Exchange Native Data Protection","--",IF(TotNumDBCopiesServer&gt;COUNTA(B$15:B111),B111+1,"--"))</f>
        <v>--</v>
      </c>
      <c r="C112" s="129" t="str">
        <f t="shared" si="15"/>
        <v>--</v>
      </c>
      <c r="D112" s="129" t="str">
        <f>IF($B112="--","--",IF(BackupFreq="Daily Full","Full",IF(AND($C111="Full",ROW(D112)&lt;&gt;ROW($C111)),"Full",IF(BackupFreq="Weekly Full / Daily Incremental","Incremental","Differential"))))</f>
        <v>--</v>
      </c>
      <c r="E112" s="129" t="str">
        <f>IF($B112="--","--",IF(BackupFreq="Daily Full","Full",IF(AND(D112="Full",ROW(E112)=ROW(D112)),IF(BackupFreq="Weekly Full / Daily Incremental","Incremental","Differential"),IF(AND($D111="Full",ROW(E112)&lt;&gt;ROW($D111)),"Full",IF(BackupFreq="Weekly Full / Daily Incremental","Incremental","Differential")))))</f>
        <v>--</v>
      </c>
      <c r="F112" s="129"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129"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129"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129"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K112" s="26"/>
    </row>
    <row r="113" spans="1:11" x14ac:dyDescent="0.3">
      <c r="A113" s="26"/>
      <c r="B113" s="131" t="str">
        <f>IF(BackupMethod="Exchange Native Data Protection","--",IF(TotNumDBCopiesServer&gt;COUNTA(B$15:B112),B112+1,"--"))</f>
        <v>--</v>
      </c>
      <c r="C113" s="129"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129" t="str">
        <f>IF($B113="--","--",IF(BackupFreq="Daily Full","Full",IF(AND($C112="Full",ROW(D113)&lt;&gt;ROW($C112)),"Full",IF(BackupFreq="Weekly Full / Daily Incremental","Incremental","Differential"))))</f>
        <v>--</v>
      </c>
      <c r="E113" s="129" t="str">
        <f>IF($B113="--","--",IF(BackupFreq="Daily Full","Full",IF(AND(D113="Full",ROW(E113)=ROW(D113)),IF(BackupFreq="Weekly Full / Daily Incremental","Incremental","Differential"),IF(AND($D112="Full",ROW(E113)&lt;&gt;ROW($D112)),"Full",IF(BackupFreq="Weekly Full / Daily Incremental","Incremental","Differential")))))</f>
        <v>--</v>
      </c>
      <c r="F113" s="129"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129"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129"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129"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K113" s="26"/>
    </row>
    <row r="114" spans="1:11" x14ac:dyDescent="0.3">
      <c r="A114" s="26"/>
      <c r="B114" s="131" t="str">
        <f>IF(BackupMethod="Exchange Native Data Protection","--",IF(TotNumDBCopiesServer&gt;COUNTA(B$15:B113),B113+1,"--"))</f>
        <v>--</v>
      </c>
      <c r="C114" s="129"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129" t="str">
        <f>IF($B114="--","--",IF(BackupFreq="Daily Full","Full",IF(AND($C113="Full",ROW(D114)&lt;&gt;ROW($C113)),"Full",IF(BackupFreq="Weekly Full / Daily Incremental","Incremental","Differential"))))</f>
        <v>--</v>
      </c>
      <c r="E114" s="129" t="str">
        <f>IF($B114="--","--",IF(BackupFreq="Daily Full","Full",IF(AND(D114="Full",ROW(E114)=ROW(D114)),IF(BackupFreq="Weekly Full / Daily Incremental","Incremental","Differential"),IF(AND($D113="Full",ROW(E114)&lt;&gt;ROW($D113)),"Full",IF(BackupFreq="Weekly Full / Daily Incremental","Incremental","Differential")))))</f>
        <v>--</v>
      </c>
      <c r="F114" s="129"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129"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129"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129"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K114" s="26"/>
    </row>
    <row r="115" spans="1:11" ht="15" thickBot="1" x14ac:dyDescent="0.35">
      <c r="A115" s="26"/>
      <c r="B115" s="208"/>
      <c r="C115" s="209"/>
      <c r="D115" s="209"/>
      <c r="E115" s="209"/>
      <c r="F115" s="209"/>
      <c r="G115" s="209"/>
      <c r="H115" s="209"/>
      <c r="I115" s="209"/>
      <c r="K115" s="26"/>
    </row>
    <row r="116" spans="1:11" x14ac:dyDescent="0.3">
      <c r="B116" s="131"/>
      <c r="C116" s="129"/>
      <c r="D116" s="129"/>
      <c r="E116" s="129"/>
      <c r="F116" s="129"/>
      <c r="G116" s="129"/>
      <c r="H116" s="129"/>
      <c r="I116" s="129"/>
      <c r="J116" s="298"/>
      <c r="K116" s="298"/>
    </row>
    <row r="117" spans="1:11" x14ac:dyDescent="0.3">
      <c r="B117" s="131"/>
      <c r="C117" s="129"/>
      <c r="D117" s="129"/>
      <c r="E117" s="129"/>
      <c r="F117" s="129"/>
      <c r="G117" s="129"/>
      <c r="H117" s="129"/>
      <c r="I117" s="129"/>
    </row>
    <row r="118" spans="1:11" x14ac:dyDescent="0.3">
      <c r="B118" s="131"/>
      <c r="C118" s="129"/>
      <c r="D118" s="129"/>
      <c r="E118" s="129"/>
      <c r="F118" s="129"/>
      <c r="G118" s="129"/>
      <c r="H118" s="129"/>
      <c r="I118" s="129"/>
    </row>
    <row r="119" spans="1:11" x14ac:dyDescent="0.3">
      <c r="B119" s="131"/>
      <c r="C119" s="129"/>
      <c r="D119" s="129"/>
      <c r="E119" s="129"/>
      <c r="F119" s="129"/>
      <c r="G119" s="129"/>
      <c r="H119" s="129"/>
      <c r="I119" s="129"/>
    </row>
    <row r="120" spans="1:11" x14ac:dyDescent="0.3">
      <c r="B120" s="131"/>
      <c r="C120" s="129"/>
      <c r="D120" s="129"/>
      <c r="E120" s="129"/>
      <c r="F120" s="129"/>
      <c r="G120" s="129"/>
      <c r="H120" s="129"/>
      <c r="I120" s="129"/>
    </row>
    <row r="121" spans="1:11" x14ac:dyDescent="0.3">
      <c r="B121" s="131"/>
      <c r="C121" s="129"/>
      <c r="D121" s="129"/>
      <c r="E121" s="129"/>
      <c r="F121" s="129"/>
      <c r="G121" s="129"/>
      <c r="H121" s="129"/>
      <c r="I121" s="129"/>
    </row>
    <row r="122" spans="1:11" x14ac:dyDescent="0.3">
      <c r="B122" s="131"/>
      <c r="C122" s="129"/>
      <c r="D122" s="129"/>
      <c r="E122" s="129"/>
      <c r="F122" s="129"/>
      <c r="G122" s="129"/>
      <c r="H122" s="129"/>
      <c r="I122" s="129"/>
    </row>
    <row r="123" spans="1:11" x14ac:dyDescent="0.3">
      <c r="B123" s="131"/>
      <c r="C123" s="129"/>
      <c r="D123" s="129"/>
      <c r="E123" s="129"/>
      <c r="F123" s="129"/>
      <c r="G123" s="129"/>
      <c r="H123" s="129"/>
      <c r="I123" s="129"/>
    </row>
    <row r="124" spans="1:11" x14ac:dyDescent="0.3">
      <c r="B124" s="131"/>
      <c r="C124" s="129"/>
      <c r="D124" s="129"/>
      <c r="E124" s="129"/>
      <c r="F124" s="129"/>
      <c r="G124" s="129"/>
      <c r="H124" s="129"/>
      <c r="I124" s="129"/>
    </row>
    <row r="125" spans="1:11" x14ac:dyDescent="0.3">
      <c r="B125" s="131"/>
      <c r="C125" s="129"/>
      <c r="D125" s="129"/>
      <c r="E125" s="129"/>
      <c r="F125" s="129"/>
      <c r="G125" s="129"/>
      <c r="H125" s="129"/>
      <c r="I125" s="129"/>
    </row>
    <row r="126" spans="1:11" x14ac:dyDescent="0.3">
      <c r="B126" s="131"/>
      <c r="C126" s="129"/>
      <c r="D126" s="129"/>
      <c r="E126" s="129"/>
      <c r="F126" s="129"/>
      <c r="G126" s="129"/>
      <c r="H126" s="129"/>
      <c r="I126" s="129"/>
    </row>
    <row r="127" spans="1:11" x14ac:dyDescent="0.3">
      <c r="B127" s="131"/>
      <c r="C127" s="129"/>
      <c r="D127" s="129"/>
      <c r="E127" s="129"/>
      <c r="F127" s="129"/>
      <c r="G127" s="129"/>
      <c r="H127" s="129"/>
      <c r="I127" s="129"/>
    </row>
    <row r="128" spans="1:11" x14ac:dyDescent="0.3">
      <c r="B128" s="131"/>
      <c r="C128" s="129"/>
      <c r="D128" s="129"/>
      <c r="E128" s="129"/>
      <c r="F128" s="129"/>
      <c r="G128" s="129"/>
      <c r="H128" s="129"/>
      <c r="I128" s="129"/>
    </row>
    <row r="129" spans="2:9" x14ac:dyDescent="0.3">
      <c r="B129" s="131"/>
      <c r="C129" s="129"/>
      <c r="D129" s="129"/>
      <c r="E129" s="129"/>
      <c r="F129" s="129"/>
      <c r="G129" s="129"/>
      <c r="H129" s="129"/>
      <c r="I129" s="129"/>
    </row>
    <row r="130" spans="2:9" x14ac:dyDescent="0.3">
      <c r="B130" s="131"/>
      <c r="C130" s="129"/>
      <c r="D130" s="129"/>
      <c r="E130" s="129"/>
      <c r="F130" s="129"/>
      <c r="G130" s="129"/>
      <c r="H130" s="129"/>
      <c r="I130" s="129"/>
    </row>
    <row r="131" spans="2:9" x14ac:dyDescent="0.3">
      <c r="B131" s="131"/>
      <c r="C131" s="129"/>
      <c r="D131" s="129"/>
      <c r="E131" s="129"/>
      <c r="F131" s="129"/>
      <c r="G131" s="129"/>
      <c r="H131" s="129"/>
      <c r="I131" s="129"/>
    </row>
    <row r="132" spans="2:9" x14ac:dyDescent="0.3">
      <c r="B132" s="131"/>
      <c r="C132" s="129"/>
      <c r="D132" s="129"/>
      <c r="E132" s="129"/>
      <c r="F132" s="129"/>
      <c r="G132" s="129"/>
      <c r="H132" s="129"/>
      <c r="I132" s="129"/>
    </row>
    <row r="133" spans="2:9" x14ac:dyDescent="0.3">
      <c r="B133" s="131"/>
      <c r="C133" s="129"/>
      <c r="D133" s="129"/>
      <c r="E133" s="129"/>
      <c r="F133" s="129"/>
      <c r="G133" s="129"/>
      <c r="H133" s="129"/>
      <c r="I133" s="129"/>
    </row>
  </sheetData>
  <mergeCells count="9">
    <mergeCell ref="B1:K1"/>
    <mergeCell ref="B3:K3"/>
    <mergeCell ref="B6:K6"/>
    <mergeCell ref="F8:J11"/>
    <mergeCell ref="B13:I13"/>
    <mergeCell ref="C9:D9"/>
    <mergeCell ref="C10:D10"/>
    <mergeCell ref="C11:D11"/>
    <mergeCell ref="B8:D8"/>
  </mergeCells>
  <conditionalFormatting sqref="C15:I114">
    <cfRule type="expression" dxfId="514" priority="2" stopIfTrue="1">
      <formula>AND(IF(C15="Full",TRUE),IF(BackupFreq&lt;&gt;"Daily Full",TRUE))</formula>
    </cfRule>
  </conditionalFormatting>
  <conditionalFormatting sqref="F8:J11">
    <cfRule type="expression" dxfId="513"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F154"/>
  <sheetViews>
    <sheetView showGridLines="0" showRowColHeaders="0" zoomScale="85" zoomScaleNormal="85" workbookViewId="0">
      <selection activeCell="B1" sqref="B1:AB1"/>
    </sheetView>
  </sheetViews>
  <sheetFormatPr defaultColWidth="9" defaultRowHeight="14.5" outlineLevelRow="2" x14ac:dyDescent="0.35"/>
  <cols>
    <col min="1" max="1" width="3.3984375" style="38" customWidth="1"/>
    <col min="2" max="2" width="7" style="38" bestFit="1" customWidth="1"/>
    <col min="3" max="3" width="23" style="38" customWidth="1"/>
    <col min="4" max="4" width="25.3984375" style="38" bestFit="1" customWidth="1"/>
    <col min="5" max="5" width="23" style="38" customWidth="1"/>
    <col min="6" max="6" width="8.3984375" style="38" bestFit="1" customWidth="1"/>
    <col min="7" max="7" width="7.8984375" style="38" bestFit="1" customWidth="1"/>
    <col min="8" max="8" width="15.8984375" style="38" customWidth="1"/>
    <col min="9" max="9" width="7" style="38" customWidth="1"/>
    <col min="10" max="10" width="9.59765625" style="38" bestFit="1" customWidth="1"/>
    <col min="11" max="11" width="8.8984375" style="38" bestFit="1" customWidth="1"/>
    <col min="12" max="14" width="11" style="38" customWidth="1"/>
    <col min="15" max="21" width="7.8984375" style="38" bestFit="1" customWidth="1"/>
    <col min="22" max="28" width="6" style="38" bestFit="1" customWidth="1"/>
    <col min="29" max="16384" width="9" style="38"/>
  </cols>
  <sheetData>
    <row r="1" spans="1:28" s="21" customFormat="1" x14ac:dyDescent="0.3">
      <c r="B1" s="1109" t="str">
        <f>VLOOKUP(47,strTable,2,FALSE)</f>
        <v>Note 1: Do not make any changes to this sheet.  This sheet is only used for calculation purposes.</v>
      </c>
      <c r="C1" s="1110"/>
      <c r="D1" s="1110"/>
      <c r="E1" s="1110"/>
      <c r="F1" s="1110"/>
      <c r="G1" s="1110"/>
      <c r="H1" s="1110"/>
      <c r="I1" s="1110"/>
      <c r="J1" s="1110"/>
      <c r="K1" s="1110"/>
      <c r="L1" s="1110"/>
      <c r="M1" s="1110"/>
      <c r="N1" s="1110"/>
      <c r="O1" s="1110"/>
      <c r="P1" s="1110"/>
      <c r="Q1" s="1110"/>
      <c r="R1" s="1110"/>
      <c r="S1" s="1110"/>
      <c r="T1" s="1110"/>
      <c r="U1" s="1110"/>
      <c r="V1" s="1110"/>
      <c r="W1" s="1110"/>
      <c r="X1" s="1110"/>
      <c r="Y1" s="1110"/>
      <c r="Z1" s="1110"/>
      <c r="AA1" s="1110"/>
      <c r="AB1" s="1111"/>
    </row>
    <row r="2" spans="1:28" s="21" customFormat="1" x14ac:dyDescent="0.3">
      <c r="A2" s="26"/>
      <c r="B2" s="1110" t="str">
        <f>VLOOKUP(48,strTable,2,FALSE)</f>
        <v>Note 2: The results shown assume that all servers entered into the calculator will replicate over the same network link.</v>
      </c>
      <c r="C2" s="1110"/>
      <c r="D2" s="1110"/>
      <c r="E2" s="1110"/>
      <c r="F2" s="1110"/>
      <c r="G2" s="1110"/>
      <c r="H2" s="1110"/>
      <c r="I2" s="1110"/>
      <c r="J2" s="43"/>
      <c r="K2" s="43"/>
      <c r="L2" s="43"/>
      <c r="M2" s="43"/>
      <c r="N2" s="43"/>
      <c r="O2" s="43"/>
      <c r="P2" s="43"/>
      <c r="Q2" s="43"/>
      <c r="R2" s="43"/>
      <c r="S2" s="43"/>
      <c r="T2" s="43"/>
      <c r="U2" s="43"/>
      <c r="V2" s="43"/>
      <c r="W2" s="43"/>
      <c r="X2" s="43"/>
      <c r="Y2" s="43"/>
      <c r="Z2" s="43"/>
      <c r="AA2" s="43"/>
      <c r="AB2" s="44"/>
    </row>
    <row r="3" spans="1:28" s="21" customFormat="1" x14ac:dyDescent="0.3">
      <c r="A3" s="26"/>
      <c r="B3" s="1110" t="str">
        <f>VLOOKUP(52,strTable,2,FALSE)</f>
        <v>Note 3: The results do not factor in Safety Net redundancy.</v>
      </c>
      <c r="C3" s="1110"/>
      <c r="D3" s="1110"/>
      <c r="E3" s="1110"/>
      <c r="F3" s="1110"/>
      <c r="G3" s="1110"/>
      <c r="H3" s="1110"/>
      <c r="I3" s="1110"/>
      <c r="J3" s="43"/>
      <c r="K3" s="43"/>
      <c r="L3" s="43"/>
      <c r="M3" s="43"/>
      <c r="N3" s="43"/>
      <c r="O3" s="43"/>
      <c r="P3" s="43"/>
      <c r="Q3" s="43"/>
      <c r="R3" s="43"/>
      <c r="S3" s="43"/>
      <c r="T3" s="43"/>
      <c r="U3" s="43"/>
      <c r="V3" s="43"/>
      <c r="W3" s="43"/>
      <c r="X3" s="43"/>
      <c r="Y3" s="43"/>
      <c r="Z3" s="43"/>
      <c r="AA3" s="43"/>
      <c r="AB3" s="44"/>
    </row>
    <row r="4" spans="1:28" s="21" customFormat="1" x14ac:dyDescent="0.3">
      <c r="A4" s="26"/>
      <c r="B4" s="1091"/>
      <c r="C4" s="1091"/>
      <c r="D4" s="1091"/>
      <c r="E4" s="1091"/>
      <c r="F4" s="1091"/>
      <c r="G4" s="1091"/>
      <c r="H4" s="1091"/>
      <c r="I4" s="1091"/>
      <c r="J4" s="43"/>
      <c r="K4" s="43"/>
      <c r="L4" s="43"/>
      <c r="M4" s="43"/>
      <c r="N4" s="43"/>
      <c r="O4" s="43"/>
      <c r="P4" s="43"/>
      <c r="Q4" s="43"/>
      <c r="R4" s="43"/>
      <c r="S4" s="43"/>
      <c r="T4" s="43"/>
      <c r="U4" s="43"/>
      <c r="V4" s="43"/>
      <c r="W4" s="43"/>
      <c r="X4" s="43"/>
      <c r="Y4" s="43"/>
      <c r="Z4" s="43"/>
      <c r="AA4" s="43"/>
      <c r="AB4" s="44"/>
    </row>
    <row r="5" spans="1:28" s="21" customFormat="1" x14ac:dyDescent="0.3">
      <c r="A5" s="26"/>
      <c r="B5" s="43"/>
      <c r="C5" s="43"/>
      <c r="D5" s="43"/>
      <c r="E5" s="43"/>
      <c r="F5" s="43"/>
      <c r="G5" s="43"/>
      <c r="H5" s="43"/>
      <c r="I5" s="43"/>
      <c r="J5" s="43"/>
      <c r="K5" s="43"/>
      <c r="L5" s="43"/>
      <c r="M5" s="43"/>
      <c r="N5" s="43"/>
      <c r="O5" s="43"/>
      <c r="P5" s="43"/>
      <c r="Q5" s="43"/>
      <c r="R5" s="43"/>
      <c r="S5" s="43"/>
      <c r="T5" s="43"/>
      <c r="U5" s="43"/>
      <c r="V5" s="43"/>
      <c r="W5" s="43"/>
      <c r="X5" s="43"/>
      <c r="Y5" s="43"/>
      <c r="Z5" s="43"/>
      <c r="AA5" s="43"/>
      <c r="AB5" s="44"/>
    </row>
    <row r="6" spans="1:28" s="21" customFormat="1" x14ac:dyDescent="0.3">
      <c r="A6" s="26"/>
      <c r="B6" s="1093" t="s">
        <v>433</v>
      </c>
      <c r="C6" s="1093"/>
      <c r="D6" s="1093"/>
      <c r="E6" s="1093"/>
      <c r="F6" s="1093"/>
      <c r="G6" s="1093"/>
      <c r="H6" s="1093"/>
      <c r="I6" s="1093"/>
      <c r="J6" s="1093"/>
      <c r="K6" s="1093"/>
      <c r="L6" s="1093"/>
      <c r="M6" s="1093"/>
      <c r="N6" s="1093"/>
      <c r="O6" s="1093"/>
      <c r="P6" s="1093"/>
      <c r="Q6" s="1093"/>
      <c r="R6" s="1093"/>
      <c r="S6" s="1093"/>
      <c r="T6" s="1093"/>
      <c r="U6" s="1093"/>
      <c r="V6" s="1093"/>
      <c r="W6" s="1093"/>
      <c r="X6" s="1093"/>
      <c r="Y6" s="1093"/>
      <c r="Z6" s="1093"/>
      <c r="AA6" s="1093"/>
      <c r="AB6" s="1113"/>
    </row>
    <row r="7" spans="1:28" hidden="1" outlineLevel="1" x14ac:dyDescent="0.35">
      <c r="A7" s="45"/>
      <c r="AB7" s="45"/>
    </row>
    <row r="8" spans="1:28" ht="15" hidden="1" outlineLevel="1" thickBot="1" x14ac:dyDescent="0.4">
      <c r="A8" s="45"/>
      <c r="B8" s="1195" t="s">
        <v>153</v>
      </c>
      <c r="C8" s="1195"/>
      <c r="D8" s="1195"/>
      <c r="E8" s="1195"/>
      <c r="F8" s="1195"/>
      <c r="G8" s="1195"/>
      <c r="AB8" s="45"/>
    </row>
    <row r="9" spans="1:28" ht="15" hidden="1" outlineLevel="1" thickTop="1" x14ac:dyDescent="0.35">
      <c r="A9" s="45"/>
      <c r="B9" s="1169" t="s">
        <v>170</v>
      </c>
      <c r="C9" s="1170"/>
      <c r="D9" s="1171"/>
      <c r="E9" s="1172" t="str">
        <f>IF(AND(calcHAOption,OR(calcNumPMBXServersDC2&lt;&gt;0,calcNumLagMBXServersSDC&lt;&gt;0)),VLOOKUP(NetLinkType,tblNetworkLink,2,FALSE)*(NetLinkLatency/1000),strEmpty)</f>
        <v>--</v>
      </c>
      <c r="F9" s="1173"/>
      <c r="G9" s="1173"/>
      <c r="AB9" s="45"/>
    </row>
    <row r="10" spans="1:28" hidden="1" outlineLevel="1" x14ac:dyDescent="0.35">
      <c r="A10" s="45"/>
      <c r="B10" s="1157" t="s">
        <v>514</v>
      </c>
      <c r="C10" s="1158"/>
      <c r="D10" s="1159"/>
      <c r="E10" s="1167">
        <f>IF(RPO=0,1,RPO)</f>
        <v>24</v>
      </c>
      <c r="F10" s="1168"/>
      <c r="G10" s="1168"/>
      <c r="AB10" s="45"/>
    </row>
    <row r="11" spans="1:28" s="21" customFormat="1" hidden="1" outlineLevel="1" x14ac:dyDescent="0.3">
      <c r="A11" s="26"/>
      <c r="B11" s="46"/>
      <c r="C11" s="46"/>
      <c r="D11" s="46"/>
      <c r="E11" s="46"/>
      <c r="F11" s="46"/>
      <c r="G11" s="46"/>
      <c r="H11" s="46"/>
      <c r="I11" s="46"/>
      <c r="J11" s="46"/>
      <c r="K11" s="46"/>
      <c r="L11" s="128"/>
      <c r="M11" s="128"/>
      <c r="N11" s="128"/>
      <c r="O11" s="46"/>
      <c r="P11" s="46"/>
      <c r="Q11" s="46"/>
      <c r="R11" s="46"/>
      <c r="S11" s="46"/>
      <c r="T11" s="46"/>
      <c r="U11" s="46"/>
      <c r="V11" s="46"/>
      <c r="W11" s="46"/>
      <c r="X11" s="46"/>
      <c r="Y11" s="46"/>
      <c r="Z11" s="46"/>
      <c r="AA11" s="46"/>
      <c r="AB11" s="47"/>
    </row>
    <row r="12" spans="1:28" s="21" customFormat="1" ht="15" hidden="1" outlineLevel="1" thickBot="1" x14ac:dyDescent="0.4">
      <c r="A12" s="26"/>
      <c r="B12" s="1193" t="s">
        <v>405</v>
      </c>
      <c r="C12" s="1139"/>
      <c r="D12" s="1139"/>
      <c r="E12" s="1139"/>
      <c r="F12" s="1139"/>
      <c r="G12" s="1139"/>
      <c r="H12" s="48"/>
      <c r="I12" s="48"/>
      <c r="J12" s="48"/>
      <c r="K12" s="48"/>
      <c r="L12" s="128"/>
      <c r="M12" s="128"/>
      <c r="N12" s="128"/>
      <c r="O12" s="46"/>
      <c r="P12" s="46"/>
      <c r="Q12" s="46"/>
      <c r="R12" s="46"/>
      <c r="S12" s="46"/>
      <c r="T12" s="46"/>
      <c r="U12" s="46"/>
      <c r="V12" s="46"/>
      <c r="W12" s="46"/>
      <c r="X12" s="46"/>
      <c r="Y12" s="46"/>
      <c r="Z12" s="46"/>
      <c r="AA12" s="46"/>
      <c r="AB12" s="47"/>
    </row>
    <row r="13" spans="1:28" s="21" customFormat="1" ht="15" hidden="1" outlineLevel="1" thickTop="1" x14ac:dyDescent="0.3">
      <c r="A13" s="26"/>
      <c r="B13" s="1194" t="s">
        <v>417</v>
      </c>
      <c r="C13" s="1194"/>
      <c r="D13" s="1194"/>
      <c r="E13" s="1196" t="str">
        <f>IF(AND(calcSiteResilienceEnabled,calcHAOption,NOT(ValidationCheck),SUM(LogH1:LogH24)&lt;&gt;0),(LARGE(tblLogReplication,1)*(calcNumDBUserTLogs+NumDBMoveMbxTLogs)*8)/3600*IF(NetworkCompression="Enabled",1-varLogCompressionFactor,1),strEmpty)</f>
        <v>--</v>
      </c>
      <c r="F13" s="1197"/>
      <c r="G13" s="1197"/>
      <c r="H13" s="49"/>
      <c r="I13" s="19"/>
      <c r="J13" s="19"/>
      <c r="K13" s="19"/>
      <c r="L13" s="128"/>
      <c r="M13" s="128"/>
      <c r="N13" s="128"/>
      <c r="O13" s="46"/>
      <c r="P13" s="46"/>
      <c r="Q13" s="46"/>
      <c r="R13" s="46"/>
      <c r="S13" s="46"/>
      <c r="T13" s="46"/>
      <c r="U13" s="46"/>
      <c r="V13" s="46"/>
      <c r="W13" s="46"/>
      <c r="X13" s="46"/>
      <c r="Y13" s="46"/>
      <c r="Z13" s="46"/>
      <c r="AA13" s="46"/>
      <c r="AB13" s="47"/>
    </row>
    <row r="14" spans="1:28" s="21" customFormat="1" hidden="1" outlineLevel="1" x14ac:dyDescent="0.3">
      <c r="A14" s="26"/>
      <c r="B14" s="1204" t="s">
        <v>415</v>
      </c>
      <c r="C14" s="1205"/>
      <c r="D14" s="1206"/>
      <c r="E14" s="1207" t="str">
        <f>IF(AND(calcSiteResilienceEnabled,calcHAOption,NOT(ValidationCheck),SUM(LogH1:LogH24)&lt;&gt;0),(LARGE(tblLogReplication,1)*(calcNumDBUserTLogs+NumDBMoveMbxTLogs)*8)/3600,strEmpty)</f>
        <v>--</v>
      </c>
      <c r="F14" s="1137"/>
      <c r="G14" s="1138"/>
      <c r="H14" s="49"/>
      <c r="I14" s="19"/>
      <c r="J14" s="19"/>
      <c r="K14" s="19"/>
      <c r="L14" s="128"/>
      <c r="M14" s="128"/>
      <c r="N14" s="128"/>
      <c r="O14" s="46"/>
      <c r="P14" s="46"/>
      <c r="Q14" s="46"/>
      <c r="R14" s="46"/>
      <c r="S14" s="46"/>
      <c r="T14" s="46"/>
      <c r="U14" s="46"/>
      <c r="V14" s="46"/>
      <c r="W14" s="46"/>
      <c r="X14" s="46"/>
      <c r="Y14" s="46"/>
      <c r="Z14" s="46"/>
      <c r="AA14" s="46"/>
      <c r="AB14" s="47"/>
    </row>
    <row r="15" spans="1:28" s="21" customFormat="1" hidden="1" outlineLevel="1" x14ac:dyDescent="0.3">
      <c r="A15" s="26"/>
      <c r="B15" s="1201" t="s">
        <v>416</v>
      </c>
      <c r="C15" s="1202"/>
      <c r="D15" s="1203"/>
      <c r="E15" s="1198" t="str">
        <f>IF(DBLogBandwidth&lt;&gt;strEmpty,DBLogBandwidth*calcLogStreamsBtwnDCs,strEmpty)</f>
        <v>--</v>
      </c>
      <c r="F15" s="1199"/>
      <c r="G15" s="1200"/>
      <c r="H15" s="49"/>
      <c r="I15" s="19"/>
      <c r="J15" s="19"/>
      <c r="K15" s="19"/>
      <c r="L15" s="128"/>
      <c r="M15" s="128"/>
      <c r="N15" s="128"/>
      <c r="O15" s="46"/>
      <c r="P15" s="46"/>
      <c r="Q15" s="46"/>
      <c r="R15" s="46"/>
      <c r="S15" s="46"/>
      <c r="T15" s="46"/>
      <c r="U15" s="46"/>
      <c r="V15" s="46"/>
      <c r="W15" s="46"/>
      <c r="X15" s="46"/>
      <c r="Y15" s="46"/>
      <c r="Z15" s="46"/>
      <c r="AA15" s="46"/>
      <c r="AB15" s="47"/>
    </row>
    <row r="16" spans="1:28" s="21" customFormat="1" hidden="1" outlineLevel="1" x14ac:dyDescent="0.3">
      <c r="A16" s="26"/>
      <c r="B16" s="1204" t="s">
        <v>418</v>
      </c>
      <c r="C16" s="1205"/>
      <c r="D16" s="1206"/>
      <c r="E16" s="1160" t="str">
        <f>IF(DBLogBandwidth&lt;&gt;strEmpty,PeakCIBandwidth*calcCIStreamsBtwnDCs,strEmpty)</f>
        <v>--</v>
      </c>
      <c r="F16" s="1161"/>
      <c r="G16" s="1162"/>
      <c r="H16" s="49"/>
      <c r="I16" s="19"/>
      <c r="J16" s="19"/>
      <c r="K16" s="19"/>
      <c r="L16" s="128"/>
      <c r="M16" s="128"/>
      <c r="N16" s="128"/>
      <c r="O16" s="46"/>
      <c r="P16" s="46"/>
      <c r="Q16" s="46"/>
      <c r="R16" s="46"/>
      <c r="S16" s="46"/>
      <c r="T16" s="46"/>
      <c r="U16" s="46"/>
      <c r="V16" s="46"/>
      <c r="W16" s="46"/>
      <c r="X16" s="46"/>
      <c r="Y16" s="46"/>
      <c r="Z16" s="46"/>
      <c r="AA16" s="46"/>
      <c r="AB16" s="47"/>
    </row>
    <row r="17" spans="1:28" s="21" customFormat="1" hidden="1" outlineLevel="1" x14ac:dyDescent="0.3">
      <c r="A17" s="26"/>
      <c r="B17" s="137"/>
      <c r="C17" s="20"/>
      <c r="D17" s="20"/>
      <c r="E17" s="20"/>
      <c r="F17" s="20"/>
      <c r="G17" s="20"/>
      <c r="H17" s="19"/>
      <c r="I17" s="19"/>
      <c r="J17" s="19"/>
      <c r="K17" s="19"/>
      <c r="L17" s="19"/>
      <c r="M17" s="19"/>
      <c r="N17" s="19"/>
      <c r="O17" s="19"/>
      <c r="P17" s="19"/>
      <c r="Q17" s="19"/>
      <c r="R17" s="19"/>
      <c r="S17" s="19"/>
      <c r="T17" s="19"/>
      <c r="U17" s="19"/>
      <c r="V17" s="19"/>
      <c r="W17" s="19"/>
      <c r="X17" s="19"/>
      <c r="Y17" s="19"/>
      <c r="Z17" s="19"/>
      <c r="AA17" s="19"/>
      <c r="AB17" s="24"/>
    </row>
    <row r="18" spans="1:28" s="21" customFormat="1" hidden="1" outlineLevel="1" x14ac:dyDescent="0.3">
      <c r="A18" s="26"/>
      <c r="B18" s="1189" t="s">
        <v>90</v>
      </c>
      <c r="C18" s="1191" t="s">
        <v>96</v>
      </c>
      <c r="D18" s="1191" t="s">
        <v>384</v>
      </c>
      <c r="E18" s="1186" t="s">
        <v>95</v>
      </c>
      <c r="F18" s="1187"/>
      <c r="G18" s="1187"/>
      <c r="H18" s="1187"/>
      <c r="I18" s="1187"/>
      <c r="J18" s="1187"/>
      <c r="K18" s="1187"/>
      <c r="L18" s="1187"/>
      <c r="M18" s="1187"/>
      <c r="N18" s="1187"/>
      <c r="O18" s="1187"/>
      <c r="P18" s="1187"/>
      <c r="Q18" s="1187"/>
      <c r="R18" s="1187"/>
      <c r="S18" s="1187"/>
      <c r="T18" s="1187"/>
      <c r="U18" s="1187"/>
      <c r="V18" s="1187"/>
      <c r="W18" s="1187"/>
      <c r="X18" s="1187"/>
      <c r="Y18" s="1187"/>
      <c r="Z18" s="1187"/>
      <c r="AA18" s="1187"/>
      <c r="AB18" s="1188"/>
    </row>
    <row r="19" spans="1:28" s="21" customFormat="1" ht="15" hidden="1" outlineLevel="1" thickBot="1" x14ac:dyDescent="0.4">
      <c r="A19" s="26"/>
      <c r="B19" s="1190"/>
      <c r="C19" s="1192"/>
      <c r="D19" s="1192"/>
      <c r="E19" s="265">
        <v>1</v>
      </c>
      <c r="F19" s="265">
        <v>2</v>
      </c>
      <c r="G19" s="265">
        <v>3</v>
      </c>
      <c r="H19" s="265">
        <v>4</v>
      </c>
      <c r="I19" s="265">
        <v>5</v>
      </c>
      <c r="J19" s="265">
        <v>6</v>
      </c>
      <c r="K19" s="265">
        <v>7</v>
      </c>
      <c r="L19" s="265">
        <v>8</v>
      </c>
      <c r="M19" s="265">
        <v>9</v>
      </c>
      <c r="N19" s="265">
        <v>10</v>
      </c>
      <c r="O19" s="265">
        <v>11</v>
      </c>
      <c r="P19" s="265">
        <v>12</v>
      </c>
      <c r="Q19" s="265">
        <v>13</v>
      </c>
      <c r="R19" s="265">
        <v>14</v>
      </c>
      <c r="S19" s="265">
        <v>15</v>
      </c>
      <c r="T19" s="265">
        <v>16</v>
      </c>
      <c r="U19" s="265">
        <v>17</v>
      </c>
      <c r="V19" s="265">
        <v>18</v>
      </c>
      <c r="W19" s="265">
        <v>19</v>
      </c>
      <c r="X19" s="265">
        <v>20</v>
      </c>
      <c r="Y19" s="265">
        <v>21</v>
      </c>
      <c r="Z19" s="265">
        <v>22</v>
      </c>
      <c r="AA19" s="265">
        <v>23</v>
      </c>
      <c r="AB19" s="266">
        <v>24</v>
      </c>
    </row>
    <row r="20" spans="1:28" s="21" customFormat="1" hidden="1" outlineLevel="2" x14ac:dyDescent="0.3">
      <c r="A20" s="26"/>
      <c r="B20" s="154">
        <f t="shared" ref="B20:D43" si="0">B44</f>
        <v>1</v>
      </c>
      <c r="C20" s="151">
        <f t="shared" si="0"/>
        <v>0</v>
      </c>
      <c r="D20" s="152">
        <f t="shared" si="0"/>
        <v>0</v>
      </c>
      <c r="E20" s="153"/>
      <c r="F20" s="153"/>
      <c r="G20" s="153"/>
      <c r="H20" s="153"/>
      <c r="I20" s="153"/>
      <c r="J20" s="153"/>
      <c r="K20" s="153"/>
      <c r="L20" s="153"/>
      <c r="M20" s="153"/>
      <c r="N20" s="153"/>
      <c r="O20" s="153"/>
      <c r="P20" s="153"/>
      <c r="Q20" s="153"/>
      <c r="R20" s="153"/>
      <c r="S20" s="153"/>
      <c r="T20" s="153"/>
      <c r="U20" s="153"/>
      <c r="V20" s="153"/>
      <c r="W20" s="153"/>
      <c r="X20" s="153"/>
      <c r="Y20" s="153"/>
      <c r="Z20" s="153"/>
      <c r="AA20" s="153"/>
      <c r="AB20" s="159"/>
    </row>
    <row r="21" spans="1:28" s="21" customFormat="1" hidden="1" outlineLevel="2" x14ac:dyDescent="0.3">
      <c r="A21" s="26"/>
      <c r="B21" s="147">
        <f t="shared" si="0"/>
        <v>2</v>
      </c>
      <c r="C21" s="148">
        <f t="shared" si="0"/>
        <v>0</v>
      </c>
      <c r="D21" s="149">
        <f t="shared" si="0"/>
        <v>0</v>
      </c>
      <c r="E21" s="150"/>
      <c r="F21" s="150"/>
      <c r="G21" s="150"/>
      <c r="H21" s="150"/>
      <c r="I21" s="150"/>
      <c r="J21" s="150"/>
      <c r="K21" s="150"/>
      <c r="L21" s="150"/>
      <c r="M21" s="150"/>
      <c r="N21" s="150"/>
      <c r="O21" s="150"/>
      <c r="P21" s="150"/>
      <c r="Q21" s="150"/>
      <c r="R21" s="150"/>
      <c r="S21" s="150"/>
      <c r="T21" s="150"/>
      <c r="U21" s="150"/>
      <c r="V21" s="150"/>
      <c r="W21" s="150"/>
      <c r="X21" s="150"/>
      <c r="Y21" s="150"/>
      <c r="Z21" s="150"/>
      <c r="AA21" s="150"/>
      <c r="AB21" s="160"/>
    </row>
    <row r="22" spans="1:28" s="21" customFormat="1" hidden="1" outlineLevel="2" x14ac:dyDescent="0.3">
      <c r="A22" s="26"/>
      <c r="B22" s="154">
        <f t="shared" si="0"/>
        <v>3</v>
      </c>
      <c r="C22" s="155">
        <f t="shared" si="0"/>
        <v>0</v>
      </c>
      <c r="D22" s="156">
        <f t="shared" si="0"/>
        <v>0</v>
      </c>
      <c r="E22" s="157"/>
      <c r="F22" s="157"/>
      <c r="G22" s="157"/>
      <c r="H22" s="157"/>
      <c r="I22" s="157"/>
      <c r="J22" s="157"/>
      <c r="K22" s="157"/>
      <c r="L22" s="157"/>
      <c r="M22" s="157"/>
      <c r="N22" s="157"/>
      <c r="O22" s="157"/>
      <c r="P22" s="157"/>
      <c r="Q22" s="157"/>
      <c r="R22" s="157"/>
      <c r="S22" s="157"/>
      <c r="T22" s="157"/>
      <c r="U22" s="157"/>
      <c r="V22" s="157"/>
      <c r="W22" s="157"/>
      <c r="X22" s="157"/>
      <c r="Y22" s="157"/>
      <c r="Z22" s="157"/>
      <c r="AA22" s="157"/>
      <c r="AB22" s="161"/>
    </row>
    <row r="23" spans="1:28" s="21" customFormat="1" hidden="1" outlineLevel="2" x14ac:dyDescent="0.3">
      <c r="A23" s="26"/>
      <c r="B23" s="147">
        <f t="shared" si="0"/>
        <v>4</v>
      </c>
      <c r="C23" s="148">
        <f t="shared" si="0"/>
        <v>0</v>
      </c>
      <c r="D23" s="149">
        <f t="shared" si="0"/>
        <v>0</v>
      </c>
      <c r="E23" s="150"/>
      <c r="F23" s="150"/>
      <c r="G23" s="150"/>
      <c r="H23" s="150"/>
      <c r="I23" s="150"/>
      <c r="J23" s="150"/>
      <c r="K23" s="150"/>
      <c r="L23" s="150"/>
      <c r="M23" s="150"/>
      <c r="N23" s="150"/>
      <c r="O23" s="150"/>
      <c r="P23" s="150"/>
      <c r="Q23" s="150"/>
      <c r="R23" s="150"/>
      <c r="S23" s="150"/>
      <c r="T23" s="150"/>
      <c r="U23" s="150"/>
      <c r="V23" s="150"/>
      <c r="W23" s="150"/>
      <c r="X23" s="150"/>
      <c r="Y23" s="150"/>
      <c r="Z23" s="150"/>
      <c r="AA23" s="150"/>
      <c r="AB23" s="160"/>
    </row>
    <row r="24" spans="1:28" s="21" customFormat="1" hidden="1" outlineLevel="2" x14ac:dyDescent="0.3">
      <c r="A24" s="26"/>
      <c r="B24" s="154">
        <f t="shared" si="0"/>
        <v>5</v>
      </c>
      <c r="C24" s="155">
        <f t="shared" si="0"/>
        <v>0</v>
      </c>
      <c r="D24" s="156">
        <f t="shared" si="0"/>
        <v>0</v>
      </c>
      <c r="E24" s="157"/>
      <c r="F24" s="157"/>
      <c r="G24" s="157"/>
      <c r="H24" s="157"/>
      <c r="I24" s="157"/>
      <c r="J24" s="157"/>
      <c r="K24" s="157"/>
      <c r="L24" s="157"/>
      <c r="M24" s="157"/>
      <c r="N24" s="157"/>
      <c r="O24" s="157"/>
      <c r="P24" s="157"/>
      <c r="Q24" s="157"/>
      <c r="R24" s="157"/>
      <c r="S24" s="157"/>
      <c r="T24" s="157"/>
      <c r="U24" s="157"/>
      <c r="V24" s="157"/>
      <c r="W24" s="157"/>
      <c r="X24" s="157"/>
      <c r="Y24" s="157"/>
      <c r="Z24" s="157"/>
      <c r="AA24" s="157"/>
      <c r="AB24" s="161"/>
    </row>
    <row r="25" spans="1:28" s="21" customFormat="1" hidden="1" outlineLevel="2" x14ac:dyDescent="0.3">
      <c r="A25" s="26"/>
      <c r="B25" s="147">
        <f t="shared" si="0"/>
        <v>6</v>
      </c>
      <c r="C25" s="148">
        <f t="shared" si="0"/>
        <v>0</v>
      </c>
      <c r="D25" s="149">
        <f t="shared" si="0"/>
        <v>0</v>
      </c>
      <c r="E25" s="150"/>
      <c r="F25" s="150"/>
      <c r="G25" s="150"/>
      <c r="H25" s="150"/>
      <c r="I25" s="150"/>
      <c r="J25" s="150"/>
      <c r="K25" s="150"/>
      <c r="L25" s="150"/>
      <c r="M25" s="150"/>
      <c r="N25" s="150"/>
      <c r="O25" s="150"/>
      <c r="P25" s="150"/>
      <c r="Q25" s="150"/>
      <c r="R25" s="150"/>
      <c r="S25" s="150"/>
      <c r="T25" s="150"/>
      <c r="U25" s="150"/>
      <c r="V25" s="150"/>
      <c r="W25" s="150"/>
      <c r="X25" s="150"/>
      <c r="Y25" s="150"/>
      <c r="Z25" s="150"/>
      <c r="AA25" s="150"/>
      <c r="AB25" s="160"/>
    </row>
    <row r="26" spans="1:28" s="21" customFormat="1" hidden="1" outlineLevel="2" x14ac:dyDescent="0.3">
      <c r="A26" s="26"/>
      <c r="B26" s="154">
        <f t="shared" si="0"/>
        <v>7</v>
      </c>
      <c r="C26" s="155">
        <f t="shared" si="0"/>
        <v>0</v>
      </c>
      <c r="D26" s="156">
        <f t="shared" si="0"/>
        <v>0</v>
      </c>
      <c r="E26" s="157"/>
      <c r="F26" s="157"/>
      <c r="G26" s="157"/>
      <c r="H26" s="157"/>
      <c r="I26" s="157"/>
      <c r="J26" s="157"/>
      <c r="K26" s="157"/>
      <c r="L26" s="157"/>
      <c r="M26" s="157"/>
      <c r="N26" s="157"/>
      <c r="O26" s="157"/>
      <c r="P26" s="157"/>
      <c r="Q26" s="157"/>
      <c r="R26" s="157"/>
      <c r="S26" s="157"/>
      <c r="T26" s="157"/>
      <c r="U26" s="157"/>
      <c r="V26" s="157"/>
      <c r="W26" s="157"/>
      <c r="X26" s="157"/>
      <c r="Y26" s="157"/>
      <c r="Z26" s="157"/>
      <c r="AA26" s="157"/>
      <c r="AB26" s="161"/>
    </row>
    <row r="27" spans="1:28" s="21" customFormat="1" hidden="1" outlineLevel="2" x14ac:dyDescent="0.3">
      <c r="A27" s="26"/>
      <c r="B27" s="147">
        <f t="shared" si="0"/>
        <v>8</v>
      </c>
      <c r="C27" s="148">
        <f t="shared" si="0"/>
        <v>0</v>
      </c>
      <c r="D27" s="149">
        <f t="shared" si="0"/>
        <v>0</v>
      </c>
      <c r="E27" s="150"/>
      <c r="F27" s="150"/>
      <c r="G27" s="150"/>
      <c r="H27" s="150"/>
      <c r="I27" s="150"/>
      <c r="J27" s="150"/>
      <c r="K27" s="150"/>
      <c r="L27" s="150"/>
      <c r="M27" s="150"/>
      <c r="N27" s="150"/>
      <c r="O27" s="150"/>
      <c r="P27" s="150"/>
      <c r="Q27" s="150"/>
      <c r="R27" s="150"/>
      <c r="S27" s="150"/>
      <c r="T27" s="150"/>
      <c r="U27" s="150"/>
      <c r="V27" s="150"/>
      <c r="W27" s="150"/>
      <c r="X27" s="150"/>
      <c r="Y27" s="150"/>
      <c r="Z27" s="150"/>
      <c r="AA27" s="150"/>
      <c r="AB27" s="160"/>
    </row>
    <row r="28" spans="1:28" s="21" customFormat="1" hidden="1" outlineLevel="2" x14ac:dyDescent="0.3">
      <c r="A28" s="26"/>
      <c r="B28" s="154">
        <f t="shared" si="0"/>
        <v>9</v>
      </c>
      <c r="C28" s="155">
        <f t="shared" si="0"/>
        <v>0</v>
      </c>
      <c r="D28" s="156">
        <f t="shared" si="0"/>
        <v>0</v>
      </c>
      <c r="E28" s="157"/>
      <c r="F28" s="157"/>
      <c r="G28" s="157"/>
      <c r="H28" s="157"/>
      <c r="I28" s="157"/>
      <c r="J28" s="157"/>
      <c r="K28" s="157"/>
      <c r="L28" s="157"/>
      <c r="M28" s="157"/>
      <c r="N28" s="157"/>
      <c r="O28" s="157"/>
      <c r="P28" s="157"/>
      <c r="Q28" s="157"/>
      <c r="R28" s="157"/>
      <c r="S28" s="157"/>
      <c r="T28" s="157"/>
      <c r="U28" s="157"/>
      <c r="V28" s="157"/>
      <c r="W28" s="157"/>
      <c r="X28" s="157"/>
      <c r="Y28" s="157"/>
      <c r="Z28" s="157"/>
      <c r="AA28" s="157"/>
      <c r="AB28" s="161"/>
    </row>
    <row r="29" spans="1:28" s="21" customFormat="1" hidden="1" outlineLevel="2" x14ac:dyDescent="0.3">
      <c r="A29" s="26"/>
      <c r="B29" s="147">
        <f t="shared" si="0"/>
        <v>10</v>
      </c>
      <c r="C29" s="148">
        <f t="shared" si="0"/>
        <v>0</v>
      </c>
      <c r="D29" s="149">
        <f t="shared" si="0"/>
        <v>0</v>
      </c>
      <c r="E29" s="150"/>
      <c r="F29" s="150"/>
      <c r="G29" s="150"/>
      <c r="H29" s="150"/>
      <c r="I29" s="150"/>
      <c r="J29" s="150"/>
      <c r="K29" s="150"/>
      <c r="L29" s="150"/>
      <c r="M29" s="150"/>
      <c r="N29" s="150"/>
      <c r="O29" s="150"/>
      <c r="P29" s="150"/>
      <c r="Q29" s="150"/>
      <c r="R29" s="150"/>
      <c r="S29" s="150"/>
      <c r="T29" s="150"/>
      <c r="U29" s="150"/>
      <c r="V29" s="150"/>
      <c r="W29" s="150"/>
      <c r="X29" s="150"/>
      <c r="Y29" s="150"/>
      <c r="Z29" s="150"/>
      <c r="AA29" s="150"/>
      <c r="AB29" s="160"/>
    </row>
    <row r="30" spans="1:28" s="21" customFormat="1" hidden="1" outlineLevel="2" x14ac:dyDescent="0.3">
      <c r="A30" s="26"/>
      <c r="B30" s="154">
        <f t="shared" si="0"/>
        <v>11</v>
      </c>
      <c r="C30" s="155">
        <f t="shared" si="0"/>
        <v>0</v>
      </c>
      <c r="D30" s="156">
        <f t="shared" si="0"/>
        <v>0</v>
      </c>
      <c r="E30" s="157"/>
      <c r="F30" s="157"/>
      <c r="G30" s="157"/>
      <c r="H30" s="157"/>
      <c r="I30" s="157"/>
      <c r="J30" s="157"/>
      <c r="K30" s="157"/>
      <c r="L30" s="157"/>
      <c r="M30" s="157"/>
      <c r="N30" s="157"/>
      <c r="O30" s="157"/>
      <c r="P30" s="157"/>
      <c r="Q30" s="157"/>
      <c r="R30" s="157"/>
      <c r="S30" s="157"/>
      <c r="T30" s="157"/>
      <c r="U30" s="157"/>
      <c r="V30" s="157"/>
      <c r="W30" s="157"/>
      <c r="X30" s="157"/>
      <c r="Y30" s="157"/>
      <c r="Z30" s="157"/>
      <c r="AA30" s="157"/>
      <c r="AB30" s="161"/>
    </row>
    <row r="31" spans="1:28" s="21" customFormat="1" hidden="1" outlineLevel="2" x14ac:dyDescent="0.3">
      <c r="A31" s="26"/>
      <c r="B31" s="147">
        <f t="shared" si="0"/>
        <v>12</v>
      </c>
      <c r="C31" s="148">
        <f t="shared" si="0"/>
        <v>0</v>
      </c>
      <c r="D31" s="149">
        <f t="shared" si="0"/>
        <v>0</v>
      </c>
      <c r="E31" s="150"/>
      <c r="F31" s="150"/>
      <c r="G31" s="150"/>
      <c r="H31" s="150"/>
      <c r="I31" s="150"/>
      <c r="J31" s="150"/>
      <c r="K31" s="150"/>
      <c r="L31" s="150"/>
      <c r="M31" s="150"/>
      <c r="N31" s="150"/>
      <c r="O31" s="150"/>
      <c r="P31" s="150"/>
      <c r="Q31" s="150"/>
      <c r="R31" s="150"/>
      <c r="S31" s="150"/>
      <c r="T31" s="150"/>
      <c r="U31" s="150"/>
      <c r="V31" s="150"/>
      <c r="W31" s="150"/>
      <c r="X31" s="150"/>
      <c r="Y31" s="150"/>
      <c r="Z31" s="150"/>
      <c r="AA31" s="150"/>
      <c r="AB31" s="160"/>
    </row>
    <row r="32" spans="1:28" s="21" customFormat="1" hidden="1" outlineLevel="2" x14ac:dyDescent="0.3">
      <c r="A32" s="26"/>
      <c r="B32" s="154">
        <f t="shared" si="0"/>
        <v>13</v>
      </c>
      <c r="C32" s="155">
        <f t="shared" si="0"/>
        <v>0</v>
      </c>
      <c r="D32" s="156">
        <f t="shared" si="0"/>
        <v>0</v>
      </c>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61"/>
    </row>
    <row r="33" spans="1:28" s="21" customFormat="1" hidden="1" outlineLevel="2" x14ac:dyDescent="0.3">
      <c r="A33" s="26"/>
      <c r="B33" s="147">
        <f t="shared" si="0"/>
        <v>14</v>
      </c>
      <c r="C33" s="148">
        <f t="shared" si="0"/>
        <v>0</v>
      </c>
      <c r="D33" s="149">
        <f t="shared" si="0"/>
        <v>0</v>
      </c>
      <c r="E33" s="150"/>
      <c r="F33" s="150"/>
      <c r="G33" s="150"/>
      <c r="H33" s="150"/>
      <c r="I33" s="150"/>
      <c r="J33" s="150"/>
      <c r="K33" s="150"/>
      <c r="L33" s="150"/>
      <c r="M33" s="150"/>
      <c r="N33" s="150"/>
      <c r="O33" s="150"/>
      <c r="P33" s="150"/>
      <c r="Q33" s="150"/>
      <c r="R33" s="150"/>
      <c r="S33" s="150"/>
      <c r="T33" s="150"/>
      <c r="U33" s="150"/>
      <c r="V33" s="150"/>
      <c r="W33" s="150"/>
      <c r="X33" s="150"/>
      <c r="Y33" s="150"/>
      <c r="Z33" s="150"/>
      <c r="AA33" s="150"/>
      <c r="AB33" s="160"/>
    </row>
    <row r="34" spans="1:28" s="21" customFormat="1" hidden="1" outlineLevel="2" x14ac:dyDescent="0.3">
      <c r="A34" s="26"/>
      <c r="B34" s="154">
        <f t="shared" si="0"/>
        <v>15</v>
      </c>
      <c r="C34" s="155">
        <f t="shared" si="0"/>
        <v>0</v>
      </c>
      <c r="D34" s="156">
        <f t="shared" si="0"/>
        <v>0</v>
      </c>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61"/>
    </row>
    <row r="35" spans="1:28" s="21" customFormat="1" hidden="1" outlineLevel="2" x14ac:dyDescent="0.3">
      <c r="A35" s="26"/>
      <c r="B35" s="147">
        <f t="shared" si="0"/>
        <v>16</v>
      </c>
      <c r="C35" s="148">
        <f t="shared" si="0"/>
        <v>0</v>
      </c>
      <c r="D35" s="149">
        <f t="shared" si="0"/>
        <v>0</v>
      </c>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60"/>
    </row>
    <row r="36" spans="1:28" s="21" customFormat="1" hidden="1" outlineLevel="2" x14ac:dyDescent="0.3">
      <c r="A36" s="26"/>
      <c r="B36" s="154">
        <f t="shared" si="0"/>
        <v>17</v>
      </c>
      <c r="C36" s="155">
        <f t="shared" si="0"/>
        <v>0</v>
      </c>
      <c r="D36" s="156">
        <f t="shared" si="0"/>
        <v>0</v>
      </c>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61"/>
    </row>
    <row r="37" spans="1:28" s="21" customFormat="1" hidden="1" outlineLevel="2" x14ac:dyDescent="0.3">
      <c r="A37" s="26"/>
      <c r="B37" s="147">
        <f t="shared" si="0"/>
        <v>18</v>
      </c>
      <c r="C37" s="148">
        <f t="shared" si="0"/>
        <v>0</v>
      </c>
      <c r="D37" s="149">
        <f t="shared" si="0"/>
        <v>0</v>
      </c>
      <c r="E37" s="150"/>
      <c r="F37" s="150"/>
      <c r="G37" s="150"/>
      <c r="H37" s="150"/>
      <c r="I37" s="150"/>
      <c r="J37" s="150"/>
      <c r="K37" s="150"/>
      <c r="L37" s="150"/>
      <c r="M37" s="150"/>
      <c r="N37" s="150"/>
      <c r="O37" s="150"/>
      <c r="P37" s="150"/>
      <c r="Q37" s="150"/>
      <c r="R37" s="150"/>
      <c r="S37" s="150"/>
      <c r="T37" s="150"/>
      <c r="U37" s="150"/>
      <c r="V37" s="150"/>
      <c r="W37" s="150"/>
      <c r="X37" s="150"/>
      <c r="Y37" s="150"/>
      <c r="Z37" s="150"/>
      <c r="AA37" s="150"/>
      <c r="AB37" s="160"/>
    </row>
    <row r="38" spans="1:28" s="21" customFormat="1" hidden="1" outlineLevel="2" x14ac:dyDescent="0.3">
      <c r="A38" s="26"/>
      <c r="B38" s="154">
        <f t="shared" si="0"/>
        <v>19</v>
      </c>
      <c r="C38" s="155">
        <f t="shared" si="0"/>
        <v>0</v>
      </c>
      <c r="D38" s="156">
        <f t="shared" si="0"/>
        <v>0</v>
      </c>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61"/>
    </row>
    <row r="39" spans="1:28" s="21" customFormat="1" hidden="1" outlineLevel="2" x14ac:dyDescent="0.3">
      <c r="A39" s="26"/>
      <c r="B39" s="147">
        <f t="shared" si="0"/>
        <v>20</v>
      </c>
      <c r="C39" s="148">
        <f t="shared" si="0"/>
        <v>0</v>
      </c>
      <c r="D39" s="149">
        <f t="shared" si="0"/>
        <v>0</v>
      </c>
      <c r="E39" s="150"/>
      <c r="F39" s="150"/>
      <c r="G39" s="150"/>
      <c r="H39" s="150"/>
      <c r="I39" s="150"/>
      <c r="J39" s="150"/>
      <c r="K39" s="150"/>
      <c r="L39" s="150"/>
      <c r="M39" s="150"/>
      <c r="N39" s="150"/>
      <c r="O39" s="150"/>
      <c r="P39" s="150"/>
      <c r="Q39" s="150"/>
      <c r="R39" s="150"/>
      <c r="S39" s="150"/>
      <c r="T39" s="150"/>
      <c r="U39" s="150"/>
      <c r="V39" s="150"/>
      <c r="W39" s="150"/>
      <c r="X39" s="150"/>
      <c r="Y39" s="150"/>
      <c r="Z39" s="150"/>
      <c r="AA39" s="150"/>
      <c r="AB39" s="160"/>
    </row>
    <row r="40" spans="1:28" s="21" customFormat="1" hidden="1" outlineLevel="2" x14ac:dyDescent="0.3">
      <c r="A40" s="26"/>
      <c r="B40" s="154">
        <f t="shared" si="0"/>
        <v>21</v>
      </c>
      <c r="C40" s="155">
        <f t="shared" si="0"/>
        <v>0</v>
      </c>
      <c r="D40" s="156">
        <f t="shared" si="0"/>
        <v>0</v>
      </c>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61"/>
    </row>
    <row r="41" spans="1:28" s="21" customFormat="1" hidden="1" outlineLevel="2" x14ac:dyDescent="0.3">
      <c r="A41" s="26"/>
      <c r="B41" s="147">
        <f t="shared" si="0"/>
        <v>22</v>
      </c>
      <c r="C41" s="148">
        <f t="shared" si="0"/>
        <v>0</v>
      </c>
      <c r="D41" s="149">
        <f t="shared" si="0"/>
        <v>0</v>
      </c>
      <c r="E41" s="150"/>
      <c r="F41" s="150"/>
      <c r="G41" s="150"/>
      <c r="H41" s="150"/>
      <c r="I41" s="150"/>
      <c r="J41" s="150"/>
      <c r="K41" s="150"/>
      <c r="L41" s="150"/>
      <c r="M41" s="150"/>
      <c r="N41" s="150"/>
      <c r="O41" s="150"/>
      <c r="P41" s="150"/>
      <c r="Q41" s="150"/>
      <c r="R41" s="150"/>
      <c r="S41" s="150"/>
      <c r="T41" s="150"/>
      <c r="U41" s="150"/>
      <c r="V41" s="150"/>
      <c r="W41" s="150"/>
      <c r="X41" s="150"/>
      <c r="Y41" s="150"/>
      <c r="Z41" s="150"/>
      <c r="AA41" s="150"/>
      <c r="AB41" s="160"/>
    </row>
    <row r="42" spans="1:28" s="21" customFormat="1" hidden="1" outlineLevel="2" x14ac:dyDescent="0.3">
      <c r="A42" s="26"/>
      <c r="B42" s="154">
        <f t="shared" si="0"/>
        <v>23</v>
      </c>
      <c r="C42" s="155">
        <f t="shared" si="0"/>
        <v>0</v>
      </c>
      <c r="D42" s="156">
        <f t="shared" si="0"/>
        <v>0</v>
      </c>
      <c r="E42" s="157"/>
      <c r="F42" s="157"/>
      <c r="G42" s="157"/>
      <c r="H42" s="157"/>
      <c r="I42" s="157"/>
      <c r="J42" s="157"/>
      <c r="K42" s="157"/>
      <c r="L42" s="157"/>
      <c r="M42" s="157"/>
      <c r="N42" s="157"/>
      <c r="O42" s="157"/>
      <c r="P42" s="157"/>
      <c r="Q42" s="157"/>
      <c r="R42" s="157"/>
      <c r="S42" s="157"/>
      <c r="T42" s="157"/>
      <c r="U42" s="157"/>
      <c r="V42" s="157"/>
      <c r="W42" s="157"/>
      <c r="X42" s="157"/>
      <c r="Y42" s="157"/>
      <c r="Z42" s="157"/>
      <c r="AA42" s="157"/>
      <c r="AB42" s="161"/>
    </row>
    <row r="43" spans="1:28" s="21" customFormat="1" hidden="1" outlineLevel="2" x14ac:dyDescent="0.3">
      <c r="A43" s="26"/>
      <c r="B43" s="263">
        <f t="shared" si="0"/>
        <v>24</v>
      </c>
      <c r="C43" s="148">
        <f t="shared" si="0"/>
        <v>0</v>
      </c>
      <c r="D43" s="149">
        <f t="shared" si="0"/>
        <v>0</v>
      </c>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60"/>
    </row>
    <row r="44" spans="1:28" s="21" customFormat="1" ht="15" hidden="1" outlineLevel="1" collapsed="1" thickTop="1" x14ac:dyDescent="0.3">
      <c r="A44" s="26"/>
      <c r="B44" s="264">
        <v>1</v>
      </c>
      <c r="C44" s="155">
        <f>LogH1</f>
        <v>0</v>
      </c>
      <c r="D44" s="180">
        <f t="shared" ref="D44:D67" si="1">C44*(calcNumDBUserTLogs+NumDBMoveMbxTLogs)</f>
        <v>0</v>
      </c>
      <c r="E44" s="235">
        <f t="shared" ref="E44:E67" si="2">((AVERAGE($D44))*8)/3600</f>
        <v>0</v>
      </c>
      <c r="F44" s="235">
        <f t="shared" ref="F44:F67" si="3">((AVERAGE($D43:$D44))*8)/3600</f>
        <v>0</v>
      </c>
      <c r="G44" s="235">
        <f t="shared" ref="G44:G67" si="4">((AVERAGE($D42:$D44))*8)/3600</f>
        <v>0</v>
      </c>
      <c r="H44" s="235">
        <f t="shared" ref="H44:I67" si="5">((AVERAGE($D40:$D44))*8)/3600</f>
        <v>0</v>
      </c>
      <c r="I44" s="235">
        <f t="shared" si="5"/>
        <v>0</v>
      </c>
      <c r="J44" s="235">
        <f t="shared" ref="J44:J67" si="6">((AVERAGE($D39:$D44))*8)/3600</f>
        <v>0</v>
      </c>
      <c r="K44" s="235">
        <f t="shared" ref="K44:K67" si="7">((AVERAGE($D38:$D44))*8)/3600</f>
        <v>0</v>
      </c>
      <c r="L44" s="235">
        <f t="shared" ref="L44:L67" si="8">((AVERAGE($D37:$D44))*8)/3600</f>
        <v>0</v>
      </c>
      <c r="M44" s="235">
        <f t="shared" ref="M44:M67" si="9">((AVERAGE($D36:$D44))*8)/3600</f>
        <v>0</v>
      </c>
      <c r="N44" s="235">
        <f t="shared" ref="N44:N67" si="10">((AVERAGE($D35:$D44))*8)/3600</f>
        <v>0</v>
      </c>
      <c r="O44" s="235">
        <f t="shared" ref="O44:O67" si="11">((AVERAGE($D34:$D44))*8)/3600</f>
        <v>0</v>
      </c>
      <c r="P44" s="235">
        <f t="shared" ref="P44:P67" si="12">((AVERAGE($D33:$D44))*8)/3600</f>
        <v>0</v>
      </c>
      <c r="Q44" s="235">
        <f t="shared" ref="Q44:Q67" si="13">((AVERAGE($D32:$D44))*8)/3600</f>
        <v>0</v>
      </c>
      <c r="R44" s="235">
        <f t="shared" ref="R44:R67" si="14">((AVERAGE($D31:$D44))*8)/3600</f>
        <v>0</v>
      </c>
      <c r="S44" s="235">
        <f t="shared" ref="S44:S67" si="15">((AVERAGE($D30:$D44))*8)/3600</f>
        <v>0</v>
      </c>
      <c r="T44" s="235">
        <f t="shared" ref="T44:T67" si="16">((AVERAGE($D29:$D44))*8)/3600</f>
        <v>0</v>
      </c>
      <c r="U44" s="235">
        <f t="shared" ref="U44:U67" si="17">((AVERAGE($D28:$D44))*8)/3600</f>
        <v>0</v>
      </c>
      <c r="V44" s="235">
        <f t="shared" ref="V44:V67" si="18">((AVERAGE($D27:$D44))*8)/3600</f>
        <v>0</v>
      </c>
      <c r="W44" s="235">
        <f t="shared" ref="W44:W67" si="19">((AVERAGE($D26:$D44))*8)/3600</f>
        <v>0</v>
      </c>
      <c r="X44" s="235">
        <f t="shared" ref="X44:X67" si="20">((AVERAGE($D25:$D44))*8)/3600</f>
        <v>0</v>
      </c>
      <c r="Y44" s="235">
        <f t="shared" ref="Y44:Y67" si="21">((AVERAGE($D24:$D44))*8)/3600</f>
        <v>0</v>
      </c>
      <c r="Z44" s="235">
        <f t="shared" ref="Z44:Z67" si="22">((AVERAGE($D23:$D44))*8)/3600</f>
        <v>0</v>
      </c>
      <c r="AA44" s="235">
        <f t="shared" ref="AA44:AA67" si="23">((AVERAGE($D22:$D44))*8)/3600</f>
        <v>0</v>
      </c>
      <c r="AB44" s="236">
        <f t="shared" ref="AB44:AB67" si="24">((AVERAGE($D21:$D44))*8)/3600</f>
        <v>0</v>
      </c>
    </row>
    <row r="45" spans="1:28" s="21" customFormat="1" hidden="1" outlineLevel="1" x14ac:dyDescent="0.3">
      <c r="A45" s="26"/>
      <c r="B45" s="147">
        <v>2</v>
      </c>
      <c r="C45" s="148">
        <f>LogH2</f>
        <v>0</v>
      </c>
      <c r="D45" s="181">
        <f t="shared" si="1"/>
        <v>0</v>
      </c>
      <c r="E45" s="237">
        <f t="shared" si="2"/>
        <v>0</v>
      </c>
      <c r="F45" s="237">
        <f t="shared" si="3"/>
        <v>0</v>
      </c>
      <c r="G45" s="237">
        <f t="shared" si="4"/>
        <v>0</v>
      </c>
      <c r="H45" s="237">
        <f t="shared" si="5"/>
        <v>0</v>
      </c>
      <c r="I45" s="237">
        <f t="shared" si="5"/>
        <v>0</v>
      </c>
      <c r="J45" s="237">
        <f t="shared" si="6"/>
        <v>0</v>
      </c>
      <c r="K45" s="237">
        <f t="shared" si="7"/>
        <v>0</v>
      </c>
      <c r="L45" s="237">
        <f t="shared" si="8"/>
        <v>0</v>
      </c>
      <c r="M45" s="237">
        <f t="shared" si="9"/>
        <v>0</v>
      </c>
      <c r="N45" s="237">
        <f t="shared" si="10"/>
        <v>0</v>
      </c>
      <c r="O45" s="237">
        <f t="shared" si="11"/>
        <v>0</v>
      </c>
      <c r="P45" s="237">
        <f t="shared" si="12"/>
        <v>0</v>
      </c>
      <c r="Q45" s="237">
        <f t="shared" si="13"/>
        <v>0</v>
      </c>
      <c r="R45" s="237">
        <f t="shared" si="14"/>
        <v>0</v>
      </c>
      <c r="S45" s="237">
        <f t="shared" si="15"/>
        <v>0</v>
      </c>
      <c r="T45" s="237">
        <f t="shared" si="16"/>
        <v>0</v>
      </c>
      <c r="U45" s="237">
        <f t="shared" si="17"/>
        <v>0</v>
      </c>
      <c r="V45" s="237">
        <f t="shared" si="18"/>
        <v>0</v>
      </c>
      <c r="W45" s="237">
        <f t="shared" si="19"/>
        <v>0</v>
      </c>
      <c r="X45" s="237">
        <f t="shared" si="20"/>
        <v>0</v>
      </c>
      <c r="Y45" s="237">
        <f t="shared" si="21"/>
        <v>0</v>
      </c>
      <c r="Z45" s="237">
        <f t="shared" si="22"/>
        <v>0</v>
      </c>
      <c r="AA45" s="237">
        <f t="shared" si="23"/>
        <v>0</v>
      </c>
      <c r="AB45" s="238">
        <f t="shared" si="24"/>
        <v>0</v>
      </c>
    </row>
    <row r="46" spans="1:28" s="21" customFormat="1" hidden="1" outlineLevel="1" x14ac:dyDescent="0.3">
      <c r="A46" s="26"/>
      <c r="B46" s="154">
        <v>3</v>
      </c>
      <c r="C46" s="155">
        <f>LogH3</f>
        <v>0</v>
      </c>
      <c r="D46" s="180">
        <f t="shared" si="1"/>
        <v>0</v>
      </c>
      <c r="E46" s="235">
        <f t="shared" si="2"/>
        <v>0</v>
      </c>
      <c r="F46" s="235">
        <f t="shared" si="3"/>
        <v>0</v>
      </c>
      <c r="G46" s="235">
        <f t="shared" si="4"/>
        <v>0</v>
      </c>
      <c r="H46" s="235">
        <f t="shared" si="5"/>
        <v>0</v>
      </c>
      <c r="I46" s="235">
        <f t="shared" si="5"/>
        <v>0</v>
      </c>
      <c r="J46" s="235">
        <f t="shared" si="6"/>
        <v>0</v>
      </c>
      <c r="K46" s="235">
        <f t="shared" si="7"/>
        <v>0</v>
      </c>
      <c r="L46" s="235">
        <f t="shared" si="8"/>
        <v>0</v>
      </c>
      <c r="M46" s="235">
        <f t="shared" si="9"/>
        <v>0</v>
      </c>
      <c r="N46" s="235">
        <f t="shared" si="10"/>
        <v>0</v>
      </c>
      <c r="O46" s="235">
        <f t="shared" si="11"/>
        <v>0</v>
      </c>
      <c r="P46" s="235">
        <f t="shared" si="12"/>
        <v>0</v>
      </c>
      <c r="Q46" s="235">
        <f t="shared" si="13"/>
        <v>0</v>
      </c>
      <c r="R46" s="235">
        <f t="shared" si="14"/>
        <v>0</v>
      </c>
      <c r="S46" s="235">
        <f t="shared" si="15"/>
        <v>0</v>
      </c>
      <c r="T46" s="235">
        <f t="shared" si="16"/>
        <v>0</v>
      </c>
      <c r="U46" s="235">
        <f t="shared" si="17"/>
        <v>0</v>
      </c>
      <c r="V46" s="235">
        <f t="shared" si="18"/>
        <v>0</v>
      </c>
      <c r="W46" s="235">
        <f t="shared" si="19"/>
        <v>0</v>
      </c>
      <c r="X46" s="235">
        <f t="shared" si="20"/>
        <v>0</v>
      </c>
      <c r="Y46" s="235">
        <f t="shared" si="21"/>
        <v>0</v>
      </c>
      <c r="Z46" s="235">
        <f t="shared" si="22"/>
        <v>0</v>
      </c>
      <c r="AA46" s="235">
        <f t="shared" si="23"/>
        <v>0</v>
      </c>
      <c r="AB46" s="236">
        <f t="shared" si="24"/>
        <v>0</v>
      </c>
    </row>
    <row r="47" spans="1:28" s="21" customFormat="1" hidden="1" outlineLevel="1" x14ac:dyDescent="0.3">
      <c r="A47" s="26"/>
      <c r="B47" s="147">
        <v>4</v>
      </c>
      <c r="C47" s="148">
        <f>LogH4</f>
        <v>0</v>
      </c>
      <c r="D47" s="181">
        <f t="shared" si="1"/>
        <v>0</v>
      </c>
      <c r="E47" s="237">
        <f t="shared" si="2"/>
        <v>0</v>
      </c>
      <c r="F47" s="237">
        <f t="shared" si="3"/>
        <v>0</v>
      </c>
      <c r="G47" s="237">
        <f t="shared" si="4"/>
        <v>0</v>
      </c>
      <c r="H47" s="237">
        <f t="shared" si="5"/>
        <v>0</v>
      </c>
      <c r="I47" s="237">
        <f t="shared" si="5"/>
        <v>0</v>
      </c>
      <c r="J47" s="237">
        <f t="shared" si="6"/>
        <v>0</v>
      </c>
      <c r="K47" s="237">
        <f t="shared" si="7"/>
        <v>0</v>
      </c>
      <c r="L47" s="237">
        <f t="shared" si="8"/>
        <v>0</v>
      </c>
      <c r="M47" s="237">
        <f t="shared" si="9"/>
        <v>0</v>
      </c>
      <c r="N47" s="237">
        <f t="shared" si="10"/>
        <v>0</v>
      </c>
      <c r="O47" s="237">
        <f t="shared" si="11"/>
        <v>0</v>
      </c>
      <c r="P47" s="237">
        <f t="shared" si="12"/>
        <v>0</v>
      </c>
      <c r="Q47" s="237">
        <f t="shared" si="13"/>
        <v>0</v>
      </c>
      <c r="R47" s="237">
        <f t="shared" si="14"/>
        <v>0</v>
      </c>
      <c r="S47" s="237">
        <f t="shared" si="15"/>
        <v>0</v>
      </c>
      <c r="T47" s="237">
        <f t="shared" si="16"/>
        <v>0</v>
      </c>
      <c r="U47" s="237">
        <f t="shared" si="17"/>
        <v>0</v>
      </c>
      <c r="V47" s="237">
        <f t="shared" si="18"/>
        <v>0</v>
      </c>
      <c r="W47" s="237">
        <f t="shared" si="19"/>
        <v>0</v>
      </c>
      <c r="X47" s="237">
        <f t="shared" si="20"/>
        <v>0</v>
      </c>
      <c r="Y47" s="237">
        <f t="shared" si="21"/>
        <v>0</v>
      </c>
      <c r="Z47" s="237">
        <f t="shared" si="22"/>
        <v>0</v>
      </c>
      <c r="AA47" s="237">
        <f t="shared" si="23"/>
        <v>0</v>
      </c>
      <c r="AB47" s="238">
        <f t="shared" si="24"/>
        <v>0</v>
      </c>
    </row>
    <row r="48" spans="1:28" s="21" customFormat="1" hidden="1" outlineLevel="1" x14ac:dyDescent="0.3">
      <c r="A48" s="26"/>
      <c r="B48" s="154">
        <v>5</v>
      </c>
      <c r="C48" s="155">
        <f>LogH5</f>
        <v>0</v>
      </c>
      <c r="D48" s="180">
        <f t="shared" si="1"/>
        <v>0</v>
      </c>
      <c r="E48" s="235">
        <f t="shared" si="2"/>
        <v>0</v>
      </c>
      <c r="F48" s="235">
        <f t="shared" si="3"/>
        <v>0</v>
      </c>
      <c r="G48" s="235">
        <f t="shared" si="4"/>
        <v>0</v>
      </c>
      <c r="H48" s="235">
        <f t="shared" si="5"/>
        <v>0</v>
      </c>
      <c r="I48" s="235">
        <f t="shared" si="5"/>
        <v>0</v>
      </c>
      <c r="J48" s="235">
        <f t="shared" si="6"/>
        <v>0</v>
      </c>
      <c r="K48" s="235">
        <f t="shared" si="7"/>
        <v>0</v>
      </c>
      <c r="L48" s="235">
        <f t="shared" si="8"/>
        <v>0</v>
      </c>
      <c r="M48" s="235">
        <f t="shared" si="9"/>
        <v>0</v>
      </c>
      <c r="N48" s="235">
        <f t="shared" si="10"/>
        <v>0</v>
      </c>
      <c r="O48" s="235">
        <f t="shared" si="11"/>
        <v>0</v>
      </c>
      <c r="P48" s="235">
        <f t="shared" si="12"/>
        <v>0</v>
      </c>
      <c r="Q48" s="235">
        <f t="shared" si="13"/>
        <v>0</v>
      </c>
      <c r="R48" s="235">
        <f t="shared" si="14"/>
        <v>0</v>
      </c>
      <c r="S48" s="235">
        <f t="shared" si="15"/>
        <v>0</v>
      </c>
      <c r="T48" s="235">
        <f t="shared" si="16"/>
        <v>0</v>
      </c>
      <c r="U48" s="235">
        <f t="shared" si="17"/>
        <v>0</v>
      </c>
      <c r="V48" s="235">
        <f t="shared" si="18"/>
        <v>0</v>
      </c>
      <c r="W48" s="235">
        <f t="shared" si="19"/>
        <v>0</v>
      </c>
      <c r="X48" s="235">
        <f t="shared" si="20"/>
        <v>0</v>
      </c>
      <c r="Y48" s="235">
        <f t="shared" si="21"/>
        <v>0</v>
      </c>
      <c r="Z48" s="235">
        <f t="shared" si="22"/>
        <v>0</v>
      </c>
      <c r="AA48" s="235">
        <f t="shared" si="23"/>
        <v>0</v>
      </c>
      <c r="AB48" s="236">
        <f t="shared" si="24"/>
        <v>0</v>
      </c>
    </row>
    <row r="49" spans="1:28" s="21" customFormat="1" hidden="1" outlineLevel="1" x14ac:dyDescent="0.3">
      <c r="A49" s="26"/>
      <c r="B49" s="147">
        <v>6</v>
      </c>
      <c r="C49" s="148">
        <f>LogH6</f>
        <v>0</v>
      </c>
      <c r="D49" s="181">
        <f t="shared" si="1"/>
        <v>0</v>
      </c>
      <c r="E49" s="237">
        <f t="shared" si="2"/>
        <v>0</v>
      </c>
      <c r="F49" s="237">
        <f t="shared" si="3"/>
        <v>0</v>
      </c>
      <c r="G49" s="237">
        <f t="shared" si="4"/>
        <v>0</v>
      </c>
      <c r="H49" s="237">
        <f t="shared" si="5"/>
        <v>0</v>
      </c>
      <c r="I49" s="237">
        <f t="shared" si="5"/>
        <v>0</v>
      </c>
      <c r="J49" s="237">
        <f t="shared" si="6"/>
        <v>0</v>
      </c>
      <c r="K49" s="237">
        <f t="shared" si="7"/>
        <v>0</v>
      </c>
      <c r="L49" s="237">
        <f t="shared" si="8"/>
        <v>0</v>
      </c>
      <c r="M49" s="237">
        <f t="shared" si="9"/>
        <v>0</v>
      </c>
      <c r="N49" s="237">
        <f t="shared" si="10"/>
        <v>0</v>
      </c>
      <c r="O49" s="237">
        <f t="shared" si="11"/>
        <v>0</v>
      </c>
      <c r="P49" s="237">
        <f t="shared" si="12"/>
        <v>0</v>
      </c>
      <c r="Q49" s="237">
        <f t="shared" si="13"/>
        <v>0</v>
      </c>
      <c r="R49" s="237">
        <f t="shared" si="14"/>
        <v>0</v>
      </c>
      <c r="S49" s="237">
        <f t="shared" si="15"/>
        <v>0</v>
      </c>
      <c r="T49" s="237">
        <f t="shared" si="16"/>
        <v>0</v>
      </c>
      <c r="U49" s="237">
        <f t="shared" si="17"/>
        <v>0</v>
      </c>
      <c r="V49" s="237">
        <f t="shared" si="18"/>
        <v>0</v>
      </c>
      <c r="W49" s="237">
        <f t="shared" si="19"/>
        <v>0</v>
      </c>
      <c r="X49" s="237">
        <f t="shared" si="20"/>
        <v>0</v>
      </c>
      <c r="Y49" s="237">
        <f t="shared" si="21"/>
        <v>0</v>
      </c>
      <c r="Z49" s="237">
        <f t="shared" si="22"/>
        <v>0</v>
      </c>
      <c r="AA49" s="237">
        <f t="shared" si="23"/>
        <v>0</v>
      </c>
      <c r="AB49" s="238">
        <f t="shared" si="24"/>
        <v>0</v>
      </c>
    </row>
    <row r="50" spans="1:28" s="21" customFormat="1" hidden="1" outlineLevel="1" x14ac:dyDescent="0.3">
      <c r="A50" s="26"/>
      <c r="B50" s="154">
        <v>7</v>
      </c>
      <c r="C50" s="155">
        <f>LogH7</f>
        <v>0</v>
      </c>
      <c r="D50" s="180">
        <f t="shared" si="1"/>
        <v>0</v>
      </c>
      <c r="E50" s="235">
        <f t="shared" si="2"/>
        <v>0</v>
      </c>
      <c r="F50" s="235">
        <f t="shared" si="3"/>
        <v>0</v>
      </c>
      <c r="G50" s="235">
        <f t="shared" si="4"/>
        <v>0</v>
      </c>
      <c r="H50" s="235">
        <f t="shared" si="5"/>
        <v>0</v>
      </c>
      <c r="I50" s="235">
        <f t="shared" si="5"/>
        <v>0</v>
      </c>
      <c r="J50" s="235">
        <f t="shared" si="6"/>
        <v>0</v>
      </c>
      <c r="K50" s="235">
        <f t="shared" si="7"/>
        <v>0</v>
      </c>
      <c r="L50" s="235">
        <f t="shared" si="8"/>
        <v>0</v>
      </c>
      <c r="M50" s="235">
        <f t="shared" si="9"/>
        <v>0</v>
      </c>
      <c r="N50" s="235">
        <f t="shared" si="10"/>
        <v>0</v>
      </c>
      <c r="O50" s="235">
        <f t="shared" si="11"/>
        <v>0</v>
      </c>
      <c r="P50" s="235">
        <f t="shared" si="12"/>
        <v>0</v>
      </c>
      <c r="Q50" s="235">
        <f t="shared" si="13"/>
        <v>0</v>
      </c>
      <c r="R50" s="235">
        <f t="shared" si="14"/>
        <v>0</v>
      </c>
      <c r="S50" s="235">
        <f t="shared" si="15"/>
        <v>0</v>
      </c>
      <c r="T50" s="235">
        <f t="shared" si="16"/>
        <v>0</v>
      </c>
      <c r="U50" s="235">
        <f t="shared" si="17"/>
        <v>0</v>
      </c>
      <c r="V50" s="235">
        <f t="shared" si="18"/>
        <v>0</v>
      </c>
      <c r="W50" s="235">
        <f t="shared" si="19"/>
        <v>0</v>
      </c>
      <c r="X50" s="235">
        <f t="shared" si="20"/>
        <v>0</v>
      </c>
      <c r="Y50" s="235">
        <f t="shared" si="21"/>
        <v>0</v>
      </c>
      <c r="Z50" s="235">
        <f t="shared" si="22"/>
        <v>0</v>
      </c>
      <c r="AA50" s="235">
        <f t="shared" si="23"/>
        <v>0</v>
      </c>
      <c r="AB50" s="236">
        <f t="shared" si="24"/>
        <v>0</v>
      </c>
    </row>
    <row r="51" spans="1:28" s="21" customFormat="1" hidden="1" outlineLevel="1" x14ac:dyDescent="0.3">
      <c r="A51" s="26"/>
      <c r="B51" s="147">
        <v>8</v>
      </c>
      <c r="C51" s="148">
        <f>LogH8</f>
        <v>0</v>
      </c>
      <c r="D51" s="181">
        <f t="shared" si="1"/>
        <v>0</v>
      </c>
      <c r="E51" s="237">
        <f t="shared" si="2"/>
        <v>0</v>
      </c>
      <c r="F51" s="237">
        <f t="shared" si="3"/>
        <v>0</v>
      </c>
      <c r="G51" s="237">
        <f t="shared" si="4"/>
        <v>0</v>
      </c>
      <c r="H51" s="237">
        <f t="shared" si="5"/>
        <v>0</v>
      </c>
      <c r="I51" s="237">
        <f t="shared" si="5"/>
        <v>0</v>
      </c>
      <c r="J51" s="237">
        <f t="shared" si="6"/>
        <v>0</v>
      </c>
      <c r="K51" s="237">
        <f t="shared" si="7"/>
        <v>0</v>
      </c>
      <c r="L51" s="237">
        <f t="shared" si="8"/>
        <v>0</v>
      </c>
      <c r="M51" s="237">
        <f t="shared" si="9"/>
        <v>0</v>
      </c>
      <c r="N51" s="237">
        <f t="shared" si="10"/>
        <v>0</v>
      </c>
      <c r="O51" s="237">
        <f t="shared" si="11"/>
        <v>0</v>
      </c>
      <c r="P51" s="237">
        <f t="shared" si="12"/>
        <v>0</v>
      </c>
      <c r="Q51" s="237">
        <f t="shared" si="13"/>
        <v>0</v>
      </c>
      <c r="R51" s="237">
        <f t="shared" si="14"/>
        <v>0</v>
      </c>
      <c r="S51" s="237">
        <f t="shared" si="15"/>
        <v>0</v>
      </c>
      <c r="T51" s="237">
        <f t="shared" si="16"/>
        <v>0</v>
      </c>
      <c r="U51" s="237">
        <f t="shared" si="17"/>
        <v>0</v>
      </c>
      <c r="V51" s="237">
        <f t="shared" si="18"/>
        <v>0</v>
      </c>
      <c r="W51" s="237">
        <f t="shared" si="19"/>
        <v>0</v>
      </c>
      <c r="X51" s="237">
        <f t="shared" si="20"/>
        <v>0</v>
      </c>
      <c r="Y51" s="237">
        <f t="shared" si="21"/>
        <v>0</v>
      </c>
      <c r="Z51" s="237">
        <f t="shared" si="22"/>
        <v>0</v>
      </c>
      <c r="AA51" s="237">
        <f t="shared" si="23"/>
        <v>0</v>
      </c>
      <c r="AB51" s="238">
        <f t="shared" si="24"/>
        <v>0</v>
      </c>
    </row>
    <row r="52" spans="1:28" s="21" customFormat="1" hidden="1" outlineLevel="1" x14ac:dyDescent="0.3">
      <c r="A52" s="26"/>
      <c r="B52" s="154">
        <v>9</v>
      </c>
      <c r="C52" s="155">
        <f>LogH9</f>
        <v>0</v>
      </c>
      <c r="D52" s="180">
        <f t="shared" si="1"/>
        <v>0</v>
      </c>
      <c r="E52" s="235">
        <f t="shared" si="2"/>
        <v>0</v>
      </c>
      <c r="F52" s="235">
        <f t="shared" si="3"/>
        <v>0</v>
      </c>
      <c r="G52" s="235">
        <f t="shared" si="4"/>
        <v>0</v>
      </c>
      <c r="H52" s="235">
        <f t="shared" si="5"/>
        <v>0</v>
      </c>
      <c r="I52" s="235">
        <f t="shared" si="5"/>
        <v>0</v>
      </c>
      <c r="J52" s="235">
        <f t="shared" si="6"/>
        <v>0</v>
      </c>
      <c r="K52" s="235">
        <f t="shared" si="7"/>
        <v>0</v>
      </c>
      <c r="L52" s="235">
        <f t="shared" si="8"/>
        <v>0</v>
      </c>
      <c r="M52" s="235">
        <f t="shared" si="9"/>
        <v>0</v>
      </c>
      <c r="N52" s="235">
        <f t="shared" si="10"/>
        <v>0</v>
      </c>
      <c r="O52" s="235">
        <f t="shared" si="11"/>
        <v>0</v>
      </c>
      <c r="P52" s="235">
        <f t="shared" si="12"/>
        <v>0</v>
      </c>
      <c r="Q52" s="235">
        <f t="shared" si="13"/>
        <v>0</v>
      </c>
      <c r="R52" s="235">
        <f t="shared" si="14"/>
        <v>0</v>
      </c>
      <c r="S52" s="235">
        <f t="shared" si="15"/>
        <v>0</v>
      </c>
      <c r="T52" s="235">
        <f t="shared" si="16"/>
        <v>0</v>
      </c>
      <c r="U52" s="235">
        <f t="shared" si="17"/>
        <v>0</v>
      </c>
      <c r="V52" s="235">
        <f t="shared" si="18"/>
        <v>0</v>
      </c>
      <c r="W52" s="235">
        <f t="shared" si="19"/>
        <v>0</v>
      </c>
      <c r="X52" s="235">
        <f t="shared" si="20"/>
        <v>0</v>
      </c>
      <c r="Y52" s="235">
        <f t="shared" si="21"/>
        <v>0</v>
      </c>
      <c r="Z52" s="235">
        <f t="shared" si="22"/>
        <v>0</v>
      </c>
      <c r="AA52" s="235">
        <f t="shared" si="23"/>
        <v>0</v>
      </c>
      <c r="AB52" s="236">
        <f t="shared" si="24"/>
        <v>0</v>
      </c>
    </row>
    <row r="53" spans="1:28" s="21" customFormat="1" hidden="1" outlineLevel="1" x14ac:dyDescent="0.3">
      <c r="A53" s="26"/>
      <c r="B53" s="147">
        <v>10</v>
      </c>
      <c r="C53" s="148">
        <f>LogH10</f>
        <v>0</v>
      </c>
      <c r="D53" s="181">
        <f t="shared" si="1"/>
        <v>0</v>
      </c>
      <c r="E53" s="237">
        <f t="shared" si="2"/>
        <v>0</v>
      </c>
      <c r="F53" s="237">
        <f t="shared" si="3"/>
        <v>0</v>
      </c>
      <c r="G53" s="237">
        <f t="shared" si="4"/>
        <v>0</v>
      </c>
      <c r="H53" s="237">
        <f t="shared" si="5"/>
        <v>0</v>
      </c>
      <c r="I53" s="237">
        <f t="shared" si="5"/>
        <v>0</v>
      </c>
      <c r="J53" s="237">
        <f t="shared" si="6"/>
        <v>0</v>
      </c>
      <c r="K53" s="237">
        <f t="shared" si="7"/>
        <v>0</v>
      </c>
      <c r="L53" s="237">
        <f t="shared" si="8"/>
        <v>0</v>
      </c>
      <c r="M53" s="237">
        <f t="shared" si="9"/>
        <v>0</v>
      </c>
      <c r="N53" s="237">
        <f t="shared" si="10"/>
        <v>0</v>
      </c>
      <c r="O53" s="237">
        <f t="shared" si="11"/>
        <v>0</v>
      </c>
      <c r="P53" s="237">
        <f t="shared" si="12"/>
        <v>0</v>
      </c>
      <c r="Q53" s="237">
        <f t="shared" si="13"/>
        <v>0</v>
      </c>
      <c r="R53" s="237">
        <f t="shared" si="14"/>
        <v>0</v>
      </c>
      <c r="S53" s="237">
        <f t="shared" si="15"/>
        <v>0</v>
      </c>
      <c r="T53" s="237">
        <f t="shared" si="16"/>
        <v>0</v>
      </c>
      <c r="U53" s="237">
        <f t="shared" si="17"/>
        <v>0</v>
      </c>
      <c r="V53" s="237">
        <f t="shared" si="18"/>
        <v>0</v>
      </c>
      <c r="W53" s="237">
        <f t="shared" si="19"/>
        <v>0</v>
      </c>
      <c r="X53" s="237">
        <f t="shared" si="20"/>
        <v>0</v>
      </c>
      <c r="Y53" s="237">
        <f t="shared" si="21"/>
        <v>0</v>
      </c>
      <c r="Z53" s="237">
        <f t="shared" si="22"/>
        <v>0</v>
      </c>
      <c r="AA53" s="237">
        <f t="shared" si="23"/>
        <v>0</v>
      </c>
      <c r="AB53" s="238">
        <f t="shared" si="24"/>
        <v>0</v>
      </c>
    </row>
    <row r="54" spans="1:28" s="21" customFormat="1" hidden="1" outlineLevel="1" x14ac:dyDescent="0.3">
      <c r="A54" s="26"/>
      <c r="B54" s="154">
        <v>11</v>
      </c>
      <c r="C54" s="155">
        <f>LogH11</f>
        <v>0</v>
      </c>
      <c r="D54" s="180">
        <f t="shared" si="1"/>
        <v>0</v>
      </c>
      <c r="E54" s="235">
        <f t="shared" si="2"/>
        <v>0</v>
      </c>
      <c r="F54" s="235">
        <f t="shared" si="3"/>
        <v>0</v>
      </c>
      <c r="G54" s="235">
        <f t="shared" si="4"/>
        <v>0</v>
      </c>
      <c r="H54" s="235">
        <f t="shared" si="5"/>
        <v>0</v>
      </c>
      <c r="I54" s="235">
        <f t="shared" si="5"/>
        <v>0</v>
      </c>
      <c r="J54" s="235">
        <f t="shared" si="6"/>
        <v>0</v>
      </c>
      <c r="K54" s="235">
        <f t="shared" si="7"/>
        <v>0</v>
      </c>
      <c r="L54" s="235">
        <f t="shared" si="8"/>
        <v>0</v>
      </c>
      <c r="M54" s="235">
        <f t="shared" si="9"/>
        <v>0</v>
      </c>
      <c r="N54" s="235">
        <f t="shared" si="10"/>
        <v>0</v>
      </c>
      <c r="O54" s="235">
        <f t="shared" si="11"/>
        <v>0</v>
      </c>
      <c r="P54" s="235">
        <f t="shared" si="12"/>
        <v>0</v>
      </c>
      <c r="Q54" s="235">
        <f t="shared" si="13"/>
        <v>0</v>
      </c>
      <c r="R54" s="235">
        <f t="shared" si="14"/>
        <v>0</v>
      </c>
      <c r="S54" s="235">
        <f t="shared" si="15"/>
        <v>0</v>
      </c>
      <c r="T54" s="235">
        <f t="shared" si="16"/>
        <v>0</v>
      </c>
      <c r="U54" s="235">
        <f t="shared" si="17"/>
        <v>0</v>
      </c>
      <c r="V54" s="235">
        <f t="shared" si="18"/>
        <v>0</v>
      </c>
      <c r="W54" s="235">
        <f t="shared" si="19"/>
        <v>0</v>
      </c>
      <c r="X54" s="235">
        <f t="shared" si="20"/>
        <v>0</v>
      </c>
      <c r="Y54" s="235">
        <f t="shared" si="21"/>
        <v>0</v>
      </c>
      <c r="Z54" s="235">
        <f t="shared" si="22"/>
        <v>0</v>
      </c>
      <c r="AA54" s="235">
        <f t="shared" si="23"/>
        <v>0</v>
      </c>
      <c r="AB54" s="236">
        <f t="shared" si="24"/>
        <v>0</v>
      </c>
    </row>
    <row r="55" spans="1:28" s="21" customFormat="1" hidden="1" outlineLevel="1" x14ac:dyDescent="0.3">
      <c r="A55" s="26"/>
      <c r="B55" s="147">
        <v>12</v>
      </c>
      <c r="C55" s="148">
        <f>LogH12</f>
        <v>0</v>
      </c>
      <c r="D55" s="181">
        <f t="shared" si="1"/>
        <v>0</v>
      </c>
      <c r="E55" s="237">
        <f t="shared" si="2"/>
        <v>0</v>
      </c>
      <c r="F55" s="237">
        <f t="shared" si="3"/>
        <v>0</v>
      </c>
      <c r="G55" s="237">
        <f t="shared" si="4"/>
        <v>0</v>
      </c>
      <c r="H55" s="237">
        <f t="shared" si="5"/>
        <v>0</v>
      </c>
      <c r="I55" s="237">
        <f t="shared" si="5"/>
        <v>0</v>
      </c>
      <c r="J55" s="237">
        <f t="shared" si="6"/>
        <v>0</v>
      </c>
      <c r="K55" s="237">
        <f t="shared" si="7"/>
        <v>0</v>
      </c>
      <c r="L55" s="237">
        <f t="shared" si="8"/>
        <v>0</v>
      </c>
      <c r="M55" s="237">
        <f t="shared" si="9"/>
        <v>0</v>
      </c>
      <c r="N55" s="237">
        <f t="shared" si="10"/>
        <v>0</v>
      </c>
      <c r="O55" s="237">
        <f t="shared" si="11"/>
        <v>0</v>
      </c>
      <c r="P55" s="237">
        <f t="shared" si="12"/>
        <v>0</v>
      </c>
      <c r="Q55" s="237">
        <f t="shared" si="13"/>
        <v>0</v>
      </c>
      <c r="R55" s="237">
        <f t="shared" si="14"/>
        <v>0</v>
      </c>
      <c r="S55" s="237">
        <f t="shared" si="15"/>
        <v>0</v>
      </c>
      <c r="T55" s="237">
        <f t="shared" si="16"/>
        <v>0</v>
      </c>
      <c r="U55" s="237">
        <f t="shared" si="17"/>
        <v>0</v>
      </c>
      <c r="V55" s="237">
        <f t="shared" si="18"/>
        <v>0</v>
      </c>
      <c r="W55" s="237">
        <f t="shared" si="19"/>
        <v>0</v>
      </c>
      <c r="X55" s="237">
        <f t="shared" si="20"/>
        <v>0</v>
      </c>
      <c r="Y55" s="237">
        <f t="shared" si="21"/>
        <v>0</v>
      </c>
      <c r="Z55" s="237">
        <f t="shared" si="22"/>
        <v>0</v>
      </c>
      <c r="AA55" s="237">
        <f t="shared" si="23"/>
        <v>0</v>
      </c>
      <c r="AB55" s="238">
        <f t="shared" si="24"/>
        <v>0</v>
      </c>
    </row>
    <row r="56" spans="1:28" s="21" customFormat="1" hidden="1" outlineLevel="1" x14ac:dyDescent="0.3">
      <c r="A56" s="26"/>
      <c r="B56" s="154">
        <v>13</v>
      </c>
      <c r="C56" s="155">
        <f>LogH13</f>
        <v>0</v>
      </c>
      <c r="D56" s="180">
        <f t="shared" si="1"/>
        <v>0</v>
      </c>
      <c r="E56" s="235">
        <f t="shared" si="2"/>
        <v>0</v>
      </c>
      <c r="F56" s="235">
        <f t="shared" si="3"/>
        <v>0</v>
      </c>
      <c r="G56" s="235">
        <f t="shared" si="4"/>
        <v>0</v>
      </c>
      <c r="H56" s="235">
        <f t="shared" si="5"/>
        <v>0</v>
      </c>
      <c r="I56" s="235">
        <f t="shared" si="5"/>
        <v>0</v>
      </c>
      <c r="J56" s="235">
        <f t="shared" si="6"/>
        <v>0</v>
      </c>
      <c r="K56" s="235">
        <f t="shared" si="7"/>
        <v>0</v>
      </c>
      <c r="L56" s="235">
        <f t="shared" si="8"/>
        <v>0</v>
      </c>
      <c r="M56" s="235">
        <f t="shared" si="9"/>
        <v>0</v>
      </c>
      <c r="N56" s="235">
        <f t="shared" si="10"/>
        <v>0</v>
      </c>
      <c r="O56" s="235">
        <f t="shared" si="11"/>
        <v>0</v>
      </c>
      <c r="P56" s="235">
        <f t="shared" si="12"/>
        <v>0</v>
      </c>
      <c r="Q56" s="235">
        <f t="shared" si="13"/>
        <v>0</v>
      </c>
      <c r="R56" s="235">
        <f t="shared" si="14"/>
        <v>0</v>
      </c>
      <c r="S56" s="235">
        <f t="shared" si="15"/>
        <v>0</v>
      </c>
      <c r="T56" s="235">
        <f t="shared" si="16"/>
        <v>0</v>
      </c>
      <c r="U56" s="235">
        <f t="shared" si="17"/>
        <v>0</v>
      </c>
      <c r="V56" s="235">
        <f t="shared" si="18"/>
        <v>0</v>
      </c>
      <c r="W56" s="235">
        <f t="shared" si="19"/>
        <v>0</v>
      </c>
      <c r="X56" s="235">
        <f t="shared" si="20"/>
        <v>0</v>
      </c>
      <c r="Y56" s="235">
        <f t="shared" si="21"/>
        <v>0</v>
      </c>
      <c r="Z56" s="235">
        <f t="shared" si="22"/>
        <v>0</v>
      </c>
      <c r="AA56" s="235">
        <f t="shared" si="23"/>
        <v>0</v>
      </c>
      <c r="AB56" s="236">
        <f t="shared" si="24"/>
        <v>0</v>
      </c>
    </row>
    <row r="57" spans="1:28" hidden="1" outlineLevel="1" x14ac:dyDescent="0.35">
      <c r="A57" s="45"/>
      <c r="B57" s="147">
        <v>14</v>
      </c>
      <c r="C57" s="148">
        <f>LogH14</f>
        <v>0</v>
      </c>
      <c r="D57" s="181">
        <f t="shared" si="1"/>
        <v>0</v>
      </c>
      <c r="E57" s="237">
        <f t="shared" si="2"/>
        <v>0</v>
      </c>
      <c r="F57" s="237">
        <f t="shared" si="3"/>
        <v>0</v>
      </c>
      <c r="G57" s="237">
        <f t="shared" si="4"/>
        <v>0</v>
      </c>
      <c r="H57" s="237">
        <f t="shared" si="5"/>
        <v>0</v>
      </c>
      <c r="I57" s="237">
        <f t="shared" si="5"/>
        <v>0</v>
      </c>
      <c r="J57" s="237">
        <f t="shared" si="6"/>
        <v>0</v>
      </c>
      <c r="K57" s="237">
        <f t="shared" si="7"/>
        <v>0</v>
      </c>
      <c r="L57" s="237">
        <f t="shared" si="8"/>
        <v>0</v>
      </c>
      <c r="M57" s="237">
        <f t="shared" si="9"/>
        <v>0</v>
      </c>
      <c r="N57" s="237">
        <f t="shared" si="10"/>
        <v>0</v>
      </c>
      <c r="O57" s="237">
        <f t="shared" si="11"/>
        <v>0</v>
      </c>
      <c r="P57" s="237">
        <f t="shared" si="12"/>
        <v>0</v>
      </c>
      <c r="Q57" s="237">
        <f t="shared" si="13"/>
        <v>0</v>
      </c>
      <c r="R57" s="237">
        <f t="shared" si="14"/>
        <v>0</v>
      </c>
      <c r="S57" s="237">
        <f t="shared" si="15"/>
        <v>0</v>
      </c>
      <c r="T57" s="237">
        <f t="shared" si="16"/>
        <v>0</v>
      </c>
      <c r="U57" s="237">
        <f t="shared" si="17"/>
        <v>0</v>
      </c>
      <c r="V57" s="237">
        <f t="shared" si="18"/>
        <v>0</v>
      </c>
      <c r="W57" s="237">
        <f t="shared" si="19"/>
        <v>0</v>
      </c>
      <c r="X57" s="237">
        <f t="shared" si="20"/>
        <v>0</v>
      </c>
      <c r="Y57" s="237">
        <f t="shared" si="21"/>
        <v>0</v>
      </c>
      <c r="Z57" s="237">
        <f t="shared" si="22"/>
        <v>0</v>
      </c>
      <c r="AA57" s="237">
        <f t="shared" si="23"/>
        <v>0</v>
      </c>
      <c r="AB57" s="238">
        <f t="shared" si="24"/>
        <v>0</v>
      </c>
    </row>
    <row r="58" spans="1:28" hidden="1" outlineLevel="1" x14ac:dyDescent="0.35">
      <c r="A58" s="45"/>
      <c r="B58" s="154">
        <v>15</v>
      </c>
      <c r="C58" s="155">
        <f>LogH15</f>
        <v>0</v>
      </c>
      <c r="D58" s="180">
        <f t="shared" si="1"/>
        <v>0</v>
      </c>
      <c r="E58" s="235">
        <f t="shared" si="2"/>
        <v>0</v>
      </c>
      <c r="F58" s="235">
        <f t="shared" si="3"/>
        <v>0</v>
      </c>
      <c r="G58" s="235">
        <f t="shared" si="4"/>
        <v>0</v>
      </c>
      <c r="H58" s="235">
        <f t="shared" si="5"/>
        <v>0</v>
      </c>
      <c r="I58" s="235">
        <f t="shared" si="5"/>
        <v>0</v>
      </c>
      <c r="J58" s="235">
        <f t="shared" si="6"/>
        <v>0</v>
      </c>
      <c r="K58" s="235">
        <f t="shared" si="7"/>
        <v>0</v>
      </c>
      <c r="L58" s="235">
        <f t="shared" si="8"/>
        <v>0</v>
      </c>
      <c r="M58" s="235">
        <f t="shared" si="9"/>
        <v>0</v>
      </c>
      <c r="N58" s="235">
        <f t="shared" si="10"/>
        <v>0</v>
      </c>
      <c r="O58" s="235">
        <f t="shared" si="11"/>
        <v>0</v>
      </c>
      <c r="P58" s="235">
        <f t="shared" si="12"/>
        <v>0</v>
      </c>
      <c r="Q58" s="235">
        <f t="shared" si="13"/>
        <v>0</v>
      </c>
      <c r="R58" s="235">
        <f t="shared" si="14"/>
        <v>0</v>
      </c>
      <c r="S58" s="235">
        <f t="shared" si="15"/>
        <v>0</v>
      </c>
      <c r="T58" s="235">
        <f t="shared" si="16"/>
        <v>0</v>
      </c>
      <c r="U58" s="235">
        <f t="shared" si="17"/>
        <v>0</v>
      </c>
      <c r="V58" s="235">
        <f t="shared" si="18"/>
        <v>0</v>
      </c>
      <c r="W58" s="235">
        <f t="shared" si="19"/>
        <v>0</v>
      </c>
      <c r="X58" s="235">
        <f t="shared" si="20"/>
        <v>0</v>
      </c>
      <c r="Y58" s="235">
        <f t="shared" si="21"/>
        <v>0</v>
      </c>
      <c r="Z58" s="235">
        <f t="shared" si="22"/>
        <v>0</v>
      </c>
      <c r="AA58" s="235">
        <f t="shared" si="23"/>
        <v>0</v>
      </c>
      <c r="AB58" s="236">
        <f t="shared" si="24"/>
        <v>0</v>
      </c>
    </row>
    <row r="59" spans="1:28" hidden="1" outlineLevel="1" x14ac:dyDescent="0.35">
      <c r="A59" s="45"/>
      <c r="B59" s="147">
        <v>16</v>
      </c>
      <c r="C59" s="148">
        <f>LogH16</f>
        <v>0</v>
      </c>
      <c r="D59" s="181">
        <f t="shared" si="1"/>
        <v>0</v>
      </c>
      <c r="E59" s="237">
        <f t="shared" si="2"/>
        <v>0</v>
      </c>
      <c r="F59" s="237">
        <f t="shared" si="3"/>
        <v>0</v>
      </c>
      <c r="G59" s="237">
        <f t="shared" si="4"/>
        <v>0</v>
      </c>
      <c r="H59" s="237">
        <f t="shared" si="5"/>
        <v>0</v>
      </c>
      <c r="I59" s="237">
        <f t="shared" si="5"/>
        <v>0</v>
      </c>
      <c r="J59" s="237">
        <f t="shared" si="6"/>
        <v>0</v>
      </c>
      <c r="K59" s="237">
        <f t="shared" si="7"/>
        <v>0</v>
      </c>
      <c r="L59" s="237">
        <f t="shared" si="8"/>
        <v>0</v>
      </c>
      <c r="M59" s="237">
        <f t="shared" si="9"/>
        <v>0</v>
      </c>
      <c r="N59" s="237">
        <f t="shared" si="10"/>
        <v>0</v>
      </c>
      <c r="O59" s="237">
        <f t="shared" si="11"/>
        <v>0</v>
      </c>
      <c r="P59" s="237">
        <f t="shared" si="12"/>
        <v>0</v>
      </c>
      <c r="Q59" s="237">
        <f t="shared" si="13"/>
        <v>0</v>
      </c>
      <c r="R59" s="237">
        <f t="shared" si="14"/>
        <v>0</v>
      </c>
      <c r="S59" s="237">
        <f t="shared" si="15"/>
        <v>0</v>
      </c>
      <c r="T59" s="237">
        <f t="shared" si="16"/>
        <v>0</v>
      </c>
      <c r="U59" s="237">
        <f t="shared" si="17"/>
        <v>0</v>
      </c>
      <c r="V59" s="237">
        <f t="shared" si="18"/>
        <v>0</v>
      </c>
      <c r="W59" s="237">
        <f t="shared" si="19"/>
        <v>0</v>
      </c>
      <c r="X59" s="237">
        <f t="shared" si="20"/>
        <v>0</v>
      </c>
      <c r="Y59" s="237">
        <f t="shared" si="21"/>
        <v>0</v>
      </c>
      <c r="Z59" s="237">
        <f t="shared" si="22"/>
        <v>0</v>
      </c>
      <c r="AA59" s="237">
        <f t="shared" si="23"/>
        <v>0</v>
      </c>
      <c r="AB59" s="238">
        <f t="shared" si="24"/>
        <v>0</v>
      </c>
    </row>
    <row r="60" spans="1:28" hidden="1" outlineLevel="1" x14ac:dyDescent="0.35">
      <c r="A60" s="45"/>
      <c r="B60" s="154">
        <v>17</v>
      </c>
      <c r="C60" s="155">
        <f>LogH17</f>
        <v>0</v>
      </c>
      <c r="D60" s="180">
        <f t="shared" si="1"/>
        <v>0</v>
      </c>
      <c r="E60" s="235">
        <f t="shared" si="2"/>
        <v>0</v>
      </c>
      <c r="F60" s="235">
        <f t="shared" si="3"/>
        <v>0</v>
      </c>
      <c r="G60" s="235">
        <f t="shared" si="4"/>
        <v>0</v>
      </c>
      <c r="H60" s="235">
        <f t="shared" si="5"/>
        <v>0</v>
      </c>
      <c r="I60" s="235">
        <f t="shared" si="5"/>
        <v>0</v>
      </c>
      <c r="J60" s="235">
        <f t="shared" si="6"/>
        <v>0</v>
      </c>
      <c r="K60" s="235">
        <f t="shared" si="7"/>
        <v>0</v>
      </c>
      <c r="L60" s="235">
        <f t="shared" si="8"/>
        <v>0</v>
      </c>
      <c r="M60" s="235">
        <f t="shared" si="9"/>
        <v>0</v>
      </c>
      <c r="N60" s="235">
        <f t="shared" si="10"/>
        <v>0</v>
      </c>
      <c r="O60" s="235">
        <f t="shared" si="11"/>
        <v>0</v>
      </c>
      <c r="P60" s="235">
        <f t="shared" si="12"/>
        <v>0</v>
      </c>
      <c r="Q60" s="235">
        <f t="shared" si="13"/>
        <v>0</v>
      </c>
      <c r="R60" s="235">
        <f t="shared" si="14"/>
        <v>0</v>
      </c>
      <c r="S60" s="235">
        <f t="shared" si="15"/>
        <v>0</v>
      </c>
      <c r="T60" s="235">
        <f t="shared" si="16"/>
        <v>0</v>
      </c>
      <c r="U60" s="235">
        <f t="shared" si="17"/>
        <v>0</v>
      </c>
      <c r="V60" s="235">
        <f t="shared" si="18"/>
        <v>0</v>
      </c>
      <c r="W60" s="235">
        <f t="shared" si="19"/>
        <v>0</v>
      </c>
      <c r="X60" s="235">
        <f t="shared" si="20"/>
        <v>0</v>
      </c>
      <c r="Y60" s="235">
        <f t="shared" si="21"/>
        <v>0</v>
      </c>
      <c r="Z60" s="235">
        <f t="shared" si="22"/>
        <v>0</v>
      </c>
      <c r="AA60" s="235">
        <f t="shared" si="23"/>
        <v>0</v>
      </c>
      <c r="AB60" s="236">
        <f t="shared" si="24"/>
        <v>0</v>
      </c>
    </row>
    <row r="61" spans="1:28" hidden="1" outlineLevel="1" x14ac:dyDescent="0.35">
      <c r="A61" s="45"/>
      <c r="B61" s="147">
        <v>18</v>
      </c>
      <c r="C61" s="148">
        <f>LogH18</f>
        <v>0</v>
      </c>
      <c r="D61" s="181">
        <f t="shared" si="1"/>
        <v>0</v>
      </c>
      <c r="E61" s="237">
        <f t="shared" si="2"/>
        <v>0</v>
      </c>
      <c r="F61" s="237">
        <f t="shared" si="3"/>
        <v>0</v>
      </c>
      <c r="G61" s="237">
        <f t="shared" si="4"/>
        <v>0</v>
      </c>
      <c r="H61" s="237">
        <f t="shared" si="5"/>
        <v>0</v>
      </c>
      <c r="I61" s="237">
        <f t="shared" si="5"/>
        <v>0</v>
      </c>
      <c r="J61" s="237">
        <f t="shared" si="6"/>
        <v>0</v>
      </c>
      <c r="K61" s="237">
        <f t="shared" si="7"/>
        <v>0</v>
      </c>
      <c r="L61" s="237">
        <f t="shared" si="8"/>
        <v>0</v>
      </c>
      <c r="M61" s="237">
        <f t="shared" si="9"/>
        <v>0</v>
      </c>
      <c r="N61" s="237">
        <f t="shared" si="10"/>
        <v>0</v>
      </c>
      <c r="O61" s="237">
        <f t="shared" si="11"/>
        <v>0</v>
      </c>
      <c r="P61" s="237">
        <f t="shared" si="12"/>
        <v>0</v>
      </c>
      <c r="Q61" s="237">
        <f t="shared" si="13"/>
        <v>0</v>
      </c>
      <c r="R61" s="237">
        <f t="shared" si="14"/>
        <v>0</v>
      </c>
      <c r="S61" s="237">
        <f t="shared" si="15"/>
        <v>0</v>
      </c>
      <c r="T61" s="237">
        <f t="shared" si="16"/>
        <v>0</v>
      </c>
      <c r="U61" s="237">
        <f t="shared" si="17"/>
        <v>0</v>
      </c>
      <c r="V61" s="237">
        <f t="shared" si="18"/>
        <v>0</v>
      </c>
      <c r="W61" s="237">
        <f t="shared" si="19"/>
        <v>0</v>
      </c>
      <c r="X61" s="237">
        <f t="shared" si="20"/>
        <v>0</v>
      </c>
      <c r="Y61" s="237">
        <f t="shared" si="21"/>
        <v>0</v>
      </c>
      <c r="Z61" s="237">
        <f t="shared" si="22"/>
        <v>0</v>
      </c>
      <c r="AA61" s="237">
        <f t="shared" si="23"/>
        <v>0</v>
      </c>
      <c r="AB61" s="238">
        <f t="shared" si="24"/>
        <v>0</v>
      </c>
    </row>
    <row r="62" spans="1:28" hidden="1" outlineLevel="1" x14ac:dyDescent="0.35">
      <c r="A62" s="45"/>
      <c r="B62" s="154">
        <v>19</v>
      </c>
      <c r="C62" s="155">
        <f>LogH19</f>
        <v>0</v>
      </c>
      <c r="D62" s="180">
        <f t="shared" si="1"/>
        <v>0</v>
      </c>
      <c r="E62" s="235">
        <f t="shared" si="2"/>
        <v>0</v>
      </c>
      <c r="F62" s="235">
        <f t="shared" si="3"/>
        <v>0</v>
      </c>
      <c r="G62" s="235">
        <f t="shared" si="4"/>
        <v>0</v>
      </c>
      <c r="H62" s="235">
        <f t="shared" si="5"/>
        <v>0</v>
      </c>
      <c r="I62" s="235">
        <f t="shared" si="5"/>
        <v>0</v>
      </c>
      <c r="J62" s="235">
        <f t="shared" si="6"/>
        <v>0</v>
      </c>
      <c r="K62" s="235">
        <f t="shared" si="7"/>
        <v>0</v>
      </c>
      <c r="L62" s="235">
        <f t="shared" si="8"/>
        <v>0</v>
      </c>
      <c r="M62" s="235">
        <f t="shared" si="9"/>
        <v>0</v>
      </c>
      <c r="N62" s="235">
        <f t="shared" si="10"/>
        <v>0</v>
      </c>
      <c r="O62" s="235">
        <f t="shared" si="11"/>
        <v>0</v>
      </c>
      <c r="P62" s="235">
        <f t="shared" si="12"/>
        <v>0</v>
      </c>
      <c r="Q62" s="235">
        <f t="shared" si="13"/>
        <v>0</v>
      </c>
      <c r="R62" s="235">
        <f t="shared" si="14"/>
        <v>0</v>
      </c>
      <c r="S62" s="235">
        <f t="shared" si="15"/>
        <v>0</v>
      </c>
      <c r="T62" s="235">
        <f t="shared" si="16"/>
        <v>0</v>
      </c>
      <c r="U62" s="235">
        <f t="shared" si="17"/>
        <v>0</v>
      </c>
      <c r="V62" s="235">
        <f t="shared" si="18"/>
        <v>0</v>
      </c>
      <c r="W62" s="235">
        <f t="shared" si="19"/>
        <v>0</v>
      </c>
      <c r="X62" s="235">
        <f t="shared" si="20"/>
        <v>0</v>
      </c>
      <c r="Y62" s="235">
        <f t="shared" si="21"/>
        <v>0</v>
      </c>
      <c r="Z62" s="235">
        <f t="shared" si="22"/>
        <v>0</v>
      </c>
      <c r="AA62" s="235">
        <f t="shared" si="23"/>
        <v>0</v>
      </c>
      <c r="AB62" s="236">
        <f t="shared" si="24"/>
        <v>0</v>
      </c>
    </row>
    <row r="63" spans="1:28" hidden="1" outlineLevel="1" x14ac:dyDescent="0.35">
      <c r="A63" s="45"/>
      <c r="B63" s="147">
        <v>20</v>
      </c>
      <c r="C63" s="148">
        <f>LogH20</f>
        <v>0</v>
      </c>
      <c r="D63" s="181">
        <f t="shared" si="1"/>
        <v>0</v>
      </c>
      <c r="E63" s="237">
        <f t="shared" si="2"/>
        <v>0</v>
      </c>
      <c r="F63" s="237">
        <f t="shared" si="3"/>
        <v>0</v>
      </c>
      <c r="G63" s="237">
        <f t="shared" si="4"/>
        <v>0</v>
      </c>
      <c r="H63" s="237">
        <f t="shared" si="5"/>
        <v>0</v>
      </c>
      <c r="I63" s="237">
        <f t="shared" si="5"/>
        <v>0</v>
      </c>
      <c r="J63" s="237">
        <f t="shared" si="6"/>
        <v>0</v>
      </c>
      <c r="K63" s="237">
        <f t="shared" si="7"/>
        <v>0</v>
      </c>
      <c r="L63" s="237">
        <f t="shared" si="8"/>
        <v>0</v>
      </c>
      <c r="M63" s="237">
        <f t="shared" si="9"/>
        <v>0</v>
      </c>
      <c r="N63" s="237">
        <f t="shared" si="10"/>
        <v>0</v>
      </c>
      <c r="O63" s="237">
        <f t="shared" si="11"/>
        <v>0</v>
      </c>
      <c r="P63" s="237">
        <f t="shared" si="12"/>
        <v>0</v>
      </c>
      <c r="Q63" s="237">
        <f t="shared" si="13"/>
        <v>0</v>
      </c>
      <c r="R63" s="237">
        <f t="shared" si="14"/>
        <v>0</v>
      </c>
      <c r="S63" s="237">
        <f t="shared" si="15"/>
        <v>0</v>
      </c>
      <c r="T63" s="237">
        <f t="shared" si="16"/>
        <v>0</v>
      </c>
      <c r="U63" s="237">
        <f t="shared" si="17"/>
        <v>0</v>
      </c>
      <c r="V63" s="237">
        <f t="shared" si="18"/>
        <v>0</v>
      </c>
      <c r="W63" s="237">
        <f t="shared" si="19"/>
        <v>0</v>
      </c>
      <c r="X63" s="237">
        <f t="shared" si="20"/>
        <v>0</v>
      </c>
      <c r="Y63" s="237">
        <f t="shared" si="21"/>
        <v>0</v>
      </c>
      <c r="Z63" s="237">
        <f t="shared" si="22"/>
        <v>0</v>
      </c>
      <c r="AA63" s="237">
        <f t="shared" si="23"/>
        <v>0</v>
      </c>
      <c r="AB63" s="238">
        <f t="shared" si="24"/>
        <v>0</v>
      </c>
    </row>
    <row r="64" spans="1:28" hidden="1" outlineLevel="1" x14ac:dyDescent="0.35">
      <c r="A64" s="45"/>
      <c r="B64" s="154">
        <v>21</v>
      </c>
      <c r="C64" s="155">
        <f>LogH21</f>
        <v>0</v>
      </c>
      <c r="D64" s="180">
        <f t="shared" si="1"/>
        <v>0</v>
      </c>
      <c r="E64" s="235">
        <f t="shared" si="2"/>
        <v>0</v>
      </c>
      <c r="F64" s="235">
        <f t="shared" si="3"/>
        <v>0</v>
      </c>
      <c r="G64" s="235">
        <f t="shared" si="4"/>
        <v>0</v>
      </c>
      <c r="H64" s="235">
        <f t="shared" si="5"/>
        <v>0</v>
      </c>
      <c r="I64" s="235">
        <f t="shared" si="5"/>
        <v>0</v>
      </c>
      <c r="J64" s="235">
        <f t="shared" si="6"/>
        <v>0</v>
      </c>
      <c r="K64" s="235">
        <f t="shared" si="7"/>
        <v>0</v>
      </c>
      <c r="L64" s="235">
        <f t="shared" si="8"/>
        <v>0</v>
      </c>
      <c r="M64" s="235">
        <f t="shared" si="9"/>
        <v>0</v>
      </c>
      <c r="N64" s="235">
        <f t="shared" si="10"/>
        <v>0</v>
      </c>
      <c r="O64" s="235">
        <f t="shared" si="11"/>
        <v>0</v>
      </c>
      <c r="P64" s="235">
        <f t="shared" si="12"/>
        <v>0</v>
      </c>
      <c r="Q64" s="235">
        <f t="shared" si="13"/>
        <v>0</v>
      </c>
      <c r="R64" s="235">
        <f t="shared" si="14"/>
        <v>0</v>
      </c>
      <c r="S64" s="235">
        <f t="shared" si="15"/>
        <v>0</v>
      </c>
      <c r="T64" s="235">
        <f t="shared" si="16"/>
        <v>0</v>
      </c>
      <c r="U64" s="235">
        <f t="shared" si="17"/>
        <v>0</v>
      </c>
      <c r="V64" s="235">
        <f t="shared" si="18"/>
        <v>0</v>
      </c>
      <c r="W64" s="235">
        <f t="shared" si="19"/>
        <v>0</v>
      </c>
      <c r="X64" s="235">
        <f t="shared" si="20"/>
        <v>0</v>
      </c>
      <c r="Y64" s="235">
        <f t="shared" si="21"/>
        <v>0</v>
      </c>
      <c r="Z64" s="235">
        <f t="shared" si="22"/>
        <v>0</v>
      </c>
      <c r="AA64" s="235">
        <f t="shared" si="23"/>
        <v>0</v>
      </c>
      <c r="AB64" s="236">
        <f t="shared" si="24"/>
        <v>0</v>
      </c>
    </row>
    <row r="65" spans="1:32" hidden="1" outlineLevel="1" x14ac:dyDescent="0.35">
      <c r="A65" s="45"/>
      <c r="B65" s="147">
        <v>22</v>
      </c>
      <c r="C65" s="148">
        <f>LogH22</f>
        <v>0</v>
      </c>
      <c r="D65" s="181">
        <f t="shared" si="1"/>
        <v>0</v>
      </c>
      <c r="E65" s="237">
        <f t="shared" si="2"/>
        <v>0</v>
      </c>
      <c r="F65" s="237">
        <f t="shared" si="3"/>
        <v>0</v>
      </c>
      <c r="G65" s="237">
        <f t="shared" si="4"/>
        <v>0</v>
      </c>
      <c r="H65" s="237">
        <f t="shared" si="5"/>
        <v>0</v>
      </c>
      <c r="I65" s="237">
        <f t="shared" si="5"/>
        <v>0</v>
      </c>
      <c r="J65" s="237">
        <f t="shared" si="6"/>
        <v>0</v>
      </c>
      <c r="K65" s="237">
        <f t="shared" si="7"/>
        <v>0</v>
      </c>
      <c r="L65" s="237">
        <f t="shared" si="8"/>
        <v>0</v>
      </c>
      <c r="M65" s="237">
        <f t="shared" si="9"/>
        <v>0</v>
      </c>
      <c r="N65" s="237">
        <f t="shared" si="10"/>
        <v>0</v>
      </c>
      <c r="O65" s="237">
        <f t="shared" si="11"/>
        <v>0</v>
      </c>
      <c r="P65" s="237">
        <f t="shared" si="12"/>
        <v>0</v>
      </c>
      <c r="Q65" s="237">
        <f t="shared" si="13"/>
        <v>0</v>
      </c>
      <c r="R65" s="237">
        <f t="shared" si="14"/>
        <v>0</v>
      </c>
      <c r="S65" s="237">
        <f t="shared" si="15"/>
        <v>0</v>
      </c>
      <c r="T65" s="237">
        <f t="shared" si="16"/>
        <v>0</v>
      </c>
      <c r="U65" s="237">
        <f t="shared" si="17"/>
        <v>0</v>
      </c>
      <c r="V65" s="237">
        <f t="shared" si="18"/>
        <v>0</v>
      </c>
      <c r="W65" s="237">
        <f t="shared" si="19"/>
        <v>0</v>
      </c>
      <c r="X65" s="237">
        <f t="shared" si="20"/>
        <v>0</v>
      </c>
      <c r="Y65" s="237">
        <f t="shared" si="21"/>
        <v>0</v>
      </c>
      <c r="Z65" s="237">
        <f t="shared" si="22"/>
        <v>0</v>
      </c>
      <c r="AA65" s="237">
        <f t="shared" si="23"/>
        <v>0</v>
      </c>
      <c r="AB65" s="238">
        <f t="shared" si="24"/>
        <v>0</v>
      </c>
    </row>
    <row r="66" spans="1:32" hidden="1" outlineLevel="1" x14ac:dyDescent="0.35">
      <c r="A66" s="45"/>
      <c r="B66" s="154">
        <v>23</v>
      </c>
      <c r="C66" s="155">
        <f>LogH23</f>
        <v>0</v>
      </c>
      <c r="D66" s="180">
        <f t="shared" si="1"/>
        <v>0</v>
      </c>
      <c r="E66" s="235">
        <f t="shared" si="2"/>
        <v>0</v>
      </c>
      <c r="F66" s="235">
        <f t="shared" si="3"/>
        <v>0</v>
      </c>
      <c r="G66" s="235">
        <f t="shared" si="4"/>
        <v>0</v>
      </c>
      <c r="H66" s="235">
        <f t="shared" si="5"/>
        <v>0</v>
      </c>
      <c r="I66" s="235">
        <f t="shared" si="5"/>
        <v>0</v>
      </c>
      <c r="J66" s="235">
        <f t="shared" si="6"/>
        <v>0</v>
      </c>
      <c r="K66" s="235">
        <f t="shared" si="7"/>
        <v>0</v>
      </c>
      <c r="L66" s="235">
        <f t="shared" si="8"/>
        <v>0</v>
      </c>
      <c r="M66" s="235">
        <f t="shared" si="9"/>
        <v>0</v>
      </c>
      <c r="N66" s="235">
        <f t="shared" si="10"/>
        <v>0</v>
      </c>
      <c r="O66" s="235">
        <f t="shared" si="11"/>
        <v>0</v>
      </c>
      <c r="P66" s="235">
        <f t="shared" si="12"/>
        <v>0</v>
      </c>
      <c r="Q66" s="235">
        <f t="shared" si="13"/>
        <v>0</v>
      </c>
      <c r="R66" s="235">
        <f t="shared" si="14"/>
        <v>0</v>
      </c>
      <c r="S66" s="235">
        <f t="shared" si="15"/>
        <v>0</v>
      </c>
      <c r="T66" s="235">
        <f t="shared" si="16"/>
        <v>0</v>
      </c>
      <c r="U66" s="235">
        <f t="shared" si="17"/>
        <v>0</v>
      </c>
      <c r="V66" s="235">
        <f t="shared" si="18"/>
        <v>0</v>
      </c>
      <c r="W66" s="235">
        <f t="shared" si="19"/>
        <v>0</v>
      </c>
      <c r="X66" s="235">
        <f t="shared" si="20"/>
        <v>0</v>
      </c>
      <c r="Y66" s="235">
        <f t="shared" si="21"/>
        <v>0</v>
      </c>
      <c r="Z66" s="235">
        <f t="shared" si="22"/>
        <v>0</v>
      </c>
      <c r="AA66" s="235">
        <f t="shared" si="23"/>
        <v>0</v>
      </c>
      <c r="AB66" s="236">
        <f t="shared" si="24"/>
        <v>0</v>
      </c>
    </row>
    <row r="67" spans="1:32" hidden="1" outlineLevel="1" x14ac:dyDescent="0.35">
      <c r="A67" s="45"/>
      <c r="B67" s="141">
        <v>24</v>
      </c>
      <c r="C67" s="140">
        <f>LogH24</f>
        <v>0</v>
      </c>
      <c r="D67" s="182">
        <f t="shared" si="1"/>
        <v>0</v>
      </c>
      <c r="E67" s="239">
        <f t="shared" si="2"/>
        <v>0</v>
      </c>
      <c r="F67" s="239">
        <f t="shared" si="3"/>
        <v>0</v>
      </c>
      <c r="G67" s="239">
        <f t="shared" si="4"/>
        <v>0</v>
      </c>
      <c r="H67" s="239">
        <f t="shared" si="5"/>
        <v>0</v>
      </c>
      <c r="I67" s="239">
        <f t="shared" si="5"/>
        <v>0</v>
      </c>
      <c r="J67" s="239">
        <f t="shared" si="6"/>
        <v>0</v>
      </c>
      <c r="K67" s="239">
        <f t="shared" si="7"/>
        <v>0</v>
      </c>
      <c r="L67" s="239">
        <f t="shared" si="8"/>
        <v>0</v>
      </c>
      <c r="M67" s="239">
        <f t="shared" si="9"/>
        <v>0</v>
      </c>
      <c r="N67" s="239">
        <f t="shared" si="10"/>
        <v>0</v>
      </c>
      <c r="O67" s="239">
        <f t="shared" si="11"/>
        <v>0</v>
      </c>
      <c r="P67" s="239">
        <f t="shared" si="12"/>
        <v>0</v>
      </c>
      <c r="Q67" s="239">
        <f t="shared" si="13"/>
        <v>0</v>
      </c>
      <c r="R67" s="239">
        <f t="shared" si="14"/>
        <v>0</v>
      </c>
      <c r="S67" s="239">
        <f t="shared" si="15"/>
        <v>0</v>
      </c>
      <c r="T67" s="239">
        <f t="shared" si="16"/>
        <v>0</v>
      </c>
      <c r="U67" s="239">
        <f t="shared" si="17"/>
        <v>0</v>
      </c>
      <c r="V67" s="239">
        <f t="shared" si="18"/>
        <v>0</v>
      </c>
      <c r="W67" s="239">
        <f t="shared" si="19"/>
        <v>0</v>
      </c>
      <c r="X67" s="239">
        <f t="shared" si="20"/>
        <v>0</v>
      </c>
      <c r="Y67" s="239">
        <f t="shared" si="21"/>
        <v>0</v>
      </c>
      <c r="Z67" s="239">
        <f t="shared" si="22"/>
        <v>0</v>
      </c>
      <c r="AA67" s="239">
        <f t="shared" si="23"/>
        <v>0</v>
      </c>
      <c r="AB67" s="240">
        <f t="shared" si="24"/>
        <v>0</v>
      </c>
    </row>
    <row r="68" spans="1:32" hidden="1" outlineLevel="1" x14ac:dyDescent="0.35">
      <c r="A68" s="45"/>
      <c r="B68" s="21"/>
      <c r="C68" s="183"/>
      <c r="D68" s="184"/>
      <c r="E68" s="51"/>
      <c r="F68" s="51"/>
      <c r="G68" s="51"/>
      <c r="H68" s="51"/>
      <c r="I68" s="51"/>
      <c r="J68" s="51"/>
      <c r="K68" s="51"/>
      <c r="L68" s="51"/>
      <c r="M68" s="51"/>
      <c r="N68" s="51"/>
      <c r="O68" s="51"/>
      <c r="P68" s="51"/>
      <c r="Q68" s="51"/>
      <c r="R68" s="51"/>
      <c r="S68" s="51"/>
      <c r="T68" s="51"/>
      <c r="U68" s="51"/>
      <c r="V68" s="51"/>
      <c r="W68" s="51"/>
      <c r="X68" s="51"/>
      <c r="Y68" s="51"/>
      <c r="Z68" s="51"/>
      <c r="AA68" s="51"/>
      <c r="AB68" s="50"/>
    </row>
    <row r="69" spans="1:32" hidden="1" outlineLevel="1" x14ac:dyDescent="0.35">
      <c r="A69" s="45"/>
      <c r="B69" s="142"/>
      <c r="C69" s="142"/>
      <c r="D69" s="143"/>
      <c r="E69" s="1186" t="s">
        <v>406</v>
      </c>
      <c r="F69" s="1187"/>
      <c r="G69" s="1187"/>
      <c r="H69" s="1187"/>
      <c r="I69" s="1187"/>
      <c r="J69" s="1187"/>
      <c r="K69" s="1187"/>
      <c r="L69" s="1187"/>
      <c r="M69" s="1187"/>
      <c r="N69" s="1187"/>
      <c r="O69" s="1187"/>
      <c r="P69" s="1187"/>
      <c r="Q69" s="1187"/>
      <c r="R69" s="1187"/>
      <c r="S69" s="1187"/>
      <c r="T69" s="1187"/>
      <c r="U69" s="1187"/>
      <c r="V69" s="1187"/>
      <c r="W69" s="1187"/>
      <c r="X69" s="1187"/>
      <c r="Y69" s="1187"/>
      <c r="Z69" s="1187"/>
      <c r="AA69" s="1187"/>
      <c r="AB69" s="1188"/>
    </row>
    <row r="70" spans="1:32" hidden="1" outlineLevel="1" x14ac:dyDescent="0.35">
      <c r="A70" s="45"/>
      <c r="B70" s="142"/>
      <c r="C70" s="142"/>
      <c r="D70" s="142"/>
      <c r="E70" s="1186" t="s">
        <v>91</v>
      </c>
      <c r="F70" s="1187"/>
      <c r="G70" s="1187"/>
      <c r="H70" s="1187"/>
      <c r="I70" s="1187"/>
      <c r="J70" s="1187"/>
      <c r="K70" s="1187"/>
      <c r="L70" s="1187"/>
      <c r="M70" s="1187"/>
      <c r="N70" s="1187"/>
      <c r="O70" s="1187"/>
      <c r="P70" s="1187"/>
      <c r="Q70" s="1187"/>
      <c r="R70" s="1187"/>
      <c r="S70" s="1187"/>
      <c r="T70" s="1187"/>
      <c r="U70" s="1187"/>
      <c r="V70" s="1187"/>
      <c r="W70" s="1187"/>
      <c r="X70" s="1187"/>
      <c r="Y70" s="1187"/>
      <c r="Z70" s="1187"/>
      <c r="AA70" s="1187"/>
      <c r="AB70" s="1188"/>
    </row>
    <row r="71" spans="1:32" ht="15" hidden="1" outlineLevel="1" thickBot="1" x14ac:dyDescent="0.4">
      <c r="A71" s="45"/>
      <c r="B71" s="144"/>
      <c r="C71" s="144"/>
      <c r="D71" s="145"/>
      <c r="E71" s="265">
        <f t="shared" ref="E71:AB71" si="25">E19</f>
        <v>1</v>
      </c>
      <c r="F71" s="265">
        <f t="shared" si="25"/>
        <v>2</v>
      </c>
      <c r="G71" s="265">
        <f t="shared" si="25"/>
        <v>3</v>
      </c>
      <c r="H71" s="265">
        <f t="shared" si="25"/>
        <v>4</v>
      </c>
      <c r="I71" s="265">
        <f t="shared" si="25"/>
        <v>5</v>
      </c>
      <c r="J71" s="265">
        <f t="shared" si="25"/>
        <v>6</v>
      </c>
      <c r="K71" s="265">
        <f t="shared" si="25"/>
        <v>7</v>
      </c>
      <c r="L71" s="265">
        <f t="shared" si="25"/>
        <v>8</v>
      </c>
      <c r="M71" s="265">
        <f t="shared" si="25"/>
        <v>9</v>
      </c>
      <c r="N71" s="265">
        <f t="shared" si="25"/>
        <v>10</v>
      </c>
      <c r="O71" s="265">
        <f t="shared" si="25"/>
        <v>11</v>
      </c>
      <c r="P71" s="265">
        <f t="shared" si="25"/>
        <v>12</v>
      </c>
      <c r="Q71" s="265">
        <f t="shared" si="25"/>
        <v>13</v>
      </c>
      <c r="R71" s="265">
        <f t="shared" si="25"/>
        <v>14</v>
      </c>
      <c r="S71" s="265">
        <f t="shared" si="25"/>
        <v>15</v>
      </c>
      <c r="T71" s="265">
        <f t="shared" si="25"/>
        <v>16</v>
      </c>
      <c r="U71" s="265">
        <f t="shared" si="25"/>
        <v>17</v>
      </c>
      <c r="V71" s="265">
        <f t="shared" si="25"/>
        <v>18</v>
      </c>
      <c r="W71" s="265">
        <f t="shared" si="25"/>
        <v>19</v>
      </c>
      <c r="X71" s="265">
        <f t="shared" si="25"/>
        <v>20</v>
      </c>
      <c r="Y71" s="265">
        <f t="shared" si="25"/>
        <v>21</v>
      </c>
      <c r="Z71" s="265">
        <f t="shared" si="25"/>
        <v>22</v>
      </c>
      <c r="AA71" s="265">
        <f t="shared" si="25"/>
        <v>23</v>
      </c>
      <c r="AB71" s="266">
        <f t="shared" si="25"/>
        <v>24</v>
      </c>
    </row>
    <row r="72" spans="1:32" ht="15" hidden="1" outlineLevel="1" thickTop="1" x14ac:dyDescent="0.35">
      <c r="A72" s="45"/>
      <c r="B72" s="1093" t="s">
        <v>407</v>
      </c>
      <c r="C72" s="1093"/>
      <c r="D72" s="1093"/>
      <c r="E72" s="241">
        <f t="shared" ref="E72:AB72" si="26">MAX(E$44:E$67)</f>
        <v>0</v>
      </c>
      <c r="F72" s="242">
        <f t="shared" si="26"/>
        <v>0</v>
      </c>
      <c r="G72" s="243">
        <f t="shared" si="26"/>
        <v>0</v>
      </c>
      <c r="H72" s="243">
        <f t="shared" si="26"/>
        <v>0</v>
      </c>
      <c r="I72" s="241">
        <f t="shared" si="26"/>
        <v>0</v>
      </c>
      <c r="J72" s="243">
        <f t="shared" si="26"/>
        <v>0</v>
      </c>
      <c r="K72" s="241">
        <f t="shared" si="26"/>
        <v>0</v>
      </c>
      <c r="L72" s="242">
        <f t="shared" si="26"/>
        <v>0</v>
      </c>
      <c r="M72" s="243">
        <f t="shared" si="26"/>
        <v>0</v>
      </c>
      <c r="N72" s="243">
        <f t="shared" si="26"/>
        <v>0</v>
      </c>
      <c r="O72" s="241">
        <f t="shared" si="26"/>
        <v>0</v>
      </c>
      <c r="P72" s="243">
        <f t="shared" si="26"/>
        <v>0</v>
      </c>
      <c r="Q72" s="241">
        <f t="shared" si="26"/>
        <v>0</v>
      </c>
      <c r="R72" s="242">
        <f t="shared" si="26"/>
        <v>0</v>
      </c>
      <c r="S72" s="242">
        <f t="shared" si="26"/>
        <v>0</v>
      </c>
      <c r="T72" s="242">
        <f t="shared" si="26"/>
        <v>0</v>
      </c>
      <c r="U72" s="242">
        <f t="shared" si="26"/>
        <v>0</v>
      </c>
      <c r="V72" s="242">
        <f t="shared" si="26"/>
        <v>0</v>
      </c>
      <c r="W72" s="242">
        <f t="shared" si="26"/>
        <v>0</v>
      </c>
      <c r="X72" s="242">
        <f t="shared" si="26"/>
        <v>0</v>
      </c>
      <c r="Y72" s="242">
        <f t="shared" si="26"/>
        <v>0</v>
      </c>
      <c r="Z72" s="242">
        <f t="shared" si="26"/>
        <v>0</v>
      </c>
      <c r="AA72" s="242">
        <f t="shared" si="26"/>
        <v>0</v>
      </c>
      <c r="AB72" s="244">
        <f t="shared" si="26"/>
        <v>0</v>
      </c>
    </row>
    <row r="73" spans="1:32" hidden="1" outlineLevel="1" x14ac:dyDescent="0.35">
      <c r="A73" s="45"/>
      <c r="B73" s="35"/>
      <c r="C73" s="35"/>
      <c r="D73" s="35"/>
      <c r="E73" s="52"/>
      <c r="F73" s="52"/>
      <c r="G73" s="52"/>
      <c r="H73" s="52"/>
      <c r="I73" s="52"/>
      <c r="J73" s="52"/>
      <c r="K73" s="52"/>
      <c r="L73" s="52"/>
      <c r="M73" s="52"/>
      <c r="N73" s="52"/>
      <c r="O73" s="52"/>
      <c r="P73" s="52"/>
      <c r="Q73" s="52"/>
      <c r="R73" s="52"/>
      <c r="S73" s="52"/>
      <c r="T73" s="52"/>
      <c r="U73" s="52"/>
      <c r="V73" s="52"/>
      <c r="W73" s="52"/>
      <c r="X73" s="52"/>
      <c r="Y73" s="52"/>
      <c r="Z73" s="52"/>
      <c r="AA73" s="52"/>
      <c r="AB73" s="53"/>
    </row>
    <row r="74" spans="1:32" ht="15" hidden="1" outlineLevel="1" thickBot="1" x14ac:dyDescent="0.4">
      <c r="A74" s="45"/>
      <c r="B74" s="1139" t="s">
        <v>174</v>
      </c>
      <c r="C74" s="1139"/>
      <c r="D74" s="267" t="s">
        <v>173</v>
      </c>
      <c r="E74" s="1149" t="s">
        <v>172</v>
      </c>
      <c r="F74" s="1150"/>
      <c r="G74" s="1150"/>
      <c r="H74" s="1156" t="s">
        <v>152</v>
      </c>
      <c r="I74" s="1139"/>
      <c r="J74" s="1139"/>
      <c r="K74" s="1139"/>
      <c r="L74" s="1139"/>
      <c r="M74" s="1156" t="s">
        <v>151</v>
      </c>
      <c r="N74" s="1139"/>
      <c r="O74" s="1139"/>
      <c r="P74" s="1139"/>
      <c r="Q74" s="52"/>
      <c r="R74" s="52"/>
      <c r="S74" s="52"/>
      <c r="T74" s="52"/>
      <c r="U74" s="52"/>
      <c r="V74" s="52"/>
      <c r="W74" s="52"/>
      <c r="X74" s="52"/>
      <c r="Y74" s="52"/>
      <c r="Z74" s="52"/>
      <c r="AA74" s="52"/>
      <c r="AB74" s="53"/>
    </row>
    <row r="75" spans="1:32" ht="15" hidden="1" outlineLevel="1" thickTop="1" x14ac:dyDescent="0.35">
      <c r="A75" s="45"/>
      <c r="B75" s="1140">
        <f t="shared" ref="B75:B102" si="27">MIN(IF(D75="Default Value",H75,D75/(NetLinkLatency/1000)*8),H75)/1000000</f>
        <v>9.9999999999999995E-7</v>
      </c>
      <c r="C75" s="1141"/>
      <c r="D75" s="146" t="str">
        <f t="shared" ref="D75:D102" si="28">VLOOKUP(E75,tblTCPWindowSize,2,TRUE)</f>
        <v>Default Value</v>
      </c>
      <c r="E75" s="1151">
        <f t="shared" ref="E75:E102" si="29">H75*(NetLinkLatency/1000)</f>
        <v>0.05</v>
      </c>
      <c r="F75" s="1152"/>
      <c r="G75" s="1153"/>
      <c r="H75" s="1154">
        <v>1</v>
      </c>
      <c r="I75" s="1154">
        <v>1</v>
      </c>
      <c r="J75" s="1154">
        <v>1</v>
      </c>
      <c r="K75" s="1154">
        <v>1</v>
      </c>
      <c r="L75" s="1155">
        <v>1</v>
      </c>
      <c r="M75" s="1242" t="s">
        <v>142</v>
      </c>
      <c r="N75" s="1242" t="s">
        <v>142</v>
      </c>
      <c r="O75" s="1242" t="s">
        <v>142</v>
      </c>
      <c r="P75" s="1242" t="s">
        <v>142</v>
      </c>
      <c r="Q75" s="52"/>
      <c r="R75" s="52"/>
      <c r="S75" s="52"/>
      <c r="T75" s="52"/>
      <c r="U75" s="52"/>
      <c r="V75" s="52"/>
      <c r="W75" s="52"/>
      <c r="X75" s="52"/>
      <c r="Y75" s="52"/>
      <c r="Z75" s="52"/>
      <c r="AA75" s="52"/>
      <c r="AB75" s="53"/>
    </row>
    <row r="76" spans="1:32" hidden="1" outlineLevel="1" x14ac:dyDescent="0.35">
      <c r="A76" s="45"/>
      <c r="B76" s="1137">
        <f t="shared" si="27"/>
        <v>6.4000000000000001E-2</v>
      </c>
      <c r="C76" s="1138"/>
      <c r="D76" s="158" t="str">
        <f t="shared" si="28"/>
        <v>Default Value</v>
      </c>
      <c r="E76" s="1146">
        <f t="shared" si="29"/>
        <v>3200</v>
      </c>
      <c r="F76" s="1147"/>
      <c r="G76" s="1148"/>
      <c r="H76" s="1142">
        <v>64000</v>
      </c>
      <c r="I76" s="1142">
        <v>64000</v>
      </c>
      <c r="J76" s="1142">
        <v>64000</v>
      </c>
      <c r="K76" s="1142">
        <v>64000</v>
      </c>
      <c r="L76" s="1142">
        <v>64000</v>
      </c>
      <c r="M76" s="1183" t="s">
        <v>142</v>
      </c>
      <c r="N76" s="1184" t="s">
        <v>142</v>
      </c>
      <c r="O76" s="1184" t="s">
        <v>142</v>
      </c>
      <c r="P76" s="1185" t="s">
        <v>142</v>
      </c>
      <c r="Q76" s="52"/>
      <c r="R76" s="52"/>
      <c r="S76" s="52"/>
      <c r="T76" s="52"/>
      <c r="U76" s="52"/>
      <c r="V76" s="52"/>
      <c r="W76" s="52"/>
      <c r="X76" s="52"/>
      <c r="Y76" s="52"/>
      <c r="Z76" s="52"/>
      <c r="AA76" s="52"/>
      <c r="AB76" s="53"/>
    </row>
    <row r="77" spans="1:32" hidden="1" outlineLevel="1" x14ac:dyDescent="0.35">
      <c r="A77" s="45"/>
      <c r="B77" s="1163">
        <f t="shared" si="27"/>
        <v>6.4001000000000002E-2</v>
      </c>
      <c r="C77" s="1164"/>
      <c r="D77" s="146" t="str">
        <f t="shared" si="28"/>
        <v>Default Value</v>
      </c>
      <c r="E77" s="1134">
        <f t="shared" si="29"/>
        <v>3200.05</v>
      </c>
      <c r="F77" s="1135"/>
      <c r="G77" s="1136"/>
      <c r="H77" s="1143">
        <v>64001</v>
      </c>
      <c r="I77" s="1144"/>
      <c r="J77" s="1144"/>
      <c r="K77" s="1144"/>
      <c r="L77" s="1145"/>
      <c r="M77" s="1143" t="s">
        <v>143</v>
      </c>
      <c r="N77" s="1144"/>
      <c r="O77" s="1144"/>
      <c r="P77" s="1144"/>
      <c r="Q77" s="52"/>
      <c r="R77" s="52"/>
      <c r="S77" s="52"/>
      <c r="T77" s="52"/>
      <c r="U77" s="52"/>
      <c r="V77" s="52"/>
      <c r="W77" s="52"/>
      <c r="X77" s="52"/>
      <c r="Y77" s="52"/>
      <c r="Z77" s="52"/>
      <c r="AA77" s="52"/>
      <c r="AB77" s="53"/>
    </row>
    <row r="78" spans="1:32" hidden="1" outlineLevel="1" x14ac:dyDescent="0.35">
      <c r="A78" s="45"/>
      <c r="B78" s="1137">
        <f t="shared" si="27"/>
        <v>0.128</v>
      </c>
      <c r="C78" s="1138"/>
      <c r="D78" s="158" t="str">
        <f t="shared" si="28"/>
        <v>Default Value</v>
      </c>
      <c r="E78" s="1146">
        <f t="shared" si="29"/>
        <v>6400</v>
      </c>
      <c r="F78" s="1147"/>
      <c r="G78" s="1148"/>
      <c r="H78" s="1142">
        <v>128000</v>
      </c>
      <c r="I78" s="1142"/>
      <c r="J78" s="1142"/>
      <c r="K78" s="1142"/>
      <c r="L78" s="1142"/>
      <c r="M78" s="1183" t="s">
        <v>143</v>
      </c>
      <c r="N78" s="1184"/>
      <c r="O78" s="1184"/>
      <c r="P78" s="1185"/>
      <c r="Q78" s="52"/>
      <c r="R78" s="52"/>
      <c r="S78" s="52"/>
      <c r="T78" s="52"/>
      <c r="U78" s="52"/>
      <c r="V78" s="52"/>
      <c r="W78" s="52"/>
      <c r="X78" s="52"/>
      <c r="Y78" s="52"/>
      <c r="Z78" s="52"/>
      <c r="AA78" s="52"/>
      <c r="AB78" s="53"/>
    </row>
    <row r="79" spans="1:32" hidden="1" outlineLevel="1" x14ac:dyDescent="0.35">
      <c r="A79" s="45"/>
      <c r="B79" s="1163">
        <f t="shared" si="27"/>
        <v>0.128001</v>
      </c>
      <c r="C79" s="1164"/>
      <c r="D79" s="146" t="str">
        <f t="shared" si="28"/>
        <v>Default Value</v>
      </c>
      <c r="E79" s="1134">
        <f t="shared" si="29"/>
        <v>6400.05</v>
      </c>
      <c r="F79" s="1135"/>
      <c r="G79" s="1136"/>
      <c r="H79" s="1143">
        <v>128001</v>
      </c>
      <c r="I79" s="1144">
        <v>128001</v>
      </c>
      <c r="J79" s="1144">
        <v>128001</v>
      </c>
      <c r="K79" s="1144">
        <v>128001</v>
      </c>
      <c r="L79" s="1145">
        <v>128001</v>
      </c>
      <c r="M79" s="1143" t="s">
        <v>144</v>
      </c>
      <c r="N79" s="1144" t="s">
        <v>144</v>
      </c>
      <c r="O79" s="1144" t="s">
        <v>144</v>
      </c>
      <c r="P79" s="1144" t="s">
        <v>144</v>
      </c>
      <c r="Q79" s="52"/>
      <c r="R79" s="52"/>
      <c r="S79" s="52"/>
      <c r="T79" s="52"/>
      <c r="U79" s="52"/>
      <c r="V79" s="52"/>
      <c r="W79" s="52"/>
      <c r="X79" s="52"/>
      <c r="Y79" s="52"/>
      <c r="Z79" s="52"/>
      <c r="AA79" s="52"/>
      <c r="AB79" s="53"/>
    </row>
    <row r="80" spans="1:32" hidden="1" outlineLevel="1" x14ac:dyDescent="0.35">
      <c r="A80" s="45"/>
      <c r="B80" s="1137">
        <f t="shared" si="27"/>
        <v>0.192</v>
      </c>
      <c r="C80" s="1138"/>
      <c r="D80" s="158" t="str">
        <f t="shared" si="28"/>
        <v>Default Value</v>
      </c>
      <c r="E80" s="1146">
        <f t="shared" si="29"/>
        <v>9600</v>
      </c>
      <c r="F80" s="1147"/>
      <c r="G80" s="1148"/>
      <c r="H80" s="1142">
        <v>192000</v>
      </c>
      <c r="I80" s="1142">
        <v>192000</v>
      </c>
      <c r="J80" s="1142">
        <v>192000</v>
      </c>
      <c r="K80" s="1142">
        <v>192000</v>
      </c>
      <c r="L80" s="1142">
        <v>192000</v>
      </c>
      <c r="M80" s="1183" t="s">
        <v>144</v>
      </c>
      <c r="N80" s="1184" t="s">
        <v>144</v>
      </c>
      <c r="O80" s="1184" t="s">
        <v>144</v>
      </c>
      <c r="P80" s="1185" t="s">
        <v>144</v>
      </c>
      <c r="Q80" s="52"/>
      <c r="R80" s="52"/>
      <c r="S80" s="52"/>
      <c r="T80" s="52"/>
      <c r="U80" s="52"/>
      <c r="V80" s="52"/>
      <c r="W80" s="52"/>
      <c r="X80" s="52"/>
      <c r="Y80" s="52"/>
      <c r="Z80" s="52"/>
      <c r="AA80" s="52"/>
      <c r="AB80" s="53"/>
      <c r="AF80" s="253"/>
    </row>
    <row r="81" spans="1:32" hidden="1" outlineLevel="1" x14ac:dyDescent="0.35">
      <c r="A81" s="45"/>
      <c r="B81" s="1163">
        <f t="shared" si="27"/>
        <v>0.192001</v>
      </c>
      <c r="C81" s="1164"/>
      <c r="D81" s="146" t="str">
        <f t="shared" si="28"/>
        <v>Default Value</v>
      </c>
      <c r="E81" s="1134">
        <f t="shared" si="29"/>
        <v>9600.0500000000011</v>
      </c>
      <c r="F81" s="1135"/>
      <c r="G81" s="1136"/>
      <c r="H81" s="1143">
        <v>192001</v>
      </c>
      <c r="I81" s="1144">
        <v>192001</v>
      </c>
      <c r="J81" s="1144">
        <v>192001</v>
      </c>
      <c r="K81" s="1144">
        <v>192001</v>
      </c>
      <c r="L81" s="1145">
        <v>192001</v>
      </c>
      <c r="M81" s="1143" t="s">
        <v>145</v>
      </c>
      <c r="N81" s="1144" t="s">
        <v>145</v>
      </c>
      <c r="O81" s="1144" t="s">
        <v>145</v>
      </c>
      <c r="P81" s="1144" t="s">
        <v>145</v>
      </c>
      <c r="Q81" s="52"/>
      <c r="R81" s="52"/>
      <c r="S81" s="52"/>
      <c r="T81" s="21"/>
      <c r="U81" s="52"/>
      <c r="V81" s="52"/>
      <c r="W81" s="52"/>
      <c r="X81" s="52"/>
      <c r="Y81" s="52"/>
      <c r="Z81" s="52"/>
      <c r="AA81" s="52"/>
      <c r="AB81" s="53"/>
    </row>
    <row r="82" spans="1:32" hidden="1" outlineLevel="1" x14ac:dyDescent="0.35">
      <c r="A82" s="45"/>
      <c r="B82" s="1137">
        <f t="shared" si="27"/>
        <v>0.25600000000000001</v>
      </c>
      <c r="C82" s="1138"/>
      <c r="D82" s="158" t="str">
        <f t="shared" si="28"/>
        <v>Default Value</v>
      </c>
      <c r="E82" s="1146">
        <f t="shared" si="29"/>
        <v>12800</v>
      </c>
      <c r="F82" s="1147"/>
      <c r="G82" s="1148"/>
      <c r="H82" s="1142">
        <v>256000</v>
      </c>
      <c r="I82" s="1142">
        <v>256000</v>
      </c>
      <c r="J82" s="1142">
        <v>256000</v>
      </c>
      <c r="K82" s="1142">
        <v>256000</v>
      </c>
      <c r="L82" s="1142">
        <v>256000</v>
      </c>
      <c r="M82" s="1183" t="s">
        <v>145</v>
      </c>
      <c r="N82" s="1184" t="s">
        <v>145</v>
      </c>
      <c r="O82" s="1184" t="s">
        <v>145</v>
      </c>
      <c r="P82" s="1185" t="s">
        <v>145</v>
      </c>
      <c r="Q82" s="52"/>
      <c r="R82" s="52"/>
      <c r="S82" s="52"/>
      <c r="T82" s="21"/>
      <c r="U82" s="52"/>
      <c r="V82" s="52"/>
      <c r="W82" s="52"/>
      <c r="X82" s="52"/>
      <c r="Y82" s="52"/>
      <c r="Z82" s="52"/>
      <c r="AA82" s="52"/>
      <c r="AB82" s="53"/>
      <c r="AF82" s="253"/>
    </row>
    <row r="83" spans="1:32" hidden="1" outlineLevel="1" x14ac:dyDescent="0.35">
      <c r="A83" s="45"/>
      <c r="B83" s="1163">
        <f t="shared" si="27"/>
        <v>0.25600099999999998</v>
      </c>
      <c r="C83" s="1164"/>
      <c r="D83" s="146" t="str">
        <f t="shared" si="28"/>
        <v>Default Value</v>
      </c>
      <c r="E83" s="1134">
        <f t="shared" si="29"/>
        <v>12800.050000000001</v>
      </c>
      <c r="F83" s="1135"/>
      <c r="G83" s="1136"/>
      <c r="H83" s="1143">
        <v>256001</v>
      </c>
      <c r="I83" s="1144">
        <v>256001</v>
      </c>
      <c r="J83" s="1144">
        <v>256001</v>
      </c>
      <c r="K83" s="1144">
        <v>256001</v>
      </c>
      <c r="L83" s="1145">
        <v>256001</v>
      </c>
      <c r="M83" s="1143" t="s">
        <v>146</v>
      </c>
      <c r="N83" s="1144" t="s">
        <v>146</v>
      </c>
      <c r="O83" s="1144" t="s">
        <v>146</v>
      </c>
      <c r="P83" s="1144" t="s">
        <v>146</v>
      </c>
      <c r="Q83" s="52"/>
      <c r="R83" s="52"/>
      <c r="S83" s="52"/>
      <c r="T83" s="21"/>
      <c r="U83" s="52"/>
      <c r="V83" s="52"/>
      <c r="W83" s="52"/>
      <c r="X83" s="52"/>
      <c r="Y83" s="52"/>
      <c r="Z83" s="52"/>
      <c r="AA83" s="52"/>
      <c r="AB83" s="53"/>
    </row>
    <row r="84" spans="1:32" hidden="1" outlineLevel="1" x14ac:dyDescent="0.35">
      <c r="A84" s="45"/>
      <c r="B84" s="1137">
        <f t="shared" si="27"/>
        <v>0.38400000000000001</v>
      </c>
      <c r="C84" s="1138"/>
      <c r="D84" s="158" t="str">
        <f t="shared" si="28"/>
        <v>Default Value</v>
      </c>
      <c r="E84" s="1146">
        <f t="shared" si="29"/>
        <v>19200</v>
      </c>
      <c r="F84" s="1147"/>
      <c r="G84" s="1148"/>
      <c r="H84" s="1142">
        <v>384000</v>
      </c>
      <c r="I84" s="1142">
        <v>384000</v>
      </c>
      <c r="J84" s="1142">
        <v>384000</v>
      </c>
      <c r="K84" s="1142">
        <v>384000</v>
      </c>
      <c r="L84" s="1142">
        <v>384000</v>
      </c>
      <c r="M84" s="1183" t="s">
        <v>146</v>
      </c>
      <c r="N84" s="1184" t="s">
        <v>146</v>
      </c>
      <c r="O84" s="1184" t="s">
        <v>146</v>
      </c>
      <c r="P84" s="1185" t="s">
        <v>146</v>
      </c>
      <c r="Q84" s="52"/>
      <c r="R84" s="52"/>
      <c r="S84" s="52"/>
      <c r="T84" s="21"/>
      <c r="U84" s="52"/>
      <c r="V84" s="52"/>
      <c r="W84" s="52"/>
      <c r="X84" s="52"/>
      <c r="Y84" s="52"/>
      <c r="Z84" s="52"/>
      <c r="AA84" s="52"/>
      <c r="AB84" s="53"/>
    </row>
    <row r="85" spans="1:32" hidden="1" outlineLevel="1" x14ac:dyDescent="0.35">
      <c r="A85" s="45"/>
      <c r="B85" s="1163">
        <f t="shared" si="27"/>
        <v>0.38400099999999998</v>
      </c>
      <c r="C85" s="1164"/>
      <c r="D85" s="146" t="str">
        <f t="shared" si="28"/>
        <v>Default Value</v>
      </c>
      <c r="E85" s="1134">
        <f t="shared" si="29"/>
        <v>19200.05</v>
      </c>
      <c r="F85" s="1135"/>
      <c r="G85" s="1136"/>
      <c r="H85" s="1143">
        <v>384001</v>
      </c>
      <c r="I85" s="1144">
        <v>384001</v>
      </c>
      <c r="J85" s="1144">
        <v>384001</v>
      </c>
      <c r="K85" s="1144">
        <v>384001</v>
      </c>
      <c r="L85" s="1145">
        <v>384001</v>
      </c>
      <c r="M85" s="1143" t="s">
        <v>169</v>
      </c>
      <c r="N85" s="1144" t="s">
        <v>169</v>
      </c>
      <c r="O85" s="1144" t="s">
        <v>169</v>
      </c>
      <c r="P85" s="1144" t="s">
        <v>169</v>
      </c>
      <c r="Q85" s="52"/>
      <c r="R85" s="52"/>
      <c r="S85" s="52"/>
      <c r="T85" s="21"/>
      <c r="U85" s="52"/>
      <c r="V85" s="52"/>
      <c r="W85" s="52"/>
      <c r="X85" s="52"/>
      <c r="Y85" s="52"/>
      <c r="Z85" s="52"/>
      <c r="AA85" s="52"/>
      <c r="AB85" s="53"/>
    </row>
    <row r="86" spans="1:32" hidden="1" outlineLevel="1" x14ac:dyDescent="0.35">
      <c r="A86" s="45"/>
      <c r="B86" s="1137">
        <f t="shared" si="27"/>
        <v>0.76800000000000002</v>
      </c>
      <c r="C86" s="1138"/>
      <c r="D86" s="158" t="str">
        <f t="shared" si="28"/>
        <v>Default Value</v>
      </c>
      <c r="E86" s="1146">
        <f t="shared" si="29"/>
        <v>38400</v>
      </c>
      <c r="F86" s="1147"/>
      <c r="G86" s="1148"/>
      <c r="H86" s="1142">
        <v>768000</v>
      </c>
      <c r="I86" s="1142">
        <v>768000</v>
      </c>
      <c r="J86" s="1142">
        <v>768000</v>
      </c>
      <c r="K86" s="1142">
        <v>768000</v>
      </c>
      <c r="L86" s="1142">
        <v>768000</v>
      </c>
      <c r="M86" s="1183" t="s">
        <v>169</v>
      </c>
      <c r="N86" s="1184" t="s">
        <v>169</v>
      </c>
      <c r="O86" s="1184" t="s">
        <v>169</v>
      </c>
      <c r="P86" s="1185" t="s">
        <v>169</v>
      </c>
      <c r="Q86" s="52"/>
      <c r="R86" s="52"/>
      <c r="S86" s="52"/>
      <c r="T86" s="21"/>
      <c r="U86" s="52"/>
      <c r="V86" s="52"/>
      <c r="W86" s="52"/>
      <c r="X86" s="52"/>
      <c r="Y86" s="52"/>
      <c r="Z86" s="52"/>
      <c r="AA86" s="52"/>
      <c r="AB86" s="53"/>
    </row>
    <row r="87" spans="1:32" hidden="1" outlineLevel="1" x14ac:dyDescent="0.35">
      <c r="A87" s="45"/>
      <c r="B87" s="1163">
        <f t="shared" si="27"/>
        <v>0.76800100000000004</v>
      </c>
      <c r="C87" s="1164"/>
      <c r="D87" s="146" t="str">
        <f t="shared" si="28"/>
        <v>Default Value</v>
      </c>
      <c r="E87" s="1134">
        <f t="shared" si="29"/>
        <v>38400.050000000003</v>
      </c>
      <c r="F87" s="1135"/>
      <c r="G87" s="1136"/>
      <c r="H87" s="1143">
        <v>768001</v>
      </c>
      <c r="I87" s="1144">
        <v>768001</v>
      </c>
      <c r="J87" s="1144">
        <v>768001</v>
      </c>
      <c r="K87" s="1144">
        <v>768001</v>
      </c>
      <c r="L87" s="1145">
        <v>768001</v>
      </c>
      <c r="M87" s="1143" t="s">
        <v>177</v>
      </c>
      <c r="N87" s="1144"/>
      <c r="O87" s="1144"/>
      <c r="P87" s="1144"/>
      <c r="Q87" s="52"/>
      <c r="R87" s="52"/>
      <c r="S87" s="52"/>
      <c r="T87" s="21"/>
      <c r="U87" s="52"/>
      <c r="V87" s="52"/>
      <c r="W87" s="52"/>
      <c r="X87" s="52"/>
      <c r="Y87" s="52"/>
      <c r="Z87" s="52"/>
      <c r="AA87" s="52"/>
      <c r="AB87" s="53"/>
    </row>
    <row r="88" spans="1:32" hidden="1" outlineLevel="1" x14ac:dyDescent="0.35">
      <c r="A88" s="45"/>
      <c r="B88" s="1137">
        <f t="shared" si="27"/>
        <v>1.544</v>
      </c>
      <c r="C88" s="1138"/>
      <c r="D88" s="158">
        <f t="shared" si="28"/>
        <v>131070</v>
      </c>
      <c r="E88" s="1146">
        <f t="shared" si="29"/>
        <v>77200</v>
      </c>
      <c r="F88" s="1147"/>
      <c r="G88" s="1148"/>
      <c r="H88" s="1142">
        <v>1544000</v>
      </c>
      <c r="I88" s="1142">
        <v>1544000</v>
      </c>
      <c r="J88" s="1142">
        <v>1544000</v>
      </c>
      <c r="K88" s="1142">
        <v>1544000</v>
      </c>
      <c r="L88" s="1142">
        <v>1544000</v>
      </c>
      <c r="M88" s="1183" t="s">
        <v>177</v>
      </c>
      <c r="N88" s="1184"/>
      <c r="O88" s="1184"/>
      <c r="P88" s="1185"/>
      <c r="Q88" s="52"/>
      <c r="R88" s="52"/>
      <c r="S88" s="52"/>
      <c r="T88" s="21"/>
      <c r="U88" s="52"/>
      <c r="V88" s="52"/>
      <c r="W88" s="52"/>
      <c r="X88" s="52"/>
      <c r="Y88" s="52"/>
      <c r="Z88" s="52"/>
      <c r="AA88" s="52"/>
      <c r="AB88" s="53"/>
    </row>
    <row r="89" spans="1:32" hidden="1" outlineLevel="1" x14ac:dyDescent="0.35">
      <c r="A89" s="45"/>
      <c r="B89" s="1163">
        <f t="shared" si="27"/>
        <v>1.544001</v>
      </c>
      <c r="C89" s="1164"/>
      <c r="D89" s="146">
        <f t="shared" si="28"/>
        <v>131070</v>
      </c>
      <c r="E89" s="1134">
        <f t="shared" si="29"/>
        <v>77200.05</v>
      </c>
      <c r="F89" s="1135"/>
      <c r="G89" s="1136"/>
      <c r="H89" s="1143">
        <v>1544001</v>
      </c>
      <c r="I89" s="1144">
        <v>1544001</v>
      </c>
      <c r="J89" s="1144">
        <v>1544001</v>
      </c>
      <c r="K89" s="1144">
        <v>1544001</v>
      </c>
      <c r="L89" s="1145">
        <v>1544001</v>
      </c>
      <c r="M89" s="1143" t="s">
        <v>189</v>
      </c>
      <c r="N89" s="1144" t="s">
        <v>166</v>
      </c>
      <c r="O89" s="1144" t="s">
        <v>166</v>
      </c>
      <c r="P89" s="1144" t="s">
        <v>166</v>
      </c>
      <c r="Q89" s="52"/>
      <c r="R89" s="52"/>
      <c r="S89" s="52"/>
      <c r="T89" s="21"/>
      <c r="U89" s="52"/>
      <c r="V89" s="52"/>
      <c r="W89" s="52"/>
      <c r="X89" s="52"/>
      <c r="Y89" s="52"/>
      <c r="Z89" s="52"/>
      <c r="AA89" s="52"/>
      <c r="AB89" s="53"/>
    </row>
    <row r="90" spans="1:32" hidden="1" outlineLevel="1" x14ac:dyDescent="0.35">
      <c r="A90" s="45"/>
      <c r="B90" s="1137">
        <f t="shared" si="27"/>
        <v>2.048</v>
      </c>
      <c r="C90" s="1138"/>
      <c r="D90" s="158">
        <f t="shared" si="28"/>
        <v>131070</v>
      </c>
      <c r="E90" s="1146">
        <f t="shared" si="29"/>
        <v>102400</v>
      </c>
      <c r="F90" s="1147"/>
      <c r="G90" s="1148"/>
      <c r="H90" s="1142">
        <v>2048000</v>
      </c>
      <c r="I90" s="1142">
        <v>2048000</v>
      </c>
      <c r="J90" s="1142">
        <v>2048000</v>
      </c>
      <c r="K90" s="1142">
        <v>2048000</v>
      </c>
      <c r="L90" s="1142">
        <v>2048000</v>
      </c>
      <c r="M90" s="1183" t="s">
        <v>189</v>
      </c>
      <c r="N90" s="1184" t="s">
        <v>166</v>
      </c>
      <c r="O90" s="1184" t="s">
        <v>166</v>
      </c>
      <c r="P90" s="1185" t="s">
        <v>166</v>
      </c>
      <c r="Q90" s="52"/>
      <c r="R90" s="52"/>
      <c r="S90" s="52"/>
      <c r="T90" s="21"/>
      <c r="U90" s="52"/>
      <c r="V90" s="52"/>
      <c r="W90" s="52"/>
      <c r="X90" s="52"/>
      <c r="Y90" s="52"/>
      <c r="Z90" s="52"/>
      <c r="AA90" s="52"/>
      <c r="AB90" s="53"/>
    </row>
    <row r="91" spans="1:32" hidden="1" outlineLevel="1" x14ac:dyDescent="0.35">
      <c r="A91" s="45"/>
      <c r="B91" s="1163">
        <f t="shared" si="27"/>
        <v>2.0480010000000002</v>
      </c>
      <c r="C91" s="1164"/>
      <c r="D91" s="146">
        <f t="shared" si="28"/>
        <v>131070</v>
      </c>
      <c r="E91" s="1134">
        <f t="shared" si="29"/>
        <v>102400.05</v>
      </c>
      <c r="F91" s="1135"/>
      <c r="G91" s="1136"/>
      <c r="H91" s="1143">
        <v>2048001</v>
      </c>
      <c r="I91" s="1144">
        <v>2048001</v>
      </c>
      <c r="J91" s="1144">
        <v>2048001</v>
      </c>
      <c r="K91" s="1144">
        <v>2048001</v>
      </c>
      <c r="L91" s="1145">
        <v>2048001</v>
      </c>
      <c r="M91" s="1143" t="s">
        <v>179</v>
      </c>
      <c r="N91" s="1144" t="s">
        <v>168</v>
      </c>
      <c r="O91" s="1144" t="s">
        <v>168</v>
      </c>
      <c r="P91" s="1144" t="s">
        <v>168</v>
      </c>
      <c r="Q91" s="52"/>
      <c r="R91" s="52"/>
      <c r="S91" s="52"/>
      <c r="T91" s="21"/>
      <c r="U91" s="52"/>
      <c r="V91" s="52"/>
      <c r="W91" s="52"/>
      <c r="X91" s="52"/>
      <c r="Y91" s="52"/>
      <c r="Z91" s="52"/>
      <c r="AA91" s="52"/>
      <c r="AB91" s="53"/>
    </row>
    <row r="92" spans="1:32" hidden="1" outlineLevel="1" x14ac:dyDescent="0.35">
      <c r="A92" s="45"/>
      <c r="B92" s="1137">
        <f t="shared" si="27"/>
        <v>6.3120000000000003</v>
      </c>
      <c r="C92" s="1138"/>
      <c r="D92" s="158">
        <f t="shared" si="28"/>
        <v>524280</v>
      </c>
      <c r="E92" s="1146">
        <f t="shared" si="29"/>
        <v>315600</v>
      </c>
      <c r="F92" s="1147"/>
      <c r="G92" s="1148"/>
      <c r="H92" s="1142">
        <v>6312000</v>
      </c>
      <c r="I92" s="1142">
        <v>6312000</v>
      </c>
      <c r="J92" s="1142">
        <v>6312000</v>
      </c>
      <c r="K92" s="1142">
        <v>6312000</v>
      </c>
      <c r="L92" s="1142">
        <v>6312000</v>
      </c>
      <c r="M92" s="1183" t="s">
        <v>179</v>
      </c>
      <c r="N92" s="1184" t="s">
        <v>168</v>
      </c>
      <c r="O92" s="1184" t="s">
        <v>168</v>
      </c>
      <c r="P92" s="1185" t="s">
        <v>168</v>
      </c>
      <c r="Q92" s="52"/>
      <c r="R92" s="52"/>
      <c r="S92" s="52"/>
      <c r="T92" s="21"/>
      <c r="U92" s="52"/>
      <c r="V92" s="52"/>
      <c r="W92" s="52"/>
      <c r="X92" s="52"/>
      <c r="Y92" s="52"/>
      <c r="Z92" s="52"/>
      <c r="AA92" s="52"/>
      <c r="AB92" s="53"/>
    </row>
    <row r="93" spans="1:32" hidden="1" outlineLevel="1" x14ac:dyDescent="0.35">
      <c r="A93" s="45"/>
      <c r="B93" s="1163">
        <f t="shared" si="27"/>
        <v>6.3120010000000004</v>
      </c>
      <c r="C93" s="1164"/>
      <c r="D93" s="146">
        <f t="shared" si="28"/>
        <v>524280</v>
      </c>
      <c r="E93" s="1134">
        <f t="shared" si="29"/>
        <v>315600.05000000005</v>
      </c>
      <c r="F93" s="1135"/>
      <c r="G93" s="1136"/>
      <c r="H93" s="1143">
        <v>6312001</v>
      </c>
      <c r="I93" s="1144">
        <v>6312001</v>
      </c>
      <c r="J93" s="1144">
        <v>6312001</v>
      </c>
      <c r="K93" s="1144">
        <v>6312001</v>
      </c>
      <c r="L93" s="1145">
        <v>6312001</v>
      </c>
      <c r="M93" s="1143" t="s">
        <v>180</v>
      </c>
      <c r="N93" s="1144" t="s">
        <v>167</v>
      </c>
      <c r="O93" s="1144" t="s">
        <v>167</v>
      </c>
      <c r="P93" s="1144" t="s">
        <v>167</v>
      </c>
      <c r="Q93" s="52"/>
      <c r="R93" s="52"/>
      <c r="S93" s="52"/>
      <c r="T93" s="21"/>
      <c r="U93" s="52"/>
      <c r="V93" s="52"/>
      <c r="W93" s="52"/>
      <c r="X93" s="52"/>
      <c r="Y93" s="52"/>
      <c r="Z93" s="52"/>
      <c r="AA93" s="52"/>
      <c r="AB93" s="53"/>
    </row>
    <row r="94" spans="1:32" hidden="1" outlineLevel="1" x14ac:dyDescent="0.35">
      <c r="A94" s="45"/>
      <c r="B94" s="1137">
        <f t="shared" si="27"/>
        <v>8.4480000000000004</v>
      </c>
      <c r="C94" s="1138"/>
      <c r="D94" s="158">
        <f t="shared" si="28"/>
        <v>524280</v>
      </c>
      <c r="E94" s="1146">
        <f t="shared" si="29"/>
        <v>422400</v>
      </c>
      <c r="F94" s="1147"/>
      <c r="G94" s="1148"/>
      <c r="H94" s="1142">
        <v>8448000</v>
      </c>
      <c r="I94" s="1142">
        <v>8448000</v>
      </c>
      <c r="J94" s="1142">
        <v>8448000</v>
      </c>
      <c r="K94" s="1142">
        <v>8448000</v>
      </c>
      <c r="L94" s="1142">
        <v>8448000</v>
      </c>
      <c r="M94" s="1183" t="s">
        <v>180</v>
      </c>
      <c r="N94" s="1184" t="s">
        <v>167</v>
      </c>
      <c r="O94" s="1184" t="s">
        <v>167</v>
      </c>
      <c r="P94" s="1185" t="s">
        <v>167</v>
      </c>
      <c r="Q94" s="52"/>
      <c r="R94" s="52"/>
      <c r="S94" s="52"/>
      <c r="T94" s="21"/>
      <c r="U94" s="52"/>
      <c r="V94" s="52"/>
      <c r="W94" s="52"/>
      <c r="X94" s="52"/>
      <c r="Y94" s="52"/>
      <c r="Z94" s="52"/>
      <c r="AA94" s="52"/>
      <c r="AB94" s="53"/>
    </row>
    <row r="95" spans="1:32" hidden="1" outlineLevel="1" x14ac:dyDescent="0.35">
      <c r="A95" s="45"/>
      <c r="B95" s="1163">
        <f t="shared" si="27"/>
        <v>8.4480009999999996</v>
      </c>
      <c r="C95" s="1164"/>
      <c r="D95" s="146">
        <f t="shared" si="28"/>
        <v>524280</v>
      </c>
      <c r="E95" s="1134">
        <f t="shared" si="29"/>
        <v>422400.05000000005</v>
      </c>
      <c r="F95" s="1135"/>
      <c r="G95" s="1136"/>
      <c r="H95" s="1143">
        <v>8448001</v>
      </c>
      <c r="I95" s="1144">
        <v>8448001</v>
      </c>
      <c r="J95" s="1144">
        <v>8448001</v>
      </c>
      <c r="K95" s="1144">
        <v>8448001</v>
      </c>
      <c r="L95" s="1145">
        <v>8448001</v>
      </c>
      <c r="M95" s="1143" t="s">
        <v>147</v>
      </c>
      <c r="N95" s="1144" t="s">
        <v>147</v>
      </c>
      <c r="O95" s="1144" t="s">
        <v>147</v>
      </c>
      <c r="P95" s="1144" t="s">
        <v>147</v>
      </c>
      <c r="Q95" s="52"/>
      <c r="R95" s="52"/>
      <c r="S95" s="52"/>
      <c r="T95" s="21"/>
      <c r="U95" s="52"/>
      <c r="V95" s="52"/>
      <c r="W95" s="52"/>
      <c r="X95" s="52"/>
      <c r="Y95" s="52"/>
      <c r="Z95" s="52"/>
      <c r="AA95" s="52"/>
      <c r="AB95" s="53"/>
    </row>
    <row r="96" spans="1:32" hidden="1" outlineLevel="1" x14ac:dyDescent="0.35">
      <c r="A96" s="45"/>
      <c r="B96" s="1137">
        <f t="shared" si="27"/>
        <v>10</v>
      </c>
      <c r="C96" s="1138"/>
      <c r="D96" s="158">
        <f t="shared" si="28"/>
        <v>524280</v>
      </c>
      <c r="E96" s="1146">
        <f t="shared" si="29"/>
        <v>500000</v>
      </c>
      <c r="F96" s="1147"/>
      <c r="G96" s="1148"/>
      <c r="H96" s="1142">
        <v>10000000</v>
      </c>
      <c r="I96" s="1142">
        <v>10000000</v>
      </c>
      <c r="J96" s="1142">
        <v>10000000</v>
      </c>
      <c r="K96" s="1142">
        <v>10000000</v>
      </c>
      <c r="L96" s="1142">
        <v>10000000</v>
      </c>
      <c r="M96" s="1183" t="s">
        <v>147</v>
      </c>
      <c r="N96" s="1184" t="s">
        <v>147</v>
      </c>
      <c r="O96" s="1184" t="s">
        <v>147</v>
      </c>
      <c r="P96" s="1185" t="s">
        <v>147</v>
      </c>
      <c r="Q96" s="52"/>
      <c r="R96" s="52"/>
      <c r="S96" s="52"/>
      <c r="T96" s="21"/>
      <c r="U96" s="52"/>
      <c r="V96" s="52"/>
      <c r="W96" s="52"/>
      <c r="X96" s="52"/>
      <c r="Y96" s="52"/>
      <c r="Z96" s="52"/>
      <c r="AA96" s="52"/>
      <c r="AB96" s="53"/>
    </row>
    <row r="97" spans="1:28" hidden="1" outlineLevel="1" x14ac:dyDescent="0.35">
      <c r="A97" s="45"/>
      <c r="B97" s="1163">
        <f t="shared" si="27"/>
        <v>10.000000999999999</v>
      </c>
      <c r="C97" s="1164"/>
      <c r="D97" s="146">
        <f t="shared" si="28"/>
        <v>524280</v>
      </c>
      <c r="E97" s="1134">
        <f t="shared" si="29"/>
        <v>500000.05000000005</v>
      </c>
      <c r="F97" s="1135"/>
      <c r="G97" s="1136"/>
      <c r="H97" s="1143">
        <v>10000001</v>
      </c>
      <c r="I97" s="1144">
        <v>10000001</v>
      </c>
      <c r="J97" s="1144">
        <v>10000001</v>
      </c>
      <c r="K97" s="1144">
        <v>10000001</v>
      </c>
      <c r="L97" s="1145">
        <v>10000001</v>
      </c>
      <c r="M97" s="1143" t="s">
        <v>157</v>
      </c>
      <c r="N97" s="1144" t="s">
        <v>157</v>
      </c>
      <c r="O97" s="1144" t="s">
        <v>157</v>
      </c>
      <c r="P97" s="1144" t="s">
        <v>157</v>
      </c>
      <c r="Q97" s="52"/>
      <c r="R97" s="52"/>
      <c r="S97" s="52"/>
      <c r="T97" s="21"/>
      <c r="U97" s="52"/>
      <c r="V97" s="52"/>
      <c r="W97" s="52"/>
      <c r="X97" s="52"/>
      <c r="Y97" s="52"/>
      <c r="Z97" s="52"/>
      <c r="AA97" s="52"/>
      <c r="AB97" s="53"/>
    </row>
    <row r="98" spans="1:28" hidden="1" outlineLevel="1" x14ac:dyDescent="0.35">
      <c r="A98" s="45"/>
      <c r="B98" s="1137">
        <f t="shared" si="27"/>
        <v>16</v>
      </c>
      <c r="C98" s="1138"/>
      <c r="D98" s="158">
        <f t="shared" si="28"/>
        <v>1048560</v>
      </c>
      <c r="E98" s="1146">
        <f t="shared" si="29"/>
        <v>800000</v>
      </c>
      <c r="F98" s="1147"/>
      <c r="G98" s="1148"/>
      <c r="H98" s="1142">
        <v>16000000</v>
      </c>
      <c r="I98" s="1142">
        <v>16000000</v>
      </c>
      <c r="J98" s="1142">
        <v>16000000</v>
      </c>
      <c r="K98" s="1142">
        <v>16000000</v>
      </c>
      <c r="L98" s="1142">
        <v>16000000</v>
      </c>
      <c r="M98" s="1183" t="s">
        <v>157</v>
      </c>
      <c r="N98" s="1184" t="s">
        <v>157</v>
      </c>
      <c r="O98" s="1184" t="s">
        <v>157</v>
      </c>
      <c r="P98" s="1185" t="s">
        <v>157</v>
      </c>
      <c r="Q98" s="52"/>
      <c r="R98" s="52"/>
      <c r="S98" s="52"/>
      <c r="T98" s="21"/>
      <c r="U98" s="52"/>
      <c r="V98" s="52"/>
      <c r="W98" s="52"/>
      <c r="X98" s="52"/>
      <c r="Y98" s="52"/>
      <c r="Z98" s="52"/>
      <c r="AA98" s="52"/>
      <c r="AB98" s="53"/>
    </row>
    <row r="99" spans="1:28" hidden="1" outlineLevel="1" x14ac:dyDescent="0.35">
      <c r="A99" s="45"/>
      <c r="B99" s="1163">
        <f t="shared" si="27"/>
        <v>16.000001000000001</v>
      </c>
      <c r="C99" s="1164"/>
      <c r="D99" s="146">
        <f t="shared" si="28"/>
        <v>1048560</v>
      </c>
      <c r="E99" s="1134">
        <f t="shared" si="29"/>
        <v>800000.05</v>
      </c>
      <c r="F99" s="1135"/>
      <c r="G99" s="1136"/>
      <c r="H99" s="1143">
        <v>16000001</v>
      </c>
      <c r="I99" s="1144">
        <v>16000001</v>
      </c>
      <c r="J99" s="1144">
        <v>16000001</v>
      </c>
      <c r="K99" s="1144">
        <v>16000001</v>
      </c>
      <c r="L99" s="1145">
        <v>16000001</v>
      </c>
      <c r="M99" s="1143" t="s">
        <v>181</v>
      </c>
      <c r="N99" s="1144" t="s">
        <v>148</v>
      </c>
      <c r="O99" s="1144" t="s">
        <v>148</v>
      </c>
      <c r="P99" s="1144" t="s">
        <v>148</v>
      </c>
      <c r="Q99" s="52"/>
      <c r="R99" s="52"/>
      <c r="S99" s="52"/>
      <c r="T99" s="21"/>
      <c r="U99" s="52"/>
      <c r="V99" s="52"/>
      <c r="W99" s="52"/>
      <c r="X99" s="52"/>
      <c r="Y99" s="52"/>
      <c r="Z99" s="52"/>
      <c r="AA99" s="52"/>
      <c r="AB99" s="53"/>
    </row>
    <row r="100" spans="1:28" hidden="1" outlineLevel="1" x14ac:dyDescent="0.35">
      <c r="A100" s="45"/>
      <c r="B100" s="1137">
        <f t="shared" si="27"/>
        <v>34.368000000000002</v>
      </c>
      <c r="C100" s="1138"/>
      <c r="D100" s="158">
        <f t="shared" si="28"/>
        <v>2097120</v>
      </c>
      <c r="E100" s="1146">
        <f t="shared" si="29"/>
        <v>1718400</v>
      </c>
      <c r="F100" s="1147"/>
      <c r="G100" s="1148"/>
      <c r="H100" s="1142">
        <v>34368000</v>
      </c>
      <c r="I100" s="1142">
        <v>34368000</v>
      </c>
      <c r="J100" s="1142">
        <v>34368000</v>
      </c>
      <c r="K100" s="1142">
        <v>34368000</v>
      </c>
      <c r="L100" s="1142">
        <v>34368000</v>
      </c>
      <c r="M100" s="1183" t="s">
        <v>181</v>
      </c>
      <c r="N100" s="1184" t="s">
        <v>148</v>
      </c>
      <c r="O100" s="1184" t="s">
        <v>148</v>
      </c>
      <c r="P100" s="1185" t="s">
        <v>148</v>
      </c>
      <c r="Q100" s="52"/>
      <c r="R100" s="52"/>
      <c r="S100" s="52"/>
      <c r="T100" s="21"/>
      <c r="U100" s="52"/>
      <c r="V100" s="52"/>
      <c r="W100" s="52"/>
      <c r="X100" s="52"/>
      <c r="Y100" s="52"/>
      <c r="Z100" s="52"/>
      <c r="AA100" s="52"/>
      <c r="AB100" s="53"/>
    </row>
    <row r="101" spans="1:28" hidden="1" outlineLevel="1" x14ac:dyDescent="0.35">
      <c r="A101" s="45"/>
      <c r="B101" s="1163">
        <f t="shared" si="27"/>
        <v>34.368001</v>
      </c>
      <c r="C101" s="1164"/>
      <c r="D101" s="146">
        <f t="shared" si="28"/>
        <v>2097120</v>
      </c>
      <c r="E101" s="1134">
        <f t="shared" si="29"/>
        <v>1718400.05</v>
      </c>
      <c r="F101" s="1135"/>
      <c r="G101" s="1136"/>
      <c r="H101" s="1143">
        <v>34368001</v>
      </c>
      <c r="I101" s="1144">
        <v>34368001</v>
      </c>
      <c r="J101" s="1144">
        <v>34368001</v>
      </c>
      <c r="K101" s="1144">
        <v>34368001</v>
      </c>
      <c r="L101" s="1145">
        <v>34368001</v>
      </c>
      <c r="M101" s="1143" t="s">
        <v>182</v>
      </c>
      <c r="N101" s="1144" t="s">
        <v>165</v>
      </c>
      <c r="O101" s="1144" t="s">
        <v>165</v>
      </c>
      <c r="P101" s="1144" t="s">
        <v>165</v>
      </c>
      <c r="Q101" s="52"/>
      <c r="R101" s="52"/>
      <c r="S101" s="52"/>
      <c r="T101" s="21"/>
      <c r="U101" s="52"/>
      <c r="V101" s="52"/>
      <c r="W101" s="52"/>
      <c r="X101" s="52"/>
      <c r="Y101" s="52"/>
      <c r="Z101" s="52"/>
      <c r="AA101" s="52"/>
      <c r="AB101" s="53"/>
    </row>
    <row r="102" spans="1:28" hidden="1" outlineLevel="1" x14ac:dyDescent="0.35">
      <c r="A102" s="45"/>
      <c r="B102" s="1137">
        <f t="shared" si="27"/>
        <v>44.735999999999997</v>
      </c>
      <c r="C102" s="1138"/>
      <c r="D102" s="158">
        <f t="shared" si="28"/>
        <v>4194240</v>
      </c>
      <c r="E102" s="1146">
        <f t="shared" si="29"/>
        <v>2236800</v>
      </c>
      <c r="F102" s="1147"/>
      <c r="G102" s="1148"/>
      <c r="H102" s="1142">
        <v>44736000</v>
      </c>
      <c r="I102" s="1142">
        <v>44736000</v>
      </c>
      <c r="J102" s="1142">
        <v>44736000</v>
      </c>
      <c r="K102" s="1142">
        <v>44736000</v>
      </c>
      <c r="L102" s="1142">
        <v>44736000</v>
      </c>
      <c r="M102" s="1183" t="s">
        <v>182</v>
      </c>
      <c r="N102" s="1184" t="s">
        <v>165</v>
      </c>
      <c r="O102" s="1184" t="s">
        <v>165</v>
      </c>
      <c r="P102" s="1185" t="s">
        <v>165</v>
      </c>
      <c r="Q102" s="52"/>
      <c r="R102" s="52"/>
      <c r="S102" s="52"/>
      <c r="T102" s="21"/>
      <c r="U102" s="52"/>
      <c r="V102" s="52"/>
      <c r="W102" s="52"/>
      <c r="X102" s="52"/>
      <c r="Y102" s="52"/>
      <c r="Z102" s="52"/>
      <c r="AA102" s="52"/>
      <c r="AB102" s="53"/>
    </row>
    <row r="103" spans="1:28" hidden="1" outlineLevel="1" x14ac:dyDescent="0.35">
      <c r="A103" s="45"/>
      <c r="B103" s="1163">
        <f>MIN(IF(D103="Default Value",H103,D103/(NetLinkLatency/1000)*8),H103)/1000000</f>
        <v>44.736001000000002</v>
      </c>
      <c r="C103" s="1164"/>
      <c r="D103" s="146">
        <f>VLOOKUP(E103,tblTCPWindowSize,2,TRUE)</f>
        <v>4194240</v>
      </c>
      <c r="E103" s="1134">
        <f>H103*(NetLinkLatency/1000)</f>
        <v>2236800.0500000003</v>
      </c>
      <c r="F103" s="1135"/>
      <c r="G103" s="1136"/>
      <c r="H103" s="1143">
        <v>44736001</v>
      </c>
      <c r="I103" s="1144">
        <v>44736001</v>
      </c>
      <c r="J103" s="1144">
        <v>44736001</v>
      </c>
      <c r="K103" s="1144">
        <v>44736001</v>
      </c>
      <c r="L103" s="1145">
        <v>44736001</v>
      </c>
      <c r="M103" s="1143" t="s">
        <v>446</v>
      </c>
      <c r="N103" s="1144"/>
      <c r="O103" s="1144"/>
      <c r="P103" s="1144"/>
      <c r="Q103" s="52"/>
      <c r="R103" s="52"/>
      <c r="S103" s="52"/>
      <c r="T103" s="21"/>
      <c r="U103" s="52"/>
      <c r="V103" s="52"/>
      <c r="W103" s="52"/>
      <c r="X103" s="52"/>
      <c r="Y103" s="52"/>
      <c r="Z103" s="52"/>
      <c r="AA103" s="52"/>
      <c r="AB103" s="53"/>
    </row>
    <row r="104" spans="1:28" hidden="1" outlineLevel="1" x14ac:dyDescent="0.35">
      <c r="A104" s="45"/>
      <c r="B104" s="1137">
        <f>MIN(IF(D104="Default Value",H104,D104/(NetLinkLatency/1000)*8),H104)/1000000</f>
        <v>50</v>
      </c>
      <c r="C104" s="1138"/>
      <c r="D104" s="158">
        <f>VLOOKUP(E104,tblTCPWindowSize,2,TRUE)</f>
        <v>4194240</v>
      </c>
      <c r="E104" s="1146">
        <f>H104*(NetLinkLatency/1000)</f>
        <v>2500000</v>
      </c>
      <c r="F104" s="1147"/>
      <c r="G104" s="1148"/>
      <c r="H104" s="1142">
        <v>50000000</v>
      </c>
      <c r="I104" s="1142"/>
      <c r="J104" s="1142"/>
      <c r="K104" s="1142"/>
      <c r="L104" s="1142"/>
      <c r="M104" s="1183" t="s">
        <v>446</v>
      </c>
      <c r="N104" s="1184"/>
      <c r="O104" s="1184"/>
      <c r="P104" s="1185"/>
      <c r="Q104" s="52"/>
      <c r="R104" s="52"/>
      <c r="S104" s="52"/>
      <c r="T104" s="21"/>
      <c r="U104" s="52"/>
      <c r="V104" s="52"/>
      <c r="W104" s="52"/>
      <c r="X104" s="52"/>
      <c r="Y104" s="52"/>
      <c r="Z104" s="52"/>
      <c r="AA104" s="52"/>
      <c r="AB104" s="53"/>
    </row>
    <row r="105" spans="1:28" hidden="1" outlineLevel="1" x14ac:dyDescent="0.35">
      <c r="A105" s="45"/>
      <c r="B105" s="1166">
        <f t="shared" ref="B105:B130" si="30">MIN(IF(D105="Default Value",H105,D105/(NetLinkLatency/1000)*8),H105)/1000000</f>
        <v>50.000000999999997</v>
      </c>
      <c r="C105" s="1164"/>
      <c r="D105" s="146">
        <f t="shared" ref="D105:D130" si="31">VLOOKUP(E105,tblTCPWindowSize,2,TRUE)</f>
        <v>4194240</v>
      </c>
      <c r="E105" s="1134">
        <f t="shared" ref="E105:E130" si="32">H105*(NetLinkLatency/1000)</f>
        <v>2500000.0500000003</v>
      </c>
      <c r="F105" s="1135"/>
      <c r="G105" s="1136"/>
      <c r="H105" s="1143">
        <v>50000001</v>
      </c>
      <c r="I105" s="1144"/>
      <c r="J105" s="1144"/>
      <c r="K105" s="1144"/>
      <c r="L105" s="1145"/>
      <c r="M105" s="1143" t="s">
        <v>183</v>
      </c>
      <c r="N105" s="1144"/>
      <c r="O105" s="1144"/>
      <c r="P105" s="1144"/>
      <c r="Q105" s="52"/>
      <c r="R105" s="52"/>
      <c r="S105" s="52"/>
      <c r="U105" s="52"/>
      <c r="V105" s="52"/>
      <c r="W105" s="52"/>
      <c r="X105" s="52"/>
      <c r="Y105" s="52"/>
      <c r="Z105" s="52"/>
      <c r="AA105" s="52"/>
      <c r="AB105" s="53"/>
    </row>
    <row r="106" spans="1:28" hidden="1" outlineLevel="1" x14ac:dyDescent="0.35">
      <c r="A106" s="45"/>
      <c r="B106" s="1165">
        <f t="shared" si="30"/>
        <v>51.84</v>
      </c>
      <c r="C106" s="1138"/>
      <c r="D106" s="158">
        <f t="shared" si="31"/>
        <v>4194240</v>
      </c>
      <c r="E106" s="1146">
        <f t="shared" si="32"/>
        <v>2592000</v>
      </c>
      <c r="F106" s="1147"/>
      <c r="G106" s="1148"/>
      <c r="H106" s="1142">
        <v>51840000</v>
      </c>
      <c r="I106" s="1142">
        <v>51840000</v>
      </c>
      <c r="J106" s="1142">
        <v>51840000</v>
      </c>
      <c r="K106" s="1142">
        <v>51840000</v>
      </c>
      <c r="L106" s="1142">
        <v>51840000</v>
      </c>
      <c r="M106" s="1183" t="s">
        <v>183</v>
      </c>
      <c r="N106" s="1184" t="s">
        <v>158</v>
      </c>
      <c r="O106" s="1184" t="s">
        <v>158</v>
      </c>
      <c r="P106" s="1185" t="s">
        <v>158</v>
      </c>
      <c r="Q106" s="52"/>
      <c r="R106" s="52"/>
      <c r="S106" s="52"/>
      <c r="T106" s="52"/>
      <c r="U106" s="52"/>
      <c r="V106" s="52"/>
      <c r="W106" s="52"/>
      <c r="X106" s="52"/>
      <c r="Y106" s="52"/>
      <c r="Z106" s="52"/>
      <c r="AA106" s="52"/>
      <c r="AB106" s="53"/>
    </row>
    <row r="107" spans="1:28" hidden="1" outlineLevel="1" x14ac:dyDescent="0.35">
      <c r="A107" s="45"/>
      <c r="B107" s="1166">
        <f t="shared" si="30"/>
        <v>51.840001000000001</v>
      </c>
      <c r="C107" s="1164"/>
      <c r="D107" s="146">
        <f t="shared" si="31"/>
        <v>4194240</v>
      </c>
      <c r="E107" s="1134">
        <f t="shared" si="32"/>
        <v>2592000.0500000003</v>
      </c>
      <c r="F107" s="1135"/>
      <c r="G107" s="1136"/>
      <c r="H107" s="1143">
        <v>51840001</v>
      </c>
      <c r="I107" s="1144">
        <v>51840001</v>
      </c>
      <c r="J107" s="1144">
        <v>51840001</v>
      </c>
      <c r="K107" s="1144">
        <v>51840001</v>
      </c>
      <c r="L107" s="1145">
        <v>51840001</v>
      </c>
      <c r="M107" s="1143" t="s">
        <v>149</v>
      </c>
      <c r="N107" s="1144" t="s">
        <v>149</v>
      </c>
      <c r="O107" s="1144" t="s">
        <v>149</v>
      </c>
      <c r="P107" s="1144" t="s">
        <v>149</v>
      </c>
      <c r="Q107" s="52"/>
      <c r="R107" s="52"/>
      <c r="S107" s="52"/>
      <c r="T107" s="52"/>
      <c r="U107" s="52"/>
      <c r="V107" s="52"/>
      <c r="W107" s="52"/>
      <c r="X107" s="52"/>
      <c r="Y107" s="52"/>
      <c r="Z107" s="52"/>
      <c r="AA107" s="52"/>
      <c r="AB107" s="53"/>
    </row>
    <row r="108" spans="1:28" hidden="1" outlineLevel="1" x14ac:dyDescent="0.35">
      <c r="A108" s="45"/>
      <c r="B108" s="1165">
        <f t="shared" si="30"/>
        <v>100</v>
      </c>
      <c r="C108" s="1138"/>
      <c r="D108" s="158">
        <f t="shared" si="31"/>
        <v>8388480</v>
      </c>
      <c r="E108" s="1146">
        <f t="shared" si="32"/>
        <v>5000000</v>
      </c>
      <c r="F108" s="1147"/>
      <c r="G108" s="1148"/>
      <c r="H108" s="1142">
        <v>100000000</v>
      </c>
      <c r="I108" s="1142">
        <v>100000000</v>
      </c>
      <c r="J108" s="1142">
        <v>100000000</v>
      </c>
      <c r="K108" s="1142">
        <v>100000000</v>
      </c>
      <c r="L108" s="1142">
        <v>100000000</v>
      </c>
      <c r="M108" s="1183" t="s">
        <v>149</v>
      </c>
      <c r="N108" s="1184" t="s">
        <v>149</v>
      </c>
      <c r="O108" s="1184" t="s">
        <v>149</v>
      </c>
      <c r="P108" s="1185" t="s">
        <v>149</v>
      </c>
      <c r="Q108" s="52"/>
      <c r="R108" s="52"/>
      <c r="S108" s="52"/>
      <c r="T108" s="52"/>
      <c r="U108" s="52"/>
      <c r="V108" s="52"/>
      <c r="W108" s="52"/>
      <c r="X108" s="52"/>
      <c r="Y108" s="52"/>
      <c r="Z108" s="52"/>
      <c r="AA108" s="52"/>
      <c r="AB108" s="53"/>
    </row>
    <row r="109" spans="1:28" hidden="1" outlineLevel="1" x14ac:dyDescent="0.35">
      <c r="A109" s="45"/>
      <c r="B109" s="1166">
        <f t="shared" si="30"/>
        <v>100.000001</v>
      </c>
      <c r="C109" s="1164"/>
      <c r="D109" s="146">
        <f t="shared" si="31"/>
        <v>8388480</v>
      </c>
      <c r="E109" s="1134">
        <f t="shared" si="32"/>
        <v>5000000.05</v>
      </c>
      <c r="F109" s="1135"/>
      <c r="G109" s="1136"/>
      <c r="H109" s="1143">
        <v>100000001</v>
      </c>
      <c r="I109" s="1144">
        <v>100000001</v>
      </c>
      <c r="J109" s="1144">
        <v>100000001</v>
      </c>
      <c r="K109" s="1144">
        <v>100000001</v>
      </c>
      <c r="L109" s="1145">
        <v>100000001</v>
      </c>
      <c r="M109" s="1143" t="s">
        <v>447</v>
      </c>
      <c r="N109" s="1144"/>
      <c r="O109" s="1144"/>
      <c r="P109" s="1144"/>
      <c r="Q109" s="52"/>
      <c r="R109" s="52"/>
      <c r="S109" s="52"/>
      <c r="T109" s="52"/>
      <c r="U109" s="52"/>
      <c r="V109" s="52"/>
      <c r="W109" s="52"/>
      <c r="X109" s="52"/>
      <c r="Y109" s="52"/>
      <c r="Z109" s="52"/>
      <c r="AA109" s="52"/>
      <c r="AB109" s="53"/>
    </row>
    <row r="110" spans="1:28" hidden="1" outlineLevel="1" x14ac:dyDescent="0.35">
      <c r="A110" s="45"/>
      <c r="B110" s="1165">
        <f t="shared" si="30"/>
        <v>150</v>
      </c>
      <c r="C110" s="1138"/>
      <c r="D110" s="158">
        <f t="shared" si="31"/>
        <v>8388480</v>
      </c>
      <c r="E110" s="1146">
        <f t="shared" si="32"/>
        <v>7500000</v>
      </c>
      <c r="F110" s="1147"/>
      <c r="G110" s="1148"/>
      <c r="H110" s="1142">
        <v>150000000</v>
      </c>
      <c r="I110" s="1142">
        <v>100000000</v>
      </c>
      <c r="J110" s="1142">
        <v>100000000</v>
      </c>
      <c r="K110" s="1142">
        <v>100000000</v>
      </c>
      <c r="L110" s="1142">
        <v>100000000</v>
      </c>
      <c r="M110" s="1183" t="s">
        <v>447</v>
      </c>
      <c r="N110" s="1184"/>
      <c r="O110" s="1184"/>
      <c r="P110" s="1185"/>
      <c r="Q110" s="52"/>
      <c r="R110" s="52"/>
      <c r="S110" s="52"/>
      <c r="T110" s="52"/>
      <c r="U110" s="52"/>
      <c r="V110" s="52"/>
      <c r="W110" s="52"/>
      <c r="X110" s="52"/>
      <c r="Y110" s="52"/>
      <c r="Z110" s="52"/>
      <c r="AA110" s="52"/>
      <c r="AB110" s="53"/>
    </row>
    <row r="111" spans="1:28" hidden="1" outlineLevel="1" x14ac:dyDescent="0.35">
      <c r="A111" s="45"/>
      <c r="B111" s="1166">
        <f t="shared" si="30"/>
        <v>150.000001</v>
      </c>
      <c r="C111" s="1164"/>
      <c r="D111" s="146">
        <f t="shared" si="31"/>
        <v>8388480</v>
      </c>
      <c r="E111" s="1134">
        <f t="shared" si="32"/>
        <v>7500000.0500000007</v>
      </c>
      <c r="F111" s="1135"/>
      <c r="G111" s="1136"/>
      <c r="H111" s="1143">
        <v>150000001</v>
      </c>
      <c r="I111" s="1144">
        <v>100000001</v>
      </c>
      <c r="J111" s="1144">
        <v>100000001</v>
      </c>
      <c r="K111" s="1144">
        <v>100000001</v>
      </c>
      <c r="L111" s="1145">
        <v>100000001</v>
      </c>
      <c r="M111" s="1143" t="s">
        <v>184</v>
      </c>
      <c r="N111" s="1144" t="s">
        <v>159</v>
      </c>
      <c r="O111" s="1144" t="s">
        <v>159</v>
      </c>
      <c r="P111" s="1144" t="s">
        <v>159</v>
      </c>
      <c r="Q111" s="52"/>
      <c r="R111" s="52"/>
      <c r="S111" s="52"/>
      <c r="T111" s="52"/>
      <c r="U111" s="52"/>
      <c r="V111" s="52"/>
      <c r="W111" s="52"/>
      <c r="X111" s="52"/>
      <c r="Y111" s="52"/>
      <c r="Z111" s="52"/>
      <c r="AA111" s="52"/>
      <c r="AB111" s="53"/>
    </row>
    <row r="112" spans="1:28" hidden="1" outlineLevel="1" x14ac:dyDescent="0.35">
      <c r="A112" s="45"/>
      <c r="B112" s="1165">
        <f t="shared" si="30"/>
        <v>155.52000000000001</v>
      </c>
      <c r="C112" s="1138"/>
      <c r="D112" s="158">
        <f t="shared" si="31"/>
        <v>8388480</v>
      </c>
      <c r="E112" s="1146">
        <f t="shared" si="32"/>
        <v>7776000</v>
      </c>
      <c r="F112" s="1147"/>
      <c r="G112" s="1148"/>
      <c r="H112" s="1142">
        <v>155520000</v>
      </c>
      <c r="I112" s="1142">
        <v>155520000</v>
      </c>
      <c r="J112" s="1142">
        <v>155520000</v>
      </c>
      <c r="K112" s="1142">
        <v>155520000</v>
      </c>
      <c r="L112" s="1142">
        <v>155520000</v>
      </c>
      <c r="M112" s="1183" t="s">
        <v>184</v>
      </c>
      <c r="N112" s="1184" t="s">
        <v>159</v>
      </c>
      <c r="O112" s="1184" t="s">
        <v>159</v>
      </c>
      <c r="P112" s="1185" t="s">
        <v>159</v>
      </c>
      <c r="Q112" s="52"/>
      <c r="R112" s="52"/>
      <c r="S112" s="52"/>
      <c r="T112" s="52"/>
      <c r="U112" s="52"/>
      <c r="V112" s="52"/>
      <c r="W112" s="52"/>
      <c r="X112" s="52"/>
      <c r="Y112" s="52"/>
      <c r="Z112" s="52"/>
      <c r="AA112" s="52"/>
      <c r="AB112" s="53"/>
    </row>
    <row r="113" spans="1:28" hidden="1" outlineLevel="1" x14ac:dyDescent="0.35">
      <c r="A113" s="45"/>
      <c r="B113" s="1166">
        <f t="shared" si="30"/>
        <v>155.52000100000001</v>
      </c>
      <c r="C113" s="1164"/>
      <c r="D113" s="146">
        <f t="shared" si="31"/>
        <v>8388480</v>
      </c>
      <c r="E113" s="1134">
        <f t="shared" si="32"/>
        <v>7776000.0500000007</v>
      </c>
      <c r="F113" s="1135"/>
      <c r="G113" s="1136"/>
      <c r="H113" s="1143">
        <v>155520001</v>
      </c>
      <c r="I113" s="1144">
        <v>155520001</v>
      </c>
      <c r="J113" s="1144">
        <v>155520001</v>
      </c>
      <c r="K113" s="1144">
        <v>155520001</v>
      </c>
      <c r="L113" s="1145">
        <v>155520001</v>
      </c>
      <c r="M113" s="1143" t="s">
        <v>448</v>
      </c>
      <c r="N113" s="1144"/>
      <c r="O113" s="1144"/>
      <c r="P113" s="1144"/>
      <c r="Q113" s="52"/>
      <c r="R113" s="52"/>
      <c r="S113" s="52"/>
      <c r="T113" s="52"/>
      <c r="U113" s="52"/>
      <c r="V113" s="52"/>
      <c r="W113" s="52"/>
      <c r="X113" s="52"/>
      <c r="Y113" s="52"/>
      <c r="Z113" s="52"/>
      <c r="AA113" s="52"/>
      <c r="AB113" s="53"/>
    </row>
    <row r="114" spans="1:28" hidden="1" outlineLevel="1" x14ac:dyDescent="0.35">
      <c r="A114" s="45"/>
      <c r="B114" s="1165">
        <f t="shared" si="30"/>
        <v>300</v>
      </c>
      <c r="C114" s="1138"/>
      <c r="D114" s="158">
        <f t="shared" si="31"/>
        <v>16776960</v>
      </c>
      <c r="E114" s="1146">
        <f t="shared" si="32"/>
        <v>15000000</v>
      </c>
      <c r="F114" s="1147"/>
      <c r="G114" s="1148"/>
      <c r="H114" s="1142">
        <v>300000000</v>
      </c>
      <c r="I114" s="1142">
        <v>100000000</v>
      </c>
      <c r="J114" s="1142">
        <v>100000000</v>
      </c>
      <c r="K114" s="1142">
        <v>100000000</v>
      </c>
      <c r="L114" s="1142">
        <v>100000000</v>
      </c>
      <c r="M114" s="1183" t="s">
        <v>448</v>
      </c>
      <c r="N114" s="1184"/>
      <c r="O114" s="1184"/>
      <c r="P114" s="1185"/>
      <c r="Q114" s="52"/>
      <c r="R114" s="52"/>
      <c r="S114" s="52"/>
      <c r="T114" s="52"/>
      <c r="U114" s="52"/>
      <c r="V114" s="52"/>
      <c r="W114" s="52"/>
      <c r="X114" s="52"/>
      <c r="Y114" s="52"/>
      <c r="Z114" s="52"/>
      <c r="AA114" s="52"/>
      <c r="AB114" s="53"/>
    </row>
    <row r="115" spans="1:28" hidden="1" outlineLevel="1" x14ac:dyDescent="0.35">
      <c r="A115" s="45"/>
      <c r="B115" s="1166">
        <f t="shared" si="30"/>
        <v>300.000001</v>
      </c>
      <c r="C115" s="1164"/>
      <c r="D115" s="146">
        <f t="shared" si="31"/>
        <v>16776960</v>
      </c>
      <c r="E115" s="1134">
        <f t="shared" si="32"/>
        <v>15000000.050000001</v>
      </c>
      <c r="F115" s="1135"/>
      <c r="G115" s="1136"/>
      <c r="H115" s="1143">
        <v>300000001</v>
      </c>
      <c r="I115" s="1144">
        <v>100000000</v>
      </c>
      <c r="J115" s="1144">
        <v>100000000</v>
      </c>
      <c r="K115" s="1144">
        <v>100000000</v>
      </c>
      <c r="L115" s="1145">
        <v>100000000</v>
      </c>
      <c r="M115" s="1143" t="s">
        <v>449</v>
      </c>
      <c r="N115" s="1144"/>
      <c r="O115" s="1144"/>
      <c r="P115" s="1144"/>
      <c r="Q115" s="52"/>
      <c r="R115" s="52"/>
      <c r="S115" s="52"/>
      <c r="T115" s="52"/>
      <c r="U115" s="52"/>
      <c r="V115" s="52"/>
      <c r="W115" s="52"/>
      <c r="X115" s="52"/>
      <c r="Y115" s="52"/>
      <c r="Z115" s="52"/>
      <c r="AA115" s="52"/>
      <c r="AB115" s="53"/>
    </row>
    <row r="116" spans="1:28" hidden="1" outlineLevel="1" x14ac:dyDescent="0.35">
      <c r="A116" s="45"/>
      <c r="B116" s="1165">
        <f t="shared" si="30"/>
        <v>450</v>
      </c>
      <c r="C116" s="1138"/>
      <c r="D116" s="158">
        <f t="shared" si="31"/>
        <v>33553920</v>
      </c>
      <c r="E116" s="1146">
        <f t="shared" si="32"/>
        <v>22500000</v>
      </c>
      <c r="F116" s="1147"/>
      <c r="G116" s="1148"/>
      <c r="H116" s="1142">
        <v>450000000</v>
      </c>
      <c r="I116" s="1142">
        <v>100000000</v>
      </c>
      <c r="J116" s="1142">
        <v>100000000</v>
      </c>
      <c r="K116" s="1142">
        <v>100000000</v>
      </c>
      <c r="L116" s="1142">
        <v>100000000</v>
      </c>
      <c r="M116" s="1183" t="s">
        <v>449</v>
      </c>
      <c r="N116" s="1184"/>
      <c r="O116" s="1184"/>
      <c r="P116" s="1185"/>
      <c r="Q116" s="52"/>
      <c r="R116" s="52"/>
      <c r="S116" s="52"/>
      <c r="T116" s="52"/>
      <c r="U116" s="52"/>
      <c r="V116" s="52"/>
      <c r="W116" s="52"/>
      <c r="X116" s="52"/>
      <c r="Y116" s="52"/>
      <c r="Z116" s="52"/>
      <c r="AA116" s="52"/>
      <c r="AB116" s="53"/>
    </row>
    <row r="117" spans="1:28" hidden="1" outlineLevel="1" x14ac:dyDescent="0.35">
      <c r="A117" s="45"/>
      <c r="B117" s="1166">
        <f t="shared" si="30"/>
        <v>450.000001</v>
      </c>
      <c r="C117" s="1164"/>
      <c r="D117" s="146">
        <f t="shared" si="31"/>
        <v>33553920</v>
      </c>
      <c r="E117" s="1134">
        <f t="shared" si="32"/>
        <v>22500000.050000001</v>
      </c>
      <c r="F117" s="1135"/>
      <c r="G117" s="1136"/>
      <c r="H117" s="1143">
        <v>450000001</v>
      </c>
      <c r="I117" s="1144">
        <v>100000000</v>
      </c>
      <c r="J117" s="1144">
        <v>100000000</v>
      </c>
      <c r="K117" s="1144">
        <v>100000000</v>
      </c>
      <c r="L117" s="1145">
        <v>100000000</v>
      </c>
      <c r="M117" s="1143" t="s">
        <v>450</v>
      </c>
      <c r="N117" s="1144"/>
      <c r="O117" s="1144"/>
      <c r="P117" s="1144"/>
      <c r="Q117" s="52"/>
      <c r="R117" s="52"/>
      <c r="S117" s="52"/>
      <c r="T117" s="52"/>
      <c r="U117" s="52"/>
      <c r="V117" s="52"/>
      <c r="W117" s="52"/>
      <c r="X117" s="52"/>
      <c r="Y117" s="52"/>
      <c r="Z117" s="52"/>
      <c r="AA117" s="52"/>
      <c r="AB117" s="53"/>
    </row>
    <row r="118" spans="1:28" hidden="1" outlineLevel="1" x14ac:dyDescent="0.35">
      <c r="A118" s="45"/>
      <c r="B118" s="1165">
        <f t="shared" si="30"/>
        <v>600</v>
      </c>
      <c r="C118" s="1138"/>
      <c r="D118" s="158">
        <f t="shared" si="31"/>
        <v>33553920</v>
      </c>
      <c r="E118" s="1146">
        <f t="shared" si="32"/>
        <v>30000000</v>
      </c>
      <c r="F118" s="1147"/>
      <c r="G118" s="1148"/>
      <c r="H118" s="1142">
        <v>600000000</v>
      </c>
      <c r="I118" s="1142">
        <v>100000000</v>
      </c>
      <c r="J118" s="1142">
        <v>100000000</v>
      </c>
      <c r="K118" s="1142">
        <v>100000000</v>
      </c>
      <c r="L118" s="1142">
        <v>100000000</v>
      </c>
      <c r="M118" s="1183" t="s">
        <v>450</v>
      </c>
      <c r="N118" s="1184"/>
      <c r="O118" s="1184"/>
      <c r="P118" s="1185"/>
      <c r="Q118" s="52"/>
      <c r="R118" s="52"/>
      <c r="S118" s="52"/>
      <c r="T118" s="52"/>
      <c r="U118" s="52"/>
      <c r="V118" s="52"/>
      <c r="W118" s="52"/>
      <c r="X118" s="52"/>
      <c r="Y118" s="52"/>
      <c r="Z118" s="52"/>
      <c r="AA118" s="52"/>
      <c r="AB118" s="53"/>
    </row>
    <row r="119" spans="1:28" hidden="1" outlineLevel="1" x14ac:dyDescent="0.35">
      <c r="A119" s="45"/>
      <c r="B119" s="1166">
        <f t="shared" si="30"/>
        <v>600.000001</v>
      </c>
      <c r="C119" s="1164"/>
      <c r="D119" s="146">
        <f t="shared" si="31"/>
        <v>33553920</v>
      </c>
      <c r="E119" s="1134">
        <f t="shared" si="32"/>
        <v>30000000.050000001</v>
      </c>
      <c r="F119" s="1135"/>
      <c r="G119" s="1136"/>
      <c r="H119" s="1143">
        <v>600000001</v>
      </c>
      <c r="I119" s="1144">
        <v>100000000</v>
      </c>
      <c r="J119" s="1144">
        <v>100000000</v>
      </c>
      <c r="K119" s="1144">
        <v>100000000</v>
      </c>
      <c r="L119" s="1145">
        <v>100000000</v>
      </c>
      <c r="M119" s="1143" t="s">
        <v>185</v>
      </c>
      <c r="N119" s="1144" t="s">
        <v>160</v>
      </c>
      <c r="O119" s="1144" t="s">
        <v>160</v>
      </c>
      <c r="P119" s="1144" t="s">
        <v>160</v>
      </c>
      <c r="Q119" s="52"/>
      <c r="R119" s="52"/>
      <c r="S119" s="52"/>
      <c r="T119" s="52"/>
      <c r="U119" s="52"/>
      <c r="V119" s="52"/>
      <c r="W119" s="52"/>
      <c r="X119" s="52"/>
      <c r="Y119" s="52"/>
      <c r="Z119" s="52"/>
      <c r="AA119" s="52"/>
      <c r="AB119" s="53"/>
    </row>
    <row r="120" spans="1:28" hidden="1" outlineLevel="1" x14ac:dyDescent="0.35">
      <c r="A120" s="45"/>
      <c r="B120" s="1165">
        <f t="shared" si="30"/>
        <v>622.08000000000004</v>
      </c>
      <c r="C120" s="1138"/>
      <c r="D120" s="158">
        <f t="shared" si="31"/>
        <v>33553920</v>
      </c>
      <c r="E120" s="1146">
        <f t="shared" si="32"/>
        <v>31104000</v>
      </c>
      <c r="F120" s="1147"/>
      <c r="G120" s="1148"/>
      <c r="H120" s="1142">
        <v>622080000</v>
      </c>
      <c r="I120" s="1142">
        <v>622080000</v>
      </c>
      <c r="J120" s="1142">
        <v>622080000</v>
      </c>
      <c r="K120" s="1142">
        <v>622080000</v>
      </c>
      <c r="L120" s="1142">
        <v>622080000</v>
      </c>
      <c r="M120" s="1183" t="s">
        <v>185</v>
      </c>
      <c r="N120" s="1184" t="s">
        <v>160</v>
      </c>
      <c r="O120" s="1184" t="s">
        <v>160</v>
      </c>
      <c r="P120" s="1185" t="s">
        <v>160</v>
      </c>
      <c r="Q120" s="52"/>
      <c r="R120" s="52"/>
      <c r="S120" s="52"/>
      <c r="T120" s="52"/>
      <c r="U120" s="52"/>
      <c r="V120" s="52"/>
      <c r="W120" s="52"/>
      <c r="X120" s="52"/>
      <c r="Y120" s="52"/>
      <c r="Z120" s="52"/>
      <c r="AA120" s="52"/>
      <c r="AB120" s="53"/>
    </row>
    <row r="121" spans="1:28" hidden="1" outlineLevel="1" x14ac:dyDescent="0.35">
      <c r="A121" s="45"/>
      <c r="B121" s="1166">
        <f t="shared" si="30"/>
        <v>622.08000100000004</v>
      </c>
      <c r="C121" s="1164"/>
      <c r="D121" s="146">
        <f t="shared" si="31"/>
        <v>33553920</v>
      </c>
      <c r="E121" s="1134">
        <f t="shared" si="32"/>
        <v>31104000.050000001</v>
      </c>
      <c r="F121" s="1135"/>
      <c r="G121" s="1136"/>
      <c r="H121" s="1143">
        <v>622080001</v>
      </c>
      <c r="I121" s="1144">
        <v>622080001</v>
      </c>
      <c r="J121" s="1144">
        <v>622080001</v>
      </c>
      <c r="K121" s="1144">
        <v>622080001</v>
      </c>
      <c r="L121" s="1145">
        <v>622080001</v>
      </c>
      <c r="M121" s="1143" t="s">
        <v>150</v>
      </c>
      <c r="N121" s="1144" t="s">
        <v>150</v>
      </c>
      <c r="O121" s="1144" t="s">
        <v>150</v>
      </c>
      <c r="P121" s="1144" t="s">
        <v>150</v>
      </c>
      <c r="Q121" s="52"/>
      <c r="R121" s="52"/>
      <c r="S121" s="52"/>
      <c r="T121" s="52"/>
      <c r="U121" s="52"/>
      <c r="V121" s="52"/>
      <c r="W121" s="52"/>
      <c r="X121" s="52"/>
      <c r="Y121" s="52"/>
      <c r="Z121" s="52"/>
      <c r="AA121" s="52"/>
      <c r="AB121" s="53"/>
    </row>
    <row r="122" spans="1:28" hidden="1" outlineLevel="1" x14ac:dyDescent="0.35">
      <c r="A122" s="45"/>
      <c r="B122" s="1165">
        <f t="shared" si="30"/>
        <v>1000</v>
      </c>
      <c r="C122" s="1138"/>
      <c r="D122" s="158">
        <f t="shared" si="31"/>
        <v>67107840</v>
      </c>
      <c r="E122" s="1146">
        <f t="shared" si="32"/>
        <v>50000000</v>
      </c>
      <c r="F122" s="1147"/>
      <c r="G122" s="1148"/>
      <c r="H122" s="1142">
        <v>1000000000</v>
      </c>
      <c r="I122" s="1142">
        <v>1000000000</v>
      </c>
      <c r="J122" s="1142">
        <v>1000000000</v>
      </c>
      <c r="K122" s="1142">
        <v>1000000000</v>
      </c>
      <c r="L122" s="1142">
        <v>1000000000</v>
      </c>
      <c r="M122" s="1183" t="s">
        <v>150</v>
      </c>
      <c r="N122" s="1184" t="s">
        <v>150</v>
      </c>
      <c r="O122" s="1184" t="s">
        <v>150</v>
      </c>
      <c r="P122" s="1185" t="s">
        <v>150</v>
      </c>
      <c r="Q122" s="52"/>
      <c r="R122" s="52"/>
      <c r="S122" s="52"/>
      <c r="T122" s="52"/>
      <c r="U122" s="52"/>
      <c r="V122" s="52"/>
      <c r="W122" s="52"/>
      <c r="X122" s="52"/>
      <c r="Y122" s="52"/>
      <c r="Z122" s="52"/>
      <c r="AA122" s="52"/>
      <c r="AB122" s="53"/>
    </row>
    <row r="123" spans="1:28" hidden="1" outlineLevel="1" x14ac:dyDescent="0.35">
      <c r="A123" s="45"/>
      <c r="B123" s="1166">
        <f t="shared" si="30"/>
        <v>1000.000001</v>
      </c>
      <c r="C123" s="1164"/>
      <c r="D123" s="146">
        <f t="shared" si="31"/>
        <v>67107840</v>
      </c>
      <c r="E123" s="1134">
        <f t="shared" si="32"/>
        <v>50000000.050000004</v>
      </c>
      <c r="F123" s="1135"/>
      <c r="G123" s="1136"/>
      <c r="H123" s="1143">
        <v>1000000001</v>
      </c>
      <c r="I123" s="1144">
        <v>1000000001</v>
      </c>
      <c r="J123" s="1144">
        <v>1000000001</v>
      </c>
      <c r="K123" s="1144">
        <v>1000000001</v>
      </c>
      <c r="L123" s="1145">
        <v>1000000001</v>
      </c>
      <c r="M123" s="1143" t="s">
        <v>187</v>
      </c>
      <c r="N123" s="1144" t="s">
        <v>161</v>
      </c>
      <c r="O123" s="1144" t="s">
        <v>161</v>
      </c>
      <c r="P123" s="1144" t="s">
        <v>161</v>
      </c>
      <c r="Q123" s="52"/>
      <c r="R123" s="52"/>
      <c r="S123" s="52"/>
      <c r="T123" s="52"/>
      <c r="U123" s="52"/>
      <c r="V123" s="52"/>
      <c r="W123" s="52"/>
      <c r="X123" s="52"/>
      <c r="Y123" s="52"/>
      <c r="Z123" s="52"/>
      <c r="AA123" s="52"/>
      <c r="AB123" s="53"/>
    </row>
    <row r="124" spans="1:28" hidden="1" outlineLevel="1" x14ac:dyDescent="0.35">
      <c r="A124" s="45"/>
      <c r="B124" s="1165">
        <f t="shared" si="30"/>
        <v>1243.68</v>
      </c>
      <c r="C124" s="1138"/>
      <c r="D124" s="158">
        <f t="shared" si="31"/>
        <v>67107840</v>
      </c>
      <c r="E124" s="1146">
        <f t="shared" si="32"/>
        <v>62184000</v>
      </c>
      <c r="F124" s="1147"/>
      <c r="G124" s="1148"/>
      <c r="H124" s="1142">
        <v>1243680000</v>
      </c>
      <c r="I124" s="1142">
        <v>1243680000</v>
      </c>
      <c r="J124" s="1142">
        <v>1243680000</v>
      </c>
      <c r="K124" s="1142">
        <v>1243680000</v>
      </c>
      <c r="L124" s="1142">
        <v>1243680000</v>
      </c>
      <c r="M124" s="1183" t="s">
        <v>187</v>
      </c>
      <c r="N124" s="1184" t="s">
        <v>161</v>
      </c>
      <c r="O124" s="1184" t="s">
        <v>161</v>
      </c>
      <c r="P124" s="1185" t="s">
        <v>161</v>
      </c>
      <c r="Q124" s="52"/>
      <c r="R124" s="52"/>
      <c r="S124" s="52"/>
      <c r="T124" s="52"/>
      <c r="U124" s="52"/>
      <c r="V124" s="52"/>
      <c r="W124" s="52"/>
      <c r="X124" s="52"/>
      <c r="Y124" s="52"/>
      <c r="Z124" s="52"/>
      <c r="AA124" s="52"/>
      <c r="AB124" s="53"/>
    </row>
    <row r="125" spans="1:28" hidden="1" outlineLevel="1" x14ac:dyDescent="0.35">
      <c r="A125" s="45"/>
      <c r="B125" s="1166">
        <f t="shared" si="30"/>
        <v>1243.6800009999999</v>
      </c>
      <c r="C125" s="1164"/>
      <c r="D125" s="146">
        <f t="shared" si="31"/>
        <v>67107840</v>
      </c>
      <c r="E125" s="1134">
        <f t="shared" si="32"/>
        <v>62184000.050000004</v>
      </c>
      <c r="F125" s="1135"/>
      <c r="G125" s="1136"/>
      <c r="H125" s="1143">
        <v>1243680001</v>
      </c>
      <c r="I125" s="1144">
        <v>1243680001</v>
      </c>
      <c r="J125" s="1144">
        <v>1243680001</v>
      </c>
      <c r="K125" s="1144">
        <v>1243680001</v>
      </c>
      <c r="L125" s="1145">
        <v>1243680001</v>
      </c>
      <c r="M125" s="1143" t="s">
        <v>186</v>
      </c>
      <c r="N125" s="1144" t="s">
        <v>162</v>
      </c>
      <c r="O125" s="1144" t="s">
        <v>162</v>
      </c>
      <c r="P125" s="1144" t="s">
        <v>162</v>
      </c>
      <c r="Q125" s="52"/>
      <c r="R125" s="52"/>
      <c r="S125" s="52"/>
      <c r="T125" s="52"/>
      <c r="U125" s="52"/>
      <c r="V125" s="52"/>
      <c r="W125" s="52"/>
      <c r="X125" s="52"/>
      <c r="Y125" s="52"/>
      <c r="Z125" s="52"/>
      <c r="AA125" s="52"/>
      <c r="AB125" s="53"/>
    </row>
    <row r="126" spans="1:28" hidden="1" outlineLevel="1" x14ac:dyDescent="0.35">
      <c r="A126" s="45"/>
      <c r="B126" s="1165">
        <f t="shared" si="30"/>
        <v>2488.3200000000002</v>
      </c>
      <c r="C126" s="1138"/>
      <c r="D126" s="158">
        <f t="shared" si="31"/>
        <v>134215680</v>
      </c>
      <c r="E126" s="1146">
        <f t="shared" si="32"/>
        <v>124416000</v>
      </c>
      <c r="F126" s="1147"/>
      <c r="G126" s="1148"/>
      <c r="H126" s="1142">
        <v>2488320000</v>
      </c>
      <c r="I126" s="1142">
        <v>2488320000</v>
      </c>
      <c r="J126" s="1142">
        <v>2488320000</v>
      </c>
      <c r="K126" s="1142">
        <v>2488320000</v>
      </c>
      <c r="L126" s="1142">
        <v>2488320000</v>
      </c>
      <c r="M126" s="1183" t="s">
        <v>186</v>
      </c>
      <c r="N126" s="1184" t="s">
        <v>162</v>
      </c>
      <c r="O126" s="1184" t="s">
        <v>162</v>
      </c>
      <c r="P126" s="1185" t="s">
        <v>162</v>
      </c>
      <c r="Q126" s="52"/>
      <c r="R126" s="52"/>
      <c r="S126" s="52"/>
      <c r="T126" s="52"/>
      <c r="U126" s="52"/>
      <c r="V126" s="52"/>
      <c r="W126" s="52"/>
      <c r="X126" s="52"/>
      <c r="Y126" s="52"/>
      <c r="Z126" s="52"/>
      <c r="AA126" s="52"/>
      <c r="AB126" s="53"/>
    </row>
    <row r="127" spans="1:28" hidden="1" outlineLevel="1" x14ac:dyDescent="0.35">
      <c r="A127" s="45"/>
      <c r="B127" s="1166">
        <f t="shared" si="30"/>
        <v>2488.320001</v>
      </c>
      <c r="C127" s="1164"/>
      <c r="D127" s="146">
        <f t="shared" si="31"/>
        <v>134215680</v>
      </c>
      <c r="E127" s="1134">
        <f t="shared" si="32"/>
        <v>124416000.05000001</v>
      </c>
      <c r="F127" s="1135"/>
      <c r="G127" s="1136"/>
      <c r="H127" s="1143">
        <v>2488320001</v>
      </c>
      <c r="I127" s="1144">
        <v>2488320001</v>
      </c>
      <c r="J127" s="1144">
        <v>2488320001</v>
      </c>
      <c r="K127" s="1144">
        <v>2488320001</v>
      </c>
      <c r="L127" s="1145">
        <v>2488320001</v>
      </c>
      <c r="M127" s="1143" t="s">
        <v>188</v>
      </c>
      <c r="N127" s="1144" t="s">
        <v>164</v>
      </c>
      <c r="O127" s="1144" t="s">
        <v>164</v>
      </c>
      <c r="P127" s="1144" t="s">
        <v>164</v>
      </c>
      <c r="Q127" s="52"/>
      <c r="R127" s="52"/>
      <c r="S127" s="52"/>
      <c r="T127" s="52"/>
      <c r="U127" s="52"/>
      <c r="V127" s="52"/>
      <c r="W127" s="52"/>
      <c r="X127" s="52"/>
      <c r="Y127" s="52"/>
      <c r="Z127" s="52"/>
      <c r="AA127" s="52"/>
      <c r="AB127" s="53"/>
    </row>
    <row r="128" spans="1:28" hidden="1" outlineLevel="1" x14ac:dyDescent="0.35">
      <c r="A128" s="45"/>
      <c r="B128" s="1165">
        <f t="shared" si="30"/>
        <v>4976.6400000000003</v>
      </c>
      <c r="C128" s="1138"/>
      <c r="D128" s="158">
        <f t="shared" si="31"/>
        <v>268431360</v>
      </c>
      <c r="E128" s="1146">
        <f t="shared" si="32"/>
        <v>248832000</v>
      </c>
      <c r="F128" s="1147"/>
      <c r="G128" s="1148"/>
      <c r="H128" s="1142">
        <v>4976640000</v>
      </c>
      <c r="I128" s="1142">
        <v>4976640000</v>
      </c>
      <c r="J128" s="1142">
        <v>4976640000</v>
      </c>
      <c r="K128" s="1142">
        <v>4976640000</v>
      </c>
      <c r="L128" s="1142">
        <v>4976640000</v>
      </c>
      <c r="M128" s="1183" t="s">
        <v>188</v>
      </c>
      <c r="N128" s="1184" t="s">
        <v>164</v>
      </c>
      <c r="O128" s="1184" t="s">
        <v>164</v>
      </c>
      <c r="P128" s="1185" t="s">
        <v>164</v>
      </c>
      <c r="Q128" s="52"/>
      <c r="R128" s="52"/>
      <c r="S128" s="52"/>
      <c r="T128" s="52"/>
      <c r="U128" s="52"/>
      <c r="V128" s="52"/>
      <c r="W128" s="52"/>
      <c r="X128" s="52"/>
      <c r="Y128" s="52"/>
      <c r="Z128" s="52"/>
      <c r="AA128" s="52"/>
      <c r="AB128" s="53"/>
    </row>
    <row r="129" spans="1:29" hidden="1" outlineLevel="1" x14ac:dyDescent="0.35">
      <c r="A129" s="45"/>
      <c r="B129" s="1166">
        <f t="shared" si="30"/>
        <v>4976.6400009999998</v>
      </c>
      <c r="C129" s="1164"/>
      <c r="D129" s="146">
        <f t="shared" si="31"/>
        <v>268431360</v>
      </c>
      <c r="E129" s="1134">
        <f t="shared" si="32"/>
        <v>248832000.05000001</v>
      </c>
      <c r="F129" s="1135"/>
      <c r="G129" s="1136"/>
      <c r="H129" s="1143">
        <v>4976640001</v>
      </c>
      <c r="I129" s="1144">
        <v>4976640001</v>
      </c>
      <c r="J129" s="1144">
        <v>4976640001</v>
      </c>
      <c r="K129" s="1144">
        <v>4976640001</v>
      </c>
      <c r="L129" s="1145">
        <v>4976640001</v>
      </c>
      <c r="M129" s="1143" t="s">
        <v>163</v>
      </c>
      <c r="N129" s="1144" t="s">
        <v>163</v>
      </c>
      <c r="O129" s="1144" t="s">
        <v>163</v>
      </c>
      <c r="P129" s="1144" t="s">
        <v>163</v>
      </c>
      <c r="Q129" s="52"/>
      <c r="R129" s="52"/>
      <c r="S129" s="52"/>
      <c r="T129" s="52"/>
      <c r="U129" s="52"/>
      <c r="V129" s="52"/>
      <c r="W129" s="52"/>
      <c r="X129" s="52"/>
      <c r="Y129" s="52"/>
      <c r="Z129" s="52"/>
      <c r="AA129" s="52"/>
      <c r="AB129" s="53"/>
    </row>
    <row r="130" spans="1:29" hidden="1" outlineLevel="1" x14ac:dyDescent="0.35">
      <c r="A130" s="45"/>
      <c r="B130" s="1165">
        <f t="shared" si="30"/>
        <v>10000</v>
      </c>
      <c r="C130" s="1138"/>
      <c r="D130" s="158">
        <f t="shared" si="31"/>
        <v>536862720</v>
      </c>
      <c r="E130" s="1146">
        <f t="shared" si="32"/>
        <v>500000000</v>
      </c>
      <c r="F130" s="1147"/>
      <c r="G130" s="1148"/>
      <c r="H130" s="1142">
        <v>10000000000</v>
      </c>
      <c r="I130" s="1142">
        <v>10000000000</v>
      </c>
      <c r="J130" s="1142">
        <v>10000000000</v>
      </c>
      <c r="K130" s="1142">
        <v>10000000000</v>
      </c>
      <c r="L130" s="1142">
        <v>10000000000</v>
      </c>
      <c r="M130" s="1183" t="s">
        <v>163</v>
      </c>
      <c r="N130" s="1184"/>
      <c r="O130" s="1184"/>
      <c r="P130" s="1185"/>
      <c r="Q130" s="52"/>
      <c r="R130" s="52"/>
      <c r="S130" s="52"/>
      <c r="T130" s="52"/>
      <c r="U130" s="52"/>
      <c r="V130" s="52"/>
      <c r="W130" s="52"/>
      <c r="X130" s="52"/>
      <c r="Y130" s="52"/>
      <c r="Z130" s="52"/>
      <c r="AA130" s="52"/>
      <c r="AB130" s="53"/>
    </row>
    <row r="131" spans="1:29" hidden="1" outlineLevel="1" x14ac:dyDescent="0.35">
      <c r="A131" s="45"/>
      <c r="B131" s="37"/>
      <c r="C131" s="37"/>
      <c r="D131" s="37"/>
      <c r="H131" s="21"/>
      <c r="I131" s="21"/>
      <c r="J131" s="21"/>
      <c r="K131" s="21"/>
      <c r="L131" s="21"/>
      <c r="M131" s="37"/>
      <c r="N131" s="37"/>
      <c r="O131" s="37"/>
      <c r="P131" s="37"/>
      <c r="Q131" s="52"/>
      <c r="R131" s="52"/>
      <c r="S131" s="52"/>
      <c r="T131" s="52"/>
      <c r="U131" s="52"/>
      <c r="V131" s="52"/>
      <c r="W131" s="52"/>
      <c r="X131" s="52"/>
      <c r="Y131" s="52"/>
      <c r="Z131" s="52"/>
      <c r="AA131" s="52"/>
      <c r="AB131" s="53"/>
    </row>
    <row r="132" spans="1:29" ht="15" hidden="1" outlineLevel="1" thickBot="1" x14ac:dyDescent="0.4">
      <c r="A132" s="45"/>
      <c r="B132" s="1237" t="s">
        <v>310</v>
      </c>
      <c r="C132" s="1238"/>
      <c r="D132" s="1238"/>
      <c r="E132" s="1238"/>
      <c r="F132" s="1238"/>
      <c r="G132" s="1238"/>
      <c r="H132" s="1239"/>
      <c r="I132" s="55"/>
      <c r="J132" s="21"/>
      <c r="K132" s="21"/>
      <c r="L132" s="21"/>
      <c r="M132" s="37"/>
      <c r="N132" s="37"/>
      <c r="O132" s="37"/>
      <c r="P132" s="37"/>
      <c r="Q132" s="52"/>
      <c r="R132" s="52"/>
      <c r="S132" s="52"/>
      <c r="T132" s="52"/>
      <c r="U132" s="52"/>
      <c r="V132" s="52"/>
      <c r="W132" s="52"/>
      <c r="X132" s="52"/>
      <c r="Y132" s="52"/>
      <c r="Z132" s="52"/>
      <c r="AA132" s="52"/>
      <c r="AB132" s="53"/>
    </row>
    <row r="133" spans="1:29" ht="15" hidden="1" outlineLevel="1" thickTop="1" x14ac:dyDescent="0.35">
      <c r="A133" s="45"/>
      <c r="B133" s="1169" t="s">
        <v>311</v>
      </c>
      <c r="C133" s="1170"/>
      <c r="D133" s="1170"/>
      <c r="E133" s="1170"/>
      <c r="F133" s="1170"/>
      <c r="G133" s="1171"/>
      <c r="H133" s="268" t="e">
        <f>VLOOKUP(AvailNetCapacity,tblTCPWindowSize,2,TRUE)</f>
        <v>#N/A</v>
      </c>
      <c r="K133" s="21"/>
      <c r="L133" s="21"/>
      <c r="M133" s="37"/>
      <c r="N133" s="37"/>
      <c r="O133" s="37"/>
      <c r="P133" s="37"/>
      <c r="Q133" s="52"/>
      <c r="R133" s="52"/>
      <c r="S133" s="52"/>
      <c r="T133" s="52"/>
      <c r="U133" s="52"/>
      <c r="V133" s="52"/>
      <c r="W133" s="52"/>
      <c r="X133" s="52"/>
      <c r="Y133" s="52"/>
      <c r="Z133" s="52"/>
      <c r="AA133" s="52"/>
      <c r="AB133" s="53"/>
    </row>
    <row r="134" spans="1:29" collapsed="1" x14ac:dyDescent="0.35">
      <c r="A134" s="45"/>
      <c r="B134" s="58"/>
      <c r="C134" s="19"/>
      <c r="D134" s="19"/>
      <c r="E134" s="19"/>
      <c r="F134" s="19"/>
      <c r="G134" s="40"/>
      <c r="H134" s="40"/>
      <c r="I134" s="40"/>
      <c r="J134" s="40"/>
      <c r="K134" s="40"/>
      <c r="L134" s="40"/>
      <c r="M134" s="40"/>
      <c r="N134" s="40"/>
      <c r="O134" s="40"/>
      <c r="P134" s="40"/>
      <c r="Q134" s="40"/>
      <c r="R134" s="40"/>
      <c r="S134" s="40"/>
      <c r="T134" s="40"/>
      <c r="U134" s="40"/>
      <c r="V134" s="40"/>
      <c r="W134" s="56"/>
      <c r="X134" s="40"/>
      <c r="Y134" s="40"/>
      <c r="Z134" s="40"/>
      <c r="AA134" s="40"/>
      <c r="AB134" s="57"/>
    </row>
    <row r="135" spans="1:29" x14ac:dyDescent="0.35">
      <c r="A135" s="45"/>
      <c r="B135" s="1217" t="s">
        <v>434</v>
      </c>
      <c r="C135" s="1217"/>
      <c r="D135" s="1217"/>
      <c r="E135" s="1217"/>
      <c r="F135" s="1217"/>
      <c r="G135" s="1217"/>
      <c r="H135" s="1217"/>
      <c r="I135" s="1217"/>
      <c r="J135" s="1217"/>
      <c r="K135" s="1217"/>
      <c r="L135" s="1217"/>
      <c r="M135" s="1217"/>
      <c r="N135" s="1217"/>
      <c r="O135" s="1217"/>
      <c r="P135" s="1217"/>
      <c r="Q135" s="1217"/>
      <c r="R135" s="1217"/>
      <c r="S135" s="1217"/>
      <c r="T135" s="1217"/>
      <c r="U135" s="1217"/>
      <c r="V135" s="1217"/>
      <c r="W135" s="1217"/>
      <c r="X135" s="1217"/>
      <c r="Y135" s="1217"/>
      <c r="Z135" s="1217"/>
      <c r="AA135" s="1217"/>
      <c r="AB135" s="1217"/>
      <c r="AC135" s="61"/>
    </row>
    <row r="136" spans="1:29" x14ac:dyDescent="0.35">
      <c r="A136" s="45"/>
      <c r="I136" s="21"/>
      <c r="J136" s="21"/>
      <c r="K136" s="21"/>
      <c r="L136" s="35"/>
      <c r="M136" s="35"/>
      <c r="N136" s="35"/>
      <c r="O136" s="35"/>
      <c r="P136" s="35"/>
      <c r="Q136" s="35"/>
      <c r="R136" s="35"/>
      <c r="S136" s="35"/>
      <c r="T136" s="35"/>
      <c r="U136" s="35"/>
      <c r="V136" s="35"/>
      <c r="W136" s="37"/>
      <c r="X136" s="37"/>
      <c r="Y136" s="37"/>
      <c r="Z136" s="37"/>
      <c r="AB136" s="45"/>
    </row>
    <row r="137" spans="1:29" ht="15" thickBot="1" x14ac:dyDescent="0.4">
      <c r="A137" s="45"/>
      <c r="B137" s="1174" t="s">
        <v>522</v>
      </c>
      <c r="C137" s="1175"/>
      <c r="D137" s="1175"/>
      <c r="E137" s="1175"/>
      <c r="F137" s="1175"/>
      <c r="G137" s="1175"/>
      <c r="H137" s="1175"/>
      <c r="I137" s="58"/>
      <c r="J137" s="58"/>
      <c r="K137" s="58"/>
      <c r="L137" s="1175" t="s">
        <v>523</v>
      </c>
      <c r="M137" s="1175"/>
      <c r="N137" s="1175"/>
      <c r="O137" s="1175"/>
      <c r="P137" s="1175"/>
      <c r="Q137" s="1175"/>
      <c r="R137" s="1175"/>
      <c r="S137" s="1175"/>
      <c r="T137" s="1175"/>
      <c r="U137" s="1175"/>
      <c r="V137" s="1175"/>
      <c r="W137" s="1175"/>
      <c r="X137" s="1175"/>
      <c r="Y137" s="1175"/>
      <c r="Z137" s="1175"/>
      <c r="AB137" s="45"/>
    </row>
    <row r="138" spans="1:29" ht="15" thickTop="1" x14ac:dyDescent="0.35">
      <c r="A138" s="45"/>
      <c r="B138" s="1210" t="s">
        <v>1940</v>
      </c>
      <c r="C138" s="1211"/>
      <c r="D138" s="1211"/>
      <c r="E138" s="1212"/>
      <c r="F138" s="1213" t="str">
        <f>IF(AND(calcSiteResilienceEnabled,calcHAOption,NOT(ValidationCheck),SUM(LogH1:LogH24)&lt;&gt;0),DBLogBandwidth+IF(ServerVersion=2016,0,PeakCIBandwidth),strEmpty)</f>
        <v>--</v>
      </c>
      <c r="G138" s="1214"/>
      <c r="H138" s="1214"/>
      <c r="I138" s="59"/>
      <c r="J138" s="59"/>
      <c r="K138" s="19"/>
      <c r="L138" s="1215" t="s">
        <v>410</v>
      </c>
      <c r="M138" s="1215"/>
      <c r="N138" s="1215"/>
      <c r="O138" s="1215"/>
      <c r="P138" s="1215"/>
      <c r="Q138" s="1215"/>
      <c r="R138" s="1215"/>
      <c r="S138" s="1215"/>
      <c r="T138" s="1215"/>
      <c r="U138" s="1215"/>
      <c r="V138" s="1216"/>
      <c r="W138" s="1240">
        <f>IF(AND(calcHAOption,calcSiteResilienceEnabled),IF(RPO=0,"Near 0 Hours",RPO),strEmpty)</f>
        <v>24</v>
      </c>
      <c r="X138" s="1241"/>
      <c r="Y138" s="1241"/>
      <c r="Z138" s="1241"/>
      <c r="AB138" s="45"/>
    </row>
    <row r="139" spans="1:29" x14ac:dyDescent="0.35">
      <c r="A139" s="45"/>
      <c r="B139" s="1176" t="s">
        <v>1939</v>
      </c>
      <c r="C139" s="1177"/>
      <c r="D139" s="1177"/>
      <c r="E139" s="1178"/>
      <c r="F139" s="1179" t="str">
        <f>IF(AND(calcSiteResilienceEnabled,calcHAOption,NOT(ValidationCheck),SUM(LogH1:LogH24)&lt;&gt;0,calcTotNumLagCopies&gt;0),DBLogBandwidth+PeakCIBandwidth,strEmpty)</f>
        <v>--</v>
      </c>
      <c r="G139" s="1180"/>
      <c r="H139" s="1180"/>
      <c r="I139" s="59"/>
      <c r="J139" s="59"/>
      <c r="K139" s="19"/>
      <c r="L139" s="1225" t="s">
        <v>1941</v>
      </c>
      <c r="M139" s="1225"/>
      <c r="N139" s="1225"/>
      <c r="O139" s="1225"/>
      <c r="P139" s="1225"/>
      <c r="Q139" s="1225"/>
      <c r="R139" s="1225"/>
      <c r="S139" s="1225"/>
      <c r="T139" s="1225"/>
      <c r="U139" s="1225"/>
      <c r="V139" s="1226"/>
      <c r="W139" s="1179" t="str">
        <f>IF(AND(calcHAOption,calcSiteResilienceEnabled,NOT(ValidationCheck),SUM(LogH1:LogH24)&lt;&gt;0),(HLOOKUP(calcRPO,tblSCRBndwdth,2,FALSE)*IF(NetworkCompression="Enabled",1-varLogCompressionFactor,1))+IF(ServerVersion=2016,0,HLOOKUP(calcRPO,tblSCRBndwdth,2,FALSE)),strEmpty)</f>
        <v>--</v>
      </c>
      <c r="X139" s="1180"/>
      <c r="Y139" s="1180"/>
      <c r="Z139" s="1180"/>
      <c r="AB139" s="45"/>
    </row>
    <row r="140" spans="1:29" x14ac:dyDescent="0.35">
      <c r="A140" s="45"/>
      <c r="B140" s="1181" t="s">
        <v>411</v>
      </c>
      <c r="C140" s="1181"/>
      <c r="D140" s="1181"/>
      <c r="E140" s="1181"/>
      <c r="F140" s="1236" t="str">
        <f>IF(AND(calcSiteResilienceEnabled,calcHAOption,NOT(ValidationCheck),SUM(LogH1:LogH24)&lt;&gt;0),DAGLogBandwidth+PeakCIDAGBandwidth,strEmpty)</f>
        <v>--</v>
      </c>
      <c r="G140" s="1236"/>
      <c r="H140" s="1236"/>
      <c r="I140" s="59"/>
      <c r="J140" s="59"/>
      <c r="K140" s="19"/>
      <c r="L140" s="1181" t="s">
        <v>1942</v>
      </c>
      <c r="M140" s="1181"/>
      <c r="N140" s="1181"/>
      <c r="O140" s="1181"/>
      <c r="P140" s="1181"/>
      <c r="Q140" s="1181"/>
      <c r="R140" s="1181"/>
      <c r="S140" s="1181"/>
      <c r="T140" s="1181"/>
      <c r="U140" s="1181"/>
      <c r="V140" s="1182"/>
      <c r="W140" s="1208" t="str">
        <f>IF(AND(calcHAOption,calcSiteResilienceEnabled,NOT(ValidationCheck),SUM(LogH1:LogH24)&lt;&gt;0,calcTotNumLagCopies&gt;0),(HLOOKUP(calcRPO,tblSCRBndwdth,2,FALSE)*IF(NetworkCompression="Enabled",1-varLogCompressionFactor,1))+HLOOKUP(calcRPO,tblSCRBndwdth,2,FALSE),strEmpty)</f>
        <v>--</v>
      </c>
      <c r="X140" s="1209"/>
      <c r="Y140" s="1209"/>
      <c r="Z140" s="1209"/>
      <c r="AB140" s="45"/>
    </row>
    <row r="141" spans="1:29" x14ac:dyDescent="0.35">
      <c r="A141" s="45"/>
      <c r="B141" s="1176" t="s">
        <v>1943</v>
      </c>
      <c r="C141" s="1177"/>
      <c r="D141" s="1177"/>
      <c r="E141" s="1178"/>
      <c r="F141" s="1179" t="str">
        <f>IF(AND(calcSiteResilienceEnabled,calcHAOption,NOT(ValidationCheck),SUM(LogH1:LogH24)&lt;&gt;0),TotPeakLogCIBandwidth*calcNumDAGs,strEmpty)</f>
        <v>--</v>
      </c>
      <c r="G141" s="1180"/>
      <c r="H141" s="1180"/>
      <c r="I141" s="46"/>
      <c r="J141" s="46"/>
      <c r="K141" s="46"/>
      <c r="L141" s="1225" t="s">
        <v>412</v>
      </c>
      <c r="M141" s="1225"/>
      <c r="N141" s="1225"/>
      <c r="O141" s="1225"/>
      <c r="P141" s="1225"/>
      <c r="Q141" s="1225"/>
      <c r="R141" s="1225"/>
      <c r="S141" s="1225"/>
      <c r="T141" s="1225"/>
      <c r="U141" s="1225"/>
      <c r="V141" s="1226"/>
      <c r="W141" s="1179" t="str">
        <f>IF(AND(calcHAOption,calcSiteResilienceEnabled,NOT(ValidationCheck),SUM(LogH1:LogH24)&lt;&gt;0),(HLOOKUP(calcRPO,tblSCRBndwdth,2,FALSE)*calcLogStreamsBtwnDCs*IF(NetworkCompression="Enabled",1-varLogCompressionFactor,1))+(HLOOKUP(calcRPO,tblSCRBndwdth,2,FALSE)*calcCIStreamsBtwnDCs),strEmpty)</f>
        <v>--</v>
      </c>
      <c r="X141" s="1180"/>
      <c r="Y141" s="1180"/>
      <c r="Z141" s="1180"/>
      <c r="AB141" s="45"/>
    </row>
    <row r="142" spans="1:29" x14ac:dyDescent="0.35">
      <c r="A142" s="45"/>
      <c r="I142" s="21"/>
      <c r="J142" s="21"/>
      <c r="K142" s="21"/>
      <c r="L142" s="1181" t="s">
        <v>1944</v>
      </c>
      <c r="M142" s="1181"/>
      <c r="N142" s="1181"/>
      <c r="O142" s="1181"/>
      <c r="P142" s="1181"/>
      <c r="Q142" s="1181"/>
      <c r="R142" s="1181"/>
      <c r="S142" s="1181"/>
      <c r="T142" s="1181"/>
      <c r="U142" s="1181"/>
      <c r="V142" s="1182"/>
      <c r="W142" s="1208" t="str">
        <f>IF(AND(calcSiteResilienceEnabled,calcHAOption,NOT(ValidationCheck),SUM(LogH1:LogH24)&lt;&gt;0),TotRPOLogCIBandwidth*calcNumDAGs,strEmpty)</f>
        <v>--</v>
      </c>
      <c r="X142" s="1209"/>
      <c r="Y142" s="1209"/>
      <c r="Z142" s="1209"/>
      <c r="AB142" s="45"/>
    </row>
    <row r="143" spans="1:29" x14ac:dyDescent="0.35">
      <c r="A143" s="45"/>
      <c r="B143" s="35"/>
      <c r="C143" s="35"/>
      <c r="D143" s="35"/>
      <c r="E143" s="35"/>
      <c r="F143" s="60"/>
      <c r="G143" s="60"/>
      <c r="H143" s="60"/>
      <c r="I143" s="21"/>
      <c r="J143" s="21"/>
      <c r="K143" s="21"/>
      <c r="AB143" s="45"/>
    </row>
    <row r="144" spans="1:29" ht="15" thickBot="1" x14ac:dyDescent="0.4">
      <c r="A144" s="45"/>
      <c r="B144" s="1105" t="s">
        <v>205</v>
      </c>
      <c r="C144" s="1105"/>
      <c r="D144" s="1105"/>
      <c r="E144" s="1105"/>
      <c r="F144" s="1105"/>
      <c r="G144" s="1105"/>
      <c r="H144" s="1105"/>
      <c r="I144" s="21"/>
      <c r="J144" s="21"/>
      <c r="K144" s="21"/>
      <c r="L144" s="1175" t="s">
        <v>206</v>
      </c>
      <c r="M144" s="1175"/>
      <c r="N144" s="1175"/>
      <c r="O144" s="1175"/>
      <c r="P144" s="1175"/>
      <c r="Q144" s="1175"/>
      <c r="R144" s="1175"/>
      <c r="S144" s="1175"/>
      <c r="T144" s="1175"/>
      <c r="U144" s="1175"/>
      <c r="V144" s="1175"/>
      <c r="W144" s="1175"/>
      <c r="X144" s="1175"/>
      <c r="Y144" s="1175"/>
      <c r="Z144" s="1175"/>
      <c r="AB144" s="45"/>
    </row>
    <row r="145" spans="1:28" ht="15" thickTop="1" x14ac:dyDescent="0.35">
      <c r="A145" s="45"/>
      <c r="B145" s="1210" t="s">
        <v>151</v>
      </c>
      <c r="C145" s="1211"/>
      <c r="D145" s="1211"/>
      <c r="E145" s="1211"/>
      <c r="F145" s="1212"/>
      <c r="G145" s="1234" t="str">
        <f>NetLinkType</f>
        <v>Gigabit Ethernet</v>
      </c>
      <c r="H145" s="1235"/>
      <c r="I145" s="21"/>
      <c r="J145" s="21"/>
      <c r="K145" s="21"/>
      <c r="L145" s="1228" t="s">
        <v>413</v>
      </c>
      <c r="M145" s="1228"/>
      <c r="N145" s="1228"/>
      <c r="O145" s="1228"/>
      <c r="P145" s="1228"/>
      <c r="Q145" s="1228"/>
      <c r="R145" s="1228"/>
      <c r="S145" s="1228"/>
      <c r="T145" s="1228"/>
      <c r="U145" s="1228"/>
      <c r="V145" s="1229"/>
      <c r="W145" s="1227" t="str">
        <f>IF(AccNetLinkCCR=strEmpty,strEmpty,IF(AccNetLinkCCR="Yes","Use Chosen Link",VLOOKUP(TotPeakLogCIBandwidth*calcNumDAGs,tblRecNetworkLink,12,TRUE)))</f>
        <v>--</v>
      </c>
      <c r="X145" s="1227"/>
      <c r="Y145" s="1227"/>
      <c r="Z145" s="1227"/>
      <c r="AB145" s="45"/>
    </row>
    <row r="146" spans="1:28" x14ac:dyDescent="0.35">
      <c r="A146" s="45"/>
      <c r="B146" s="1225" t="s">
        <v>176</v>
      </c>
      <c r="C146" s="1225"/>
      <c r="D146" s="1225"/>
      <c r="E146" s="1225"/>
      <c r="F146" s="1226"/>
      <c r="G146" s="1232">
        <f>NetLinkLatency</f>
        <v>50</v>
      </c>
      <c r="H146" s="1233"/>
      <c r="I146" s="21"/>
      <c r="J146" s="21"/>
      <c r="K146" s="21"/>
      <c r="L146" s="1225" t="s">
        <v>414</v>
      </c>
      <c r="M146" s="1225"/>
      <c r="N146" s="1225"/>
      <c r="O146" s="1225"/>
      <c r="P146" s="1225"/>
      <c r="Q146" s="1225"/>
      <c r="R146" s="1225"/>
      <c r="S146" s="1225"/>
      <c r="T146" s="1225"/>
      <c r="U146" s="1225"/>
      <c r="V146" s="1226"/>
      <c r="W146" s="1230" t="str">
        <f>IF(AccNetLinkSCR=strEmpty,strEmpty,IF(AccNetLinkSCR="Yes","Use Chosen Link",VLOOKUP(TotRPOLogCIBandwidth*calcNumDAGs,tblRecNetworkLink,12,TRUE)))</f>
        <v>--</v>
      </c>
      <c r="X146" s="1231"/>
      <c r="Y146" s="1231"/>
      <c r="Z146" s="1231"/>
      <c r="AB146" s="45"/>
    </row>
    <row r="147" spans="1:28" x14ac:dyDescent="0.35">
      <c r="A147" s="45"/>
      <c r="B147" s="1181" t="s">
        <v>409</v>
      </c>
      <c r="C147" s="1181"/>
      <c r="D147" s="1181"/>
      <c r="E147" s="1181"/>
      <c r="F147" s="1182"/>
      <c r="G147" s="1227" t="str">
        <f>IF(AND(calcHAOption,calcSiteResilienceEnabled,DAGLogBandwidth&lt;&gt;strEmpty),IF(IF(TCPWindowSize="Default Value",VLOOKUP(NetLinkType,tblNetworkLink,2,FALSE),MIN(TCPWindowSize/(NetLinkLatency/1000)*8,VLOOKUP(NetLinkType,tblNetworkLink,2,FALSE)))&gt;TotPeakLogCIBandwidth*calcNumDAGs*1000000,"Yes","No"),strEmpty)</f>
        <v>--</v>
      </c>
      <c r="H147" s="1227"/>
      <c r="I147" s="21"/>
      <c r="J147" s="21"/>
      <c r="K147" s="21"/>
      <c r="AB147" s="45"/>
    </row>
    <row r="148" spans="1:28" x14ac:dyDescent="0.35">
      <c r="A148" s="45"/>
      <c r="B148" s="1225" t="s">
        <v>408</v>
      </c>
      <c r="C148" s="1225"/>
      <c r="D148" s="1225"/>
      <c r="E148" s="1225"/>
      <c r="F148" s="1226"/>
      <c r="G148" s="1230" t="str">
        <f>IF(TotRPOLogCIBandwidth=strEmpty,strEmpty,IF(IF(TCPWindowSize="Default Value",VLOOKUP(NetLinkType,tblNetworkLink,2,FALSE),MIN(TCPWindowSize/(NetLinkLatency/1000)*8,VLOOKUP(NetLinkType,tblNetworkLink,2,FALSE)))&gt;TotRPOLogCIBandwidth*calcNumDAGs*1000000,"Yes","No"))</f>
        <v>--</v>
      </c>
      <c r="H148" s="1231"/>
      <c r="I148" s="21"/>
      <c r="J148" s="21"/>
      <c r="K148" s="21"/>
      <c r="AB148" s="45"/>
    </row>
    <row r="149" spans="1:28" x14ac:dyDescent="0.35">
      <c r="A149" s="45"/>
      <c r="I149" s="21"/>
      <c r="J149" s="21"/>
      <c r="K149" s="21"/>
      <c r="L149" s="21"/>
      <c r="M149" s="21"/>
      <c r="N149" s="21"/>
      <c r="O149" s="21"/>
      <c r="P149" s="21"/>
      <c r="Q149" s="21"/>
      <c r="R149" s="21"/>
      <c r="S149" s="21"/>
      <c r="T149" s="21"/>
      <c r="U149" s="21"/>
      <c r="V149" s="21"/>
      <c r="W149" s="21"/>
      <c r="X149" s="21"/>
      <c r="AB149" s="45"/>
    </row>
    <row r="150" spans="1:28" ht="15" thickBot="1" x14ac:dyDescent="0.4">
      <c r="A150" s="45"/>
      <c r="B150" s="1217" t="s">
        <v>118</v>
      </c>
      <c r="C150" s="1217"/>
      <c r="D150" s="1217"/>
      <c r="E150" s="1217"/>
      <c r="F150" s="1217"/>
      <c r="G150" s="1217"/>
      <c r="H150" s="1217"/>
      <c r="I150" s="1217"/>
      <c r="J150" s="1217"/>
      <c r="K150" s="1217"/>
      <c r="L150" s="1217"/>
      <c r="M150" s="1217"/>
      <c r="N150" s="1217"/>
      <c r="O150" s="1217"/>
      <c r="P150" s="1217"/>
      <c r="Q150" s="1217"/>
      <c r="R150" s="1217"/>
      <c r="S150" s="1217"/>
      <c r="T150" s="1217"/>
      <c r="U150" s="1217"/>
      <c r="V150" s="1217"/>
      <c r="W150" s="1217"/>
      <c r="X150" s="1217"/>
      <c r="Y150" s="1217"/>
      <c r="Z150" s="1217"/>
      <c r="AA150" s="1217"/>
      <c r="AB150" s="1224"/>
    </row>
    <row r="151" spans="1:28" x14ac:dyDescent="0.35">
      <c r="A151" s="45"/>
      <c r="B151" s="1218" t="str">
        <f>IF(OR(HAOption="CCR",numLagCopies&lt;&gt;0),varLogReplResponse,"N/A")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51" s="1219"/>
      <c r="D151" s="1219"/>
      <c r="E151" s="1219"/>
      <c r="F151" s="1219"/>
      <c r="G151" s="1219"/>
      <c r="H151" s="1219"/>
      <c r="I151" s="1219"/>
      <c r="J151" s="1219"/>
      <c r="K151" s="1219"/>
      <c r="L151" s="1219"/>
      <c r="M151" s="1219"/>
      <c r="N151" s="1219"/>
      <c r="O151" s="1219"/>
      <c r="P151" s="1219"/>
      <c r="Q151" s="1219"/>
      <c r="R151" s="1219"/>
      <c r="S151" s="1219"/>
      <c r="T151" s="1219"/>
      <c r="U151" s="1219"/>
      <c r="V151" s="1219"/>
      <c r="W151" s="1219"/>
      <c r="X151" s="1219"/>
      <c r="Y151" s="1219"/>
      <c r="Z151" s="1219"/>
      <c r="AA151" s="1219"/>
      <c r="AB151" s="1220"/>
    </row>
    <row r="152" spans="1:28" x14ac:dyDescent="0.35">
      <c r="A152" s="45"/>
      <c r="B152" s="1221"/>
      <c r="C152" s="1222"/>
      <c r="D152" s="1222"/>
      <c r="E152" s="1222"/>
      <c r="F152" s="1222"/>
      <c r="G152" s="1222"/>
      <c r="H152" s="1222"/>
      <c r="I152" s="1222"/>
      <c r="J152" s="1222"/>
      <c r="K152" s="1222"/>
      <c r="L152" s="1222"/>
      <c r="M152" s="1222"/>
      <c r="N152" s="1222"/>
      <c r="O152" s="1222"/>
      <c r="P152" s="1222"/>
      <c r="Q152" s="1222"/>
      <c r="R152" s="1222"/>
      <c r="S152" s="1222"/>
      <c r="T152" s="1222"/>
      <c r="U152" s="1222"/>
      <c r="V152" s="1222"/>
      <c r="W152" s="1222"/>
      <c r="X152" s="1222"/>
      <c r="Y152" s="1222"/>
      <c r="Z152" s="1222"/>
      <c r="AA152" s="1222"/>
      <c r="AB152" s="1223"/>
    </row>
    <row r="153" spans="1:28" ht="15" thickBot="1" x14ac:dyDescent="0.4">
      <c r="A153" s="45"/>
      <c r="B153" s="39"/>
      <c r="C153" s="41"/>
      <c r="D153" s="62"/>
      <c r="E153" s="62"/>
      <c r="F153" s="62"/>
      <c r="G153" s="62"/>
      <c r="H153" s="62"/>
      <c r="I153" s="62"/>
      <c r="J153" s="62"/>
      <c r="K153" s="62"/>
      <c r="L153" s="62"/>
      <c r="M153" s="62"/>
      <c r="N153" s="62"/>
      <c r="O153" s="62"/>
      <c r="P153" s="62"/>
      <c r="Q153" s="62"/>
      <c r="R153" s="62"/>
      <c r="S153" s="62"/>
      <c r="T153" s="62"/>
      <c r="U153" s="62"/>
      <c r="V153" s="62"/>
      <c r="W153" s="62"/>
      <c r="X153" s="62"/>
      <c r="Y153" s="62"/>
      <c r="Z153" s="62"/>
      <c r="AA153" s="62"/>
      <c r="AB153" s="63"/>
    </row>
    <row r="154" spans="1:28" x14ac:dyDescent="0.35">
      <c r="B154" s="21"/>
      <c r="C154" s="42"/>
    </row>
  </sheetData>
  <dataConsolidate/>
  <mergeCells count="293">
    <mergeCell ref="M98:P98"/>
    <mergeCell ref="E106:G106"/>
    <mergeCell ref="H106:L106"/>
    <mergeCell ref="E101:G101"/>
    <mergeCell ref="H101:L101"/>
    <mergeCell ref="M108:P108"/>
    <mergeCell ref="M106:P106"/>
    <mergeCell ref="E119:G119"/>
    <mergeCell ref="H111:L111"/>
    <mergeCell ref="E93:G93"/>
    <mergeCell ref="M97:P97"/>
    <mergeCell ref="E98:G98"/>
    <mergeCell ref="E113:G113"/>
    <mergeCell ref="E111:G111"/>
    <mergeCell ref="H97:L97"/>
    <mergeCell ref="H98:L98"/>
    <mergeCell ref="M86:P86"/>
    <mergeCell ref="M91:P91"/>
    <mergeCell ref="M87:P87"/>
    <mergeCell ref="H92:L92"/>
    <mergeCell ref="M101:P101"/>
    <mergeCell ref="M102:P102"/>
    <mergeCell ref="M105:P105"/>
    <mergeCell ref="M100:P100"/>
    <mergeCell ref="E102:G102"/>
    <mergeCell ref="H102:L102"/>
    <mergeCell ref="E105:G105"/>
    <mergeCell ref="H103:L103"/>
    <mergeCell ref="E107:G107"/>
    <mergeCell ref="H107:L107"/>
    <mergeCell ref="H112:L112"/>
    <mergeCell ref="E112:G112"/>
    <mergeCell ref="M103:P103"/>
    <mergeCell ref="M85:P85"/>
    <mergeCell ref="H88:L88"/>
    <mergeCell ref="M88:P88"/>
    <mergeCell ref="E115:G115"/>
    <mergeCell ref="E116:G116"/>
    <mergeCell ref="E117:G117"/>
    <mergeCell ref="E118:G118"/>
    <mergeCell ref="M118:P118"/>
    <mergeCell ref="M99:P99"/>
    <mergeCell ref="M93:P93"/>
    <mergeCell ref="H96:L96"/>
    <mergeCell ref="M96:P96"/>
    <mergeCell ref="H94:L94"/>
    <mergeCell ref="M94:P94"/>
    <mergeCell ref="H95:L95"/>
    <mergeCell ref="H110:L110"/>
    <mergeCell ref="E87:G87"/>
    <mergeCell ref="M89:P89"/>
    <mergeCell ref="H90:L90"/>
    <mergeCell ref="H91:L91"/>
    <mergeCell ref="H89:L89"/>
    <mergeCell ref="M95:P95"/>
    <mergeCell ref="M92:P92"/>
    <mergeCell ref="M90:P90"/>
    <mergeCell ref="M74:P74"/>
    <mergeCell ref="M75:P75"/>
    <mergeCell ref="M76:P76"/>
    <mergeCell ref="M77:P77"/>
    <mergeCell ref="M78:P78"/>
    <mergeCell ref="M79:P79"/>
    <mergeCell ref="M80:P80"/>
    <mergeCell ref="M81:P81"/>
    <mergeCell ref="M83:P83"/>
    <mergeCell ref="M82:P82"/>
    <mergeCell ref="M84:P84"/>
    <mergeCell ref="H82:L82"/>
    <mergeCell ref="H87:L87"/>
    <mergeCell ref="E82:G82"/>
    <mergeCell ref="H104:L104"/>
    <mergeCell ref="E103:G103"/>
    <mergeCell ref="E104:G104"/>
    <mergeCell ref="H105:L105"/>
    <mergeCell ref="H109:L109"/>
    <mergeCell ref="E92:G92"/>
    <mergeCell ref="E90:G90"/>
    <mergeCell ref="E91:G91"/>
    <mergeCell ref="E88:G88"/>
    <mergeCell ref="E89:G89"/>
    <mergeCell ref="E99:G99"/>
    <mergeCell ref="H99:L99"/>
    <mergeCell ref="E83:G83"/>
    <mergeCell ref="H83:L83"/>
    <mergeCell ref="E86:G86"/>
    <mergeCell ref="H86:L86"/>
    <mergeCell ref="E85:G85"/>
    <mergeCell ref="H85:L85"/>
    <mergeCell ref="E84:G84"/>
    <mergeCell ref="H84:L84"/>
    <mergeCell ref="B105:C105"/>
    <mergeCell ref="M110:P110"/>
    <mergeCell ref="E110:G110"/>
    <mergeCell ref="E109:G109"/>
    <mergeCell ref="B125:C125"/>
    <mergeCell ref="H121:L121"/>
    <mergeCell ref="H122:L122"/>
    <mergeCell ref="B114:C114"/>
    <mergeCell ref="B115:C115"/>
    <mergeCell ref="H123:L123"/>
    <mergeCell ref="E123:G123"/>
    <mergeCell ref="E121:G121"/>
    <mergeCell ref="M109:P109"/>
    <mergeCell ref="M114:P114"/>
    <mergeCell ref="M115:P115"/>
    <mergeCell ref="E120:G120"/>
    <mergeCell ref="H118:L118"/>
    <mergeCell ref="H119:L119"/>
    <mergeCell ref="M119:P119"/>
    <mergeCell ref="H116:L116"/>
    <mergeCell ref="H117:L117"/>
    <mergeCell ref="B118:C118"/>
    <mergeCell ref="B112:C112"/>
    <mergeCell ref="M116:P116"/>
    <mergeCell ref="W139:Z139"/>
    <mergeCell ref="B141:E141"/>
    <mergeCell ref="E125:G125"/>
    <mergeCell ref="E124:G124"/>
    <mergeCell ref="H124:L124"/>
    <mergeCell ref="F141:H141"/>
    <mergeCell ref="B127:C127"/>
    <mergeCell ref="B140:E140"/>
    <mergeCell ref="F140:H140"/>
    <mergeCell ref="L139:V139"/>
    <mergeCell ref="L137:Z137"/>
    <mergeCell ref="B133:G133"/>
    <mergeCell ref="B132:H132"/>
    <mergeCell ref="M127:P127"/>
    <mergeCell ref="M128:P128"/>
    <mergeCell ref="L141:V141"/>
    <mergeCell ref="W138:Z138"/>
    <mergeCell ref="W140:Z140"/>
    <mergeCell ref="E129:G129"/>
    <mergeCell ref="E130:G130"/>
    <mergeCell ref="E127:G127"/>
    <mergeCell ref="B151:AB152"/>
    <mergeCell ref="B150:AB150"/>
    <mergeCell ref="B147:F147"/>
    <mergeCell ref="B145:F145"/>
    <mergeCell ref="B146:F146"/>
    <mergeCell ref="B148:F148"/>
    <mergeCell ref="W145:Z145"/>
    <mergeCell ref="L144:Z144"/>
    <mergeCell ref="L146:V146"/>
    <mergeCell ref="L145:V145"/>
    <mergeCell ref="W146:Z146"/>
    <mergeCell ref="G146:H146"/>
    <mergeCell ref="G147:H147"/>
    <mergeCell ref="G148:H148"/>
    <mergeCell ref="B144:H144"/>
    <mergeCell ref="G145:H145"/>
    <mergeCell ref="L142:V142"/>
    <mergeCell ref="W142:Z142"/>
    <mergeCell ref="B138:E138"/>
    <mergeCell ref="F138:H138"/>
    <mergeCell ref="L138:V138"/>
    <mergeCell ref="W141:Z141"/>
    <mergeCell ref="E96:G96"/>
    <mergeCell ref="B111:C111"/>
    <mergeCell ref="B135:AB135"/>
    <mergeCell ref="B119:C119"/>
    <mergeCell ref="B101:C101"/>
    <mergeCell ref="H129:L129"/>
    <mergeCell ref="H130:L130"/>
    <mergeCell ref="M111:P111"/>
    <mergeCell ref="M112:P112"/>
    <mergeCell ref="M120:P120"/>
    <mergeCell ref="M125:P125"/>
    <mergeCell ref="M126:P126"/>
    <mergeCell ref="H127:L127"/>
    <mergeCell ref="B129:C129"/>
    <mergeCell ref="B130:C130"/>
    <mergeCell ref="B124:C124"/>
    <mergeCell ref="B128:C128"/>
    <mergeCell ref="E126:G126"/>
    <mergeCell ref="B1:AB1"/>
    <mergeCell ref="E70:AB70"/>
    <mergeCell ref="E18:AB18"/>
    <mergeCell ref="B18:B19"/>
    <mergeCell ref="C18:C19"/>
    <mergeCell ref="D18:D19"/>
    <mergeCell ref="E69:AB69"/>
    <mergeCell ref="B12:G12"/>
    <mergeCell ref="B13:D13"/>
    <mergeCell ref="B8:G8"/>
    <mergeCell ref="E13:G13"/>
    <mergeCell ref="B2:I2"/>
    <mergeCell ref="E15:G15"/>
    <mergeCell ref="B15:D15"/>
    <mergeCell ref="B14:D14"/>
    <mergeCell ref="E14:G14"/>
    <mergeCell ref="B16:D16"/>
    <mergeCell ref="B6:AB6"/>
    <mergeCell ref="B3:I3"/>
    <mergeCell ref="B85:C85"/>
    <mergeCell ref="B100:C100"/>
    <mergeCell ref="B96:C96"/>
    <mergeCell ref="B93:C93"/>
    <mergeCell ref="B95:C95"/>
    <mergeCell ref="B87:C87"/>
    <mergeCell ref="B91:C91"/>
    <mergeCell ref="B89:C89"/>
    <mergeCell ref="B99:C99"/>
    <mergeCell ref="B109:C109"/>
    <mergeCell ref="B110:C110"/>
    <mergeCell ref="B116:C116"/>
    <mergeCell ref="B117:C117"/>
    <mergeCell ref="B123:C123"/>
    <mergeCell ref="B113:C113"/>
    <mergeCell ref="H108:L108"/>
    <mergeCell ref="M121:P121"/>
    <mergeCell ref="M122:P122"/>
    <mergeCell ref="M123:P123"/>
    <mergeCell ref="M117:P117"/>
    <mergeCell ref="H115:L115"/>
    <mergeCell ref="H114:L114"/>
    <mergeCell ref="E114:G114"/>
    <mergeCell ref="H120:L120"/>
    <mergeCell ref="M113:P113"/>
    <mergeCell ref="H113:L113"/>
    <mergeCell ref="B84:C84"/>
    <mergeCell ref="E10:G10"/>
    <mergeCell ref="B72:D72"/>
    <mergeCell ref="B9:D9"/>
    <mergeCell ref="E9:G9"/>
    <mergeCell ref="B137:H137"/>
    <mergeCell ref="B139:E139"/>
    <mergeCell ref="F139:H139"/>
    <mergeCell ref="L140:V140"/>
    <mergeCell ref="M124:P124"/>
    <mergeCell ref="M129:P129"/>
    <mergeCell ref="M130:P130"/>
    <mergeCell ref="H125:L125"/>
    <mergeCell ref="H126:L126"/>
    <mergeCell ref="B121:C121"/>
    <mergeCell ref="B122:C122"/>
    <mergeCell ref="E122:G122"/>
    <mergeCell ref="B126:C126"/>
    <mergeCell ref="B106:C106"/>
    <mergeCell ref="B104:C104"/>
    <mergeCell ref="B103:C103"/>
    <mergeCell ref="E108:G108"/>
    <mergeCell ref="M107:P107"/>
    <mergeCell ref="M104:P104"/>
    <mergeCell ref="H79:L79"/>
    <mergeCell ref="B4:I4"/>
    <mergeCell ref="B10:D10"/>
    <mergeCell ref="E16:G16"/>
    <mergeCell ref="B86:C86"/>
    <mergeCell ref="B88:C88"/>
    <mergeCell ref="B90:C90"/>
    <mergeCell ref="B92:C92"/>
    <mergeCell ref="H128:L128"/>
    <mergeCell ref="B94:C94"/>
    <mergeCell ref="E128:G128"/>
    <mergeCell ref="B83:C83"/>
    <mergeCell ref="B97:C97"/>
    <mergeCell ref="B108:C108"/>
    <mergeCell ref="B98:C98"/>
    <mergeCell ref="B81:C81"/>
    <mergeCell ref="B120:C120"/>
    <mergeCell ref="B107:C107"/>
    <mergeCell ref="B76:C76"/>
    <mergeCell ref="B77:C77"/>
    <mergeCell ref="B78:C78"/>
    <mergeCell ref="B79:C79"/>
    <mergeCell ref="B80:C80"/>
    <mergeCell ref="B82:C82"/>
    <mergeCell ref="E97:G97"/>
    <mergeCell ref="B102:C102"/>
    <mergeCell ref="B74:C74"/>
    <mergeCell ref="B75:C75"/>
    <mergeCell ref="H100:L100"/>
    <mergeCell ref="H93:L93"/>
    <mergeCell ref="E94:G94"/>
    <mergeCell ref="E95:G95"/>
    <mergeCell ref="E100:G100"/>
    <mergeCell ref="E74:G74"/>
    <mergeCell ref="E75:G75"/>
    <mergeCell ref="E76:G76"/>
    <mergeCell ref="E77:G77"/>
    <mergeCell ref="E78:G78"/>
    <mergeCell ref="E79:G79"/>
    <mergeCell ref="E80:G80"/>
    <mergeCell ref="E81:G81"/>
    <mergeCell ref="H75:L75"/>
    <mergeCell ref="H76:L76"/>
    <mergeCell ref="H77:L77"/>
    <mergeCell ref="H78:L78"/>
    <mergeCell ref="H80:L80"/>
    <mergeCell ref="H81:L81"/>
    <mergeCell ref="H74:L74"/>
  </mergeCells>
  <conditionalFormatting sqref="Q124:AB127 E72:P73 Q72:AB79 Q121:AB122 Q129:AB132 Q81:AA95 AB81:AB93 AB95 Q97:AB103 R76:R103 S75:S103 Q106:AB109 R120:S130 Q112:AB114 Q116:AB116">
    <cfRule type="expression" dxfId="502" priority="93" stopIfTrue="1">
      <formula>calcRPO=E71</formula>
    </cfRule>
  </conditionalFormatting>
  <conditionalFormatting sqref="B151">
    <cfRule type="expression" dxfId="501" priority="91" stopIfTrue="1">
      <formula>IF($B$151&lt;&gt;"N/A",TRUE)</formula>
    </cfRule>
  </conditionalFormatting>
  <conditionalFormatting sqref="Q96:AB96 R111:S114 R118:S118">
    <cfRule type="expression" dxfId="500" priority="108" stopIfTrue="1">
      <formula>calcRPO=Q81</formula>
    </cfRule>
  </conditionalFormatting>
  <conditionalFormatting sqref="Q104:AB104 Q128:AB128 Q119:AB119">
    <cfRule type="expression" dxfId="499" priority="88" stopIfTrue="1">
      <formula>calcRPO=Q50</formula>
    </cfRule>
  </conditionalFormatting>
  <conditionalFormatting sqref="Q129:AB130 Q91:AB91 R79:S79 R84:S84 R89:S89">
    <cfRule type="expression" dxfId="498" priority="87" stopIfTrue="1">
      <formula>calcRPO=#REF!</formula>
    </cfRule>
  </conditionalFormatting>
  <conditionalFormatting sqref="Q128:AB128">
    <cfRule type="expression" dxfId="497" priority="86" stopIfTrue="1">
      <formula>calcRPO=Q69</formula>
    </cfRule>
  </conditionalFormatting>
  <conditionalFormatting sqref="Q89:AA95 AB95 Q96:AB103">
    <cfRule type="expression" dxfId="496" priority="133" stopIfTrue="1">
      <formula>calcRPO=Q45</formula>
    </cfRule>
  </conditionalFormatting>
  <conditionalFormatting sqref="Q127:AB127">
    <cfRule type="expression" dxfId="495" priority="85" stopIfTrue="1">
      <formula>calcRPO=Q63</formula>
    </cfRule>
  </conditionalFormatting>
  <conditionalFormatting sqref="Q133:AB133 Q126:AB126">
    <cfRule type="expression" dxfId="494" priority="84" stopIfTrue="1">
      <formula>calcRPO=Q63</formula>
    </cfRule>
  </conditionalFormatting>
  <conditionalFormatting sqref="Q125:AB125 Q131:AB132">
    <cfRule type="expression" dxfId="493" priority="83" stopIfTrue="1">
      <formula>calcRPO=Q63</formula>
    </cfRule>
  </conditionalFormatting>
  <conditionalFormatting sqref="Q102:AB103 Q118:AB118">
    <cfRule type="expression" dxfId="492" priority="82" stopIfTrue="1">
      <formula>calcRPO=Q49</formula>
    </cfRule>
  </conditionalFormatting>
  <conditionalFormatting sqref="Q123:AB123">
    <cfRule type="expression" dxfId="491" priority="81" stopIfTrue="1">
      <formula>calcRPO=Q64</formula>
    </cfRule>
  </conditionalFormatting>
  <conditionalFormatting sqref="Q123:AB123">
    <cfRule type="expression" dxfId="490" priority="80" stopIfTrue="1">
      <formula>calcRPO=Q69</formula>
    </cfRule>
  </conditionalFormatting>
  <conditionalFormatting sqref="Q123:AB123">
    <cfRule type="expression" dxfId="489" priority="135" stopIfTrue="1">
      <formula>calcRPO=Q74</formula>
    </cfRule>
  </conditionalFormatting>
  <conditionalFormatting sqref="Q122:AB122">
    <cfRule type="expression" dxfId="488" priority="79" stopIfTrue="1">
      <formula>calcRPO=Q58</formula>
    </cfRule>
  </conditionalFormatting>
  <conditionalFormatting sqref="Q121:AB121">
    <cfRule type="expression" dxfId="487" priority="78" stopIfTrue="1">
      <formula>calcRPO=Q58</formula>
    </cfRule>
  </conditionalFormatting>
  <conditionalFormatting sqref="Q120:AB120">
    <cfRule type="expression" dxfId="486" priority="77" stopIfTrue="1">
      <formula>calcRPO=Q58</formula>
    </cfRule>
  </conditionalFormatting>
  <conditionalFormatting sqref="AB95 AB92:AB93 Q92:AA95 Q81:AB90 R105:S109">
    <cfRule type="expression" dxfId="485" priority="76" stopIfTrue="1">
      <formula>calcRPO=Q58</formula>
    </cfRule>
  </conditionalFormatting>
  <conditionalFormatting sqref="Q80:AB80 R76:S88 S75:S88 R90:S103 R119:S123">
    <cfRule type="expression" dxfId="484" priority="75" stopIfTrue="1">
      <formula>calcRPO=Q54</formula>
    </cfRule>
  </conditionalFormatting>
  <conditionalFormatting sqref="Q80:AB80 R76:S83 S75:S83 R85:S103">
    <cfRule type="expression" dxfId="483" priority="74" stopIfTrue="1">
      <formula>calcRPO=Q59</formula>
    </cfRule>
  </conditionalFormatting>
  <conditionalFormatting sqref="Q80:AB80 S75:S78 R76:S78 R80:S103 R130:S130">
    <cfRule type="expression" dxfId="482" priority="73" stopIfTrue="1">
      <formula>calcRPO=Q64</formula>
    </cfRule>
  </conditionalFormatting>
  <conditionalFormatting sqref="Q80:AB80 S75:S103 R76:S103 R125:S130">
    <cfRule type="expression" dxfId="481" priority="137" stopIfTrue="1">
      <formula>calcRPO=Q69</formula>
    </cfRule>
  </conditionalFormatting>
  <conditionalFormatting sqref="Q79:AB79 R119:S128">
    <cfRule type="expression" dxfId="480" priority="72" stopIfTrue="1">
      <formula>calcRPO=Q53</formula>
    </cfRule>
  </conditionalFormatting>
  <conditionalFormatting sqref="Q78:AB78 R118:S118 R111:S114">
    <cfRule type="expression" dxfId="479" priority="71" stopIfTrue="1">
      <formula>calcRPO=Q53</formula>
    </cfRule>
  </conditionalFormatting>
  <conditionalFormatting sqref="Q77:AB77 R110:S110 R117:S117">
    <cfRule type="expression" dxfId="478" priority="70" stopIfTrue="1">
      <formula>calcRPO=Q53</formula>
    </cfRule>
  </conditionalFormatting>
  <conditionalFormatting sqref="Q76:AB76">
    <cfRule type="expression" dxfId="477" priority="69" stopIfTrue="1">
      <formula>calcRPO=Q53</formula>
    </cfRule>
  </conditionalFormatting>
  <conditionalFormatting sqref="Q75:AB75">
    <cfRule type="expression" dxfId="476" priority="68" stopIfTrue="1">
      <formula>calcRPO=Q54</formula>
    </cfRule>
  </conditionalFormatting>
  <conditionalFormatting sqref="Q75:AB75">
    <cfRule type="expression" dxfId="475" priority="67" stopIfTrue="1">
      <formula>calcRPO=Q59</formula>
    </cfRule>
  </conditionalFormatting>
  <conditionalFormatting sqref="Q75:AB75">
    <cfRule type="expression" dxfId="474" priority="66" stopIfTrue="1">
      <formula>calcRPO=Q64</formula>
    </cfRule>
  </conditionalFormatting>
  <conditionalFormatting sqref="Q75:AB75">
    <cfRule type="expression" dxfId="473" priority="65" stopIfTrue="1">
      <formula>calcRPO=Q69</formula>
    </cfRule>
  </conditionalFormatting>
  <conditionalFormatting sqref="Q120:AB120">
    <cfRule type="expression" dxfId="472" priority="141" stopIfTrue="1">
      <formula>calcRPO=Q81</formula>
    </cfRule>
  </conditionalFormatting>
  <conditionalFormatting sqref="Q119:AB119">
    <cfRule type="expression" dxfId="471" priority="64" stopIfTrue="1">
      <formula>calcRPO=Q56</formula>
    </cfRule>
  </conditionalFormatting>
  <conditionalFormatting sqref="Q124:AB124 Q118:AB118">
    <cfRule type="expression" dxfId="470" priority="63" stopIfTrue="1">
      <formula>calcRPO=Q57</formula>
    </cfRule>
  </conditionalFormatting>
  <conditionalFormatting sqref="Q111:AB111">
    <cfRule type="expression" dxfId="469" priority="62" stopIfTrue="1">
      <formula>calcRPO=Q56</formula>
    </cfRule>
  </conditionalFormatting>
  <conditionalFormatting sqref="Q108:AB109">
    <cfRule type="expression" dxfId="468" priority="61" stopIfTrue="1">
      <formula>calcRPO=Q57</formula>
    </cfRule>
  </conditionalFormatting>
  <conditionalFormatting sqref="Q105:AB109">
    <cfRule type="expression" dxfId="467" priority="60" stopIfTrue="1">
      <formula>calcRPO=Q59</formula>
    </cfRule>
  </conditionalFormatting>
  <conditionalFormatting sqref="Q108:AB109">
    <cfRule type="expression" dxfId="466" priority="59" stopIfTrue="1">
      <formula>calcRPO=Q67</formula>
    </cfRule>
  </conditionalFormatting>
  <conditionalFormatting sqref="Q107:AB107 Q112:AB114">
    <cfRule type="expression" dxfId="465" priority="58" stopIfTrue="1">
      <formula>calcRPO=Q51</formula>
    </cfRule>
  </conditionalFormatting>
  <conditionalFormatting sqref="Q106:AB106">
    <cfRule type="expression" dxfId="464" priority="57" stopIfTrue="1">
      <formula>calcRPO=Q51</formula>
    </cfRule>
  </conditionalFormatting>
  <conditionalFormatting sqref="Q105:AB105">
    <cfRule type="expression" dxfId="463" priority="56" stopIfTrue="1">
      <formula>calcRPO=Q51</formula>
    </cfRule>
  </conditionalFormatting>
  <conditionalFormatting sqref="Q105:AB105">
    <cfRule type="expression" dxfId="462" priority="55" stopIfTrue="1">
      <formula>calcRPO=Q74</formula>
    </cfRule>
  </conditionalFormatting>
  <conditionalFormatting sqref="Q105:AB105">
    <cfRule type="expression" dxfId="461" priority="143" stopIfTrue="1">
      <formula>calcRPO=Q81</formula>
    </cfRule>
  </conditionalFormatting>
  <conditionalFormatting sqref="Q101:AB101 Q110:AB110">
    <cfRule type="expression" dxfId="460" priority="52" stopIfTrue="1">
      <formula>calcRPO=Q49</formula>
    </cfRule>
  </conditionalFormatting>
  <conditionalFormatting sqref="Q100:AB100">
    <cfRule type="expression" dxfId="459" priority="51" stopIfTrue="1">
      <formula>calcRPO=Q49</formula>
    </cfRule>
  </conditionalFormatting>
  <conditionalFormatting sqref="Q99:AB99">
    <cfRule type="expression" dxfId="458" priority="50" stopIfTrue="1">
      <formula>calcRPO=Q50</formula>
    </cfRule>
  </conditionalFormatting>
  <conditionalFormatting sqref="Q99:AB99">
    <cfRule type="expression" dxfId="457" priority="49" stopIfTrue="1">
      <formula>calcRPO=Q55</formula>
    </cfRule>
  </conditionalFormatting>
  <conditionalFormatting sqref="Q99:AB99">
    <cfRule type="expression" dxfId="456" priority="48" stopIfTrue="1">
      <formula>calcRPO=Q60</formula>
    </cfRule>
  </conditionalFormatting>
  <conditionalFormatting sqref="Q98:AB98">
    <cfRule type="expression" dxfId="455" priority="47" stopIfTrue="1">
      <formula>calcRPO=Q44</formula>
    </cfRule>
  </conditionalFormatting>
  <conditionalFormatting sqref="Q97:AB97">
    <cfRule type="expression" dxfId="454" priority="46" stopIfTrue="1">
      <formula>calcRPO=Q44</formula>
    </cfRule>
  </conditionalFormatting>
  <conditionalFormatting sqref="Q96:AB96">
    <cfRule type="expression" dxfId="453" priority="45" stopIfTrue="1">
      <formula>calcRPO=Q44</formula>
    </cfRule>
  </conditionalFormatting>
  <conditionalFormatting sqref="Q96:AB96">
    <cfRule type="expression" dxfId="452" priority="44" stopIfTrue="1">
      <formula>calcRPO=Q67</formula>
    </cfRule>
  </conditionalFormatting>
  <conditionalFormatting sqref="Q96:AB96 R104:S104 R115:S116">
    <cfRule type="expression" dxfId="451" priority="43" stopIfTrue="1">
      <formula>calcRPO=Q74</formula>
    </cfRule>
  </conditionalFormatting>
  <conditionalFormatting sqref="Q96:AB103">
    <cfRule type="expression" dxfId="450" priority="149" stopIfTrue="1">
      <formula>calcRPO=Q59</formula>
    </cfRule>
  </conditionalFormatting>
  <conditionalFormatting sqref="AB89:AB93">
    <cfRule type="expression" dxfId="449" priority="41" stopIfTrue="1">
      <formula>calcRPO=AB45</formula>
    </cfRule>
  </conditionalFormatting>
  <conditionalFormatting sqref="Q95:AB95">
    <cfRule type="expression" dxfId="448" priority="40" stopIfTrue="1">
      <formula>calcRPO=Q42</formula>
    </cfRule>
  </conditionalFormatting>
  <conditionalFormatting sqref="Q94:AA94">
    <cfRule type="expression" dxfId="447" priority="39" stopIfTrue="1">
      <formula>calcRPO=Q42</formula>
    </cfRule>
  </conditionalFormatting>
  <conditionalFormatting sqref="Q93:AB93">
    <cfRule type="expression" dxfId="446" priority="38" stopIfTrue="1">
      <formula>calcRPO=Q42</formula>
    </cfRule>
  </conditionalFormatting>
  <conditionalFormatting sqref="Q92:AB92">
    <cfRule type="expression" dxfId="445" priority="37" stopIfTrue="1">
      <formula>calcRPO=Q43</formula>
    </cfRule>
  </conditionalFormatting>
  <conditionalFormatting sqref="Q92:AB92">
    <cfRule type="expression" dxfId="444" priority="36" stopIfTrue="1">
      <formula>calcRPO=Q48</formula>
    </cfRule>
  </conditionalFormatting>
  <conditionalFormatting sqref="Q92:AB92">
    <cfRule type="expression" dxfId="443" priority="35" stopIfTrue="1">
      <formula>calcRPO=Q53</formula>
    </cfRule>
  </conditionalFormatting>
  <conditionalFormatting sqref="Q91:AB91">
    <cfRule type="expression" dxfId="442" priority="34" stopIfTrue="1">
      <formula>calcRPO=Q37</formula>
    </cfRule>
  </conditionalFormatting>
  <conditionalFormatting sqref="Q90:AB90">
    <cfRule type="expression" dxfId="441" priority="33" stopIfTrue="1">
      <formula>calcRPO=Q37</formula>
    </cfRule>
  </conditionalFormatting>
  <conditionalFormatting sqref="Q89:AB89">
    <cfRule type="expression" dxfId="440" priority="32" stopIfTrue="1">
      <formula>calcRPO=Q37</formula>
    </cfRule>
  </conditionalFormatting>
  <conditionalFormatting sqref="Q89:AB89">
    <cfRule type="expression" dxfId="439" priority="31" stopIfTrue="1">
      <formula>calcRPO=Q60</formula>
    </cfRule>
  </conditionalFormatting>
  <conditionalFormatting sqref="Q89:AB89">
    <cfRule type="expression" dxfId="438" priority="30" stopIfTrue="1">
      <formula>calcRPO=Q67</formula>
    </cfRule>
  </conditionalFormatting>
  <conditionalFormatting sqref="Q82:AB88">
    <cfRule type="expression" dxfId="437" priority="29" stopIfTrue="1">
      <formula>calcRPO=Q38</formula>
    </cfRule>
  </conditionalFormatting>
  <conditionalFormatting sqref="Q88:AB88">
    <cfRule type="expression" dxfId="436" priority="28" stopIfTrue="1">
      <formula>calcRPO=Q35</formula>
    </cfRule>
  </conditionalFormatting>
  <conditionalFormatting sqref="Q87:AB87">
    <cfRule type="expression" dxfId="435" priority="27" stopIfTrue="1">
      <formula>calcRPO=Q35</formula>
    </cfRule>
  </conditionalFormatting>
  <conditionalFormatting sqref="Q86:AB86">
    <cfRule type="expression" dxfId="434" priority="26" stopIfTrue="1">
      <formula>calcRPO=Q35</formula>
    </cfRule>
  </conditionalFormatting>
  <conditionalFormatting sqref="Q85:AB85">
    <cfRule type="expression" dxfId="433" priority="25" stopIfTrue="1">
      <formula>calcRPO=Q36</formula>
    </cfRule>
  </conditionalFormatting>
  <conditionalFormatting sqref="Q85:AB85">
    <cfRule type="expression" dxfId="432" priority="24" stopIfTrue="1">
      <formula>calcRPO=Q41</formula>
    </cfRule>
  </conditionalFormatting>
  <conditionalFormatting sqref="Q85:AB85">
    <cfRule type="expression" dxfId="431" priority="23" stopIfTrue="1">
      <formula>calcRPO=Q46</formula>
    </cfRule>
  </conditionalFormatting>
  <conditionalFormatting sqref="Q84:AB84">
    <cfRule type="expression" dxfId="430" priority="22" stopIfTrue="1">
      <formula>calcRPO=Q30</formula>
    </cfRule>
  </conditionalFormatting>
  <conditionalFormatting sqref="Q83:AB83">
    <cfRule type="expression" dxfId="429" priority="21" stopIfTrue="1">
      <formula>calcRPO=Q30</formula>
    </cfRule>
  </conditionalFormatting>
  <conditionalFormatting sqref="Q82:AB82">
    <cfRule type="expression" dxfId="428" priority="20" stopIfTrue="1">
      <formula>calcRPO=Q30</formula>
    </cfRule>
  </conditionalFormatting>
  <conditionalFormatting sqref="Q82:AB82">
    <cfRule type="expression" dxfId="427" priority="19" stopIfTrue="1">
      <formula>calcRPO=Q53</formula>
    </cfRule>
  </conditionalFormatting>
  <conditionalFormatting sqref="Q82:AB82">
    <cfRule type="expression" dxfId="426" priority="18" stopIfTrue="1">
      <formula>calcRPO=Q60</formula>
    </cfRule>
  </conditionalFormatting>
  <conditionalFormatting sqref="Q82:AB88">
    <cfRule type="expression" dxfId="425" priority="17" stopIfTrue="1">
      <formula>calcRPO=Q45</formula>
    </cfRule>
  </conditionalFormatting>
  <conditionalFormatting sqref="Q133:AB133 Q104:AB104 Q110:AB110">
    <cfRule type="expression" dxfId="424" priority="153" stopIfTrue="1">
      <formula>calcRPO=Q102</formula>
    </cfRule>
  </conditionalFormatting>
  <conditionalFormatting sqref="Q82:AB82">
    <cfRule type="expression" dxfId="423" priority="164" stopIfTrue="1">
      <formula>calcRPO=Q67</formula>
    </cfRule>
  </conditionalFormatting>
  <conditionalFormatting sqref="R105:S109">
    <cfRule type="expression" dxfId="422" priority="174" stopIfTrue="1">
      <formula>calcRPO=R92</formula>
    </cfRule>
  </conditionalFormatting>
  <conditionalFormatting sqref="R105:S109">
    <cfRule type="expression" dxfId="421" priority="177" stopIfTrue="1">
      <formula>calcRPO=R97</formula>
    </cfRule>
  </conditionalFormatting>
  <conditionalFormatting sqref="R105:S109">
    <cfRule type="expression" dxfId="420" priority="180" stopIfTrue="1">
      <formula>calcRPO=R87</formula>
    </cfRule>
  </conditionalFormatting>
  <conditionalFormatting sqref="R104:S104 R115:S116 R128:S129">
    <cfRule type="expression" dxfId="419" priority="192" stopIfTrue="1">
      <formula>calcRPO=R87</formula>
    </cfRule>
  </conditionalFormatting>
  <conditionalFormatting sqref="R104:S104 R115:S116">
    <cfRule type="expression" dxfId="418" priority="194" stopIfTrue="1">
      <formula>calcRPO=R92</formula>
    </cfRule>
  </conditionalFormatting>
  <conditionalFormatting sqref="R104:S104">
    <cfRule type="expression" dxfId="417" priority="196" stopIfTrue="1">
      <formula>calcRPO=R97</formula>
    </cfRule>
  </conditionalFormatting>
  <conditionalFormatting sqref="Q104:AB104">
    <cfRule type="expression" dxfId="416" priority="200" stopIfTrue="1">
      <formula>calcRPO=Q59</formula>
    </cfRule>
  </conditionalFormatting>
  <conditionalFormatting sqref="Q104:AB104">
    <cfRule type="expression" dxfId="415" priority="205" stopIfTrue="1">
      <formula>calcRPO=Q66</formula>
    </cfRule>
  </conditionalFormatting>
  <conditionalFormatting sqref="R105:S105 Q111:AB111 Q115:AB115">
    <cfRule type="expression" dxfId="414" priority="206" stopIfTrue="1">
      <formula>calcRPO=Q102</formula>
    </cfRule>
  </conditionalFormatting>
  <conditionalFormatting sqref="R119:S122 R117:S117">
    <cfRule type="expression" dxfId="413" priority="229" stopIfTrue="1">
      <formula>calcRPO=R103</formula>
    </cfRule>
  </conditionalFormatting>
  <conditionalFormatting sqref="R129:S130">
    <cfRule type="expression" dxfId="412" priority="231" stopIfTrue="1">
      <formula>calcRPO=R105</formula>
    </cfRule>
  </conditionalFormatting>
  <conditionalFormatting sqref="Q110:AB110">
    <cfRule type="expression" dxfId="411" priority="245" stopIfTrue="1">
      <formula>calcRPO=Q63</formula>
    </cfRule>
  </conditionalFormatting>
  <conditionalFormatting sqref="Q110:AB110">
    <cfRule type="expression" dxfId="410" priority="247" stopIfTrue="1">
      <formula>calcRPO=Q68</formula>
    </cfRule>
  </conditionalFormatting>
  <conditionalFormatting sqref="R110:S110">
    <cfRule type="expression" dxfId="409" priority="250" stopIfTrue="1">
      <formula>calcRPO=R96</formula>
    </cfRule>
  </conditionalFormatting>
  <conditionalFormatting sqref="R110:S110">
    <cfRule type="expression" dxfId="408" priority="252" stopIfTrue="1">
      <formula>calcRPO=R101</formula>
    </cfRule>
  </conditionalFormatting>
  <conditionalFormatting sqref="R110:S110 R124:S127 R117:S117">
    <cfRule type="expression" dxfId="407" priority="254" stopIfTrue="1">
      <formula>calcRPO=R91</formula>
    </cfRule>
  </conditionalFormatting>
  <conditionalFormatting sqref="Q111:AB114">
    <cfRule type="expression" dxfId="406" priority="263" stopIfTrue="1">
      <formula>calcRPO=Q63</formula>
    </cfRule>
  </conditionalFormatting>
  <conditionalFormatting sqref="R119:S130">
    <cfRule type="expression" dxfId="405" priority="274" stopIfTrue="1">
      <formula>calcRPO=R88</formula>
    </cfRule>
  </conditionalFormatting>
  <conditionalFormatting sqref="R118:S118">
    <cfRule type="expression" dxfId="404" priority="287" stopIfTrue="1">
      <formula>calcRPO=R88</formula>
    </cfRule>
  </conditionalFormatting>
  <conditionalFormatting sqref="R117:S117">
    <cfRule type="expression" dxfId="403" priority="289" stopIfTrue="1">
      <formula>calcRPO=R88</formula>
    </cfRule>
  </conditionalFormatting>
  <conditionalFormatting sqref="Q117:AB117">
    <cfRule type="expression" dxfId="402" priority="292" stopIfTrue="1">
      <formula>calcRPO=Q57</formula>
    </cfRule>
  </conditionalFormatting>
  <conditionalFormatting sqref="Q118:AB118">
    <cfRule type="expression" dxfId="401" priority="295" stopIfTrue="1">
      <formula>calcRPO=Q112</formula>
    </cfRule>
  </conditionalFormatting>
  <conditionalFormatting sqref="R123:S124">
    <cfRule type="expression" dxfId="400" priority="297" stopIfTrue="1">
      <formula>calcRPO=R111</formula>
    </cfRule>
  </conditionalFormatting>
  <conditionalFormatting sqref="Q119:AB119">
    <cfRule type="expression" dxfId="399" priority="299" stopIfTrue="1">
      <formula>calcRPO=Q112</formula>
    </cfRule>
  </conditionalFormatting>
  <conditionalFormatting sqref="R118:S118 R111:S114">
    <cfRule type="expression" dxfId="398" priority="302" stopIfTrue="1">
      <formula>calcRPO=R91</formula>
    </cfRule>
  </conditionalFormatting>
  <conditionalFormatting sqref="Q117:AB117">
    <cfRule type="expression" dxfId="397" priority="305" stopIfTrue="1">
      <formula>calcRPO=Q65</formula>
    </cfRule>
  </conditionalFormatting>
  <conditionalFormatting sqref="R115:S116">
    <cfRule type="expression" dxfId="396" priority="318" stopIfTrue="1">
      <formula>calcRPO=R88</formula>
    </cfRule>
  </conditionalFormatting>
  <conditionalFormatting sqref="Q115:AB116">
    <cfRule type="expression" dxfId="395" priority="323" stopIfTrue="1">
      <formula>calcRPO=Q57</formula>
    </cfRule>
  </conditionalFormatting>
  <conditionalFormatting sqref="Q117:AB117">
    <cfRule type="expression" dxfId="394" priority="330" stopIfTrue="1">
      <formula>calcRPO=Q112</formula>
    </cfRule>
  </conditionalFormatting>
  <conditionalFormatting sqref="Q115:AB116">
    <cfRule type="expression" dxfId="393" priority="333" stopIfTrue="1">
      <formula>calcRPO=Q65</formula>
    </cfRule>
  </conditionalFormatting>
  <conditionalFormatting sqref="R111:S114">
    <cfRule type="expression" dxfId="392" priority="334" stopIfTrue="1">
      <formula>calcRPO=R101</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T121"/>
  <sheetViews>
    <sheetView showGridLines="0" showRowColHeaders="0" zoomScale="85" zoomScaleNormal="85" zoomScaleSheetLayoutView="100" workbookViewId="0">
      <selection activeCell="B1" sqref="B1:T1"/>
    </sheetView>
  </sheetViews>
  <sheetFormatPr defaultColWidth="9" defaultRowHeight="13" x14ac:dyDescent="0.3"/>
  <cols>
    <col min="1" max="2" width="3.3984375" customWidth="1"/>
    <col min="3" max="3" width="47.59765625" bestFit="1" customWidth="1"/>
    <col min="4" max="4" width="22" customWidth="1"/>
    <col min="5" max="10" width="4.59765625" bestFit="1" customWidth="1"/>
    <col min="11" max="20" width="5.59765625" bestFit="1" customWidth="1"/>
  </cols>
  <sheetData>
    <row r="1" spans="1:20" ht="14.5" x14ac:dyDescent="0.3">
      <c r="A1" s="176"/>
      <c r="B1" s="1109" t="str">
        <f>VLOOKUP(47,strTable,2,FALSE)</f>
        <v>Note 1: Do not make any changes to this sheet.  This sheet is only used for calculation purposes.</v>
      </c>
      <c r="C1" s="1110"/>
      <c r="D1" s="1110"/>
      <c r="E1" s="1110"/>
      <c r="F1" s="1110"/>
      <c r="G1" s="1110"/>
      <c r="H1" s="1110"/>
      <c r="I1" s="1110"/>
      <c r="J1" s="1110"/>
      <c r="K1" s="1110"/>
      <c r="L1" s="1110"/>
      <c r="M1" s="1110"/>
      <c r="N1" s="1110"/>
      <c r="O1" s="1110"/>
      <c r="P1" s="1110"/>
      <c r="Q1" s="1110"/>
      <c r="R1" s="1110"/>
      <c r="S1" s="1110"/>
      <c r="T1" s="1111"/>
    </row>
    <row r="2" spans="1:20" ht="14.5" x14ac:dyDescent="0.35">
      <c r="A2" s="176"/>
      <c r="C2" s="58"/>
      <c r="D2" s="19"/>
      <c r="E2" s="19"/>
      <c r="F2" s="19"/>
      <c r="G2" s="19"/>
      <c r="H2" s="40"/>
      <c r="I2" s="40"/>
      <c r="J2" s="40"/>
      <c r="K2" s="40"/>
      <c r="L2" s="58"/>
      <c r="T2" s="176"/>
    </row>
    <row r="3" spans="1:20" ht="14.5" x14ac:dyDescent="0.3">
      <c r="A3" s="176"/>
      <c r="B3" s="1125" t="s">
        <v>1498</v>
      </c>
      <c r="C3" s="1094"/>
      <c r="D3" s="1094"/>
      <c r="E3" s="1094"/>
      <c r="F3" s="1094"/>
      <c r="G3" s="1094"/>
      <c r="H3" s="1094"/>
      <c r="I3" s="1094"/>
      <c r="J3" s="1094"/>
      <c r="K3" s="1094"/>
      <c r="L3" s="1094"/>
      <c r="M3" s="1094"/>
      <c r="N3" s="1094"/>
      <c r="O3" s="1094"/>
      <c r="P3" s="1094"/>
      <c r="Q3" s="1094"/>
      <c r="R3" s="1094"/>
      <c r="S3" s="1094"/>
      <c r="T3" s="1112"/>
    </row>
    <row r="4" spans="1:20" ht="14.5" x14ac:dyDescent="0.35">
      <c r="A4" s="176"/>
      <c r="C4" s="136"/>
      <c r="D4" s="37"/>
      <c r="E4" s="38"/>
      <c r="F4" s="38"/>
      <c r="G4" s="139"/>
      <c r="H4" s="21"/>
      <c r="I4" s="21"/>
      <c r="J4" s="21"/>
      <c r="K4" s="21"/>
      <c r="L4" s="21"/>
      <c r="T4" s="176"/>
    </row>
    <row r="5" spans="1:20" x14ac:dyDescent="0.3">
      <c r="A5" s="176"/>
      <c r="T5" s="176"/>
    </row>
    <row r="6" spans="1:20" x14ac:dyDescent="0.3">
      <c r="A6" s="176"/>
      <c r="T6" s="176"/>
    </row>
    <row r="7" spans="1:20" x14ac:dyDescent="0.3">
      <c r="A7" s="176"/>
      <c r="T7" s="176"/>
    </row>
    <row r="8" spans="1:20" x14ac:dyDescent="0.3">
      <c r="A8" s="176"/>
      <c r="T8" s="176"/>
    </row>
    <row r="9" spans="1:20" x14ac:dyDescent="0.3">
      <c r="A9" s="176"/>
      <c r="T9" s="176"/>
    </row>
    <row r="10" spans="1:20" x14ac:dyDescent="0.3">
      <c r="A10" s="176"/>
      <c r="T10" s="176"/>
    </row>
    <row r="11" spans="1:20" x14ac:dyDescent="0.3">
      <c r="A11" s="176"/>
      <c r="T11" s="176"/>
    </row>
    <row r="12" spans="1:20" x14ac:dyDescent="0.3">
      <c r="A12" s="176"/>
      <c r="T12" s="176"/>
    </row>
    <row r="13" spans="1:20" x14ac:dyDescent="0.3">
      <c r="A13" s="176"/>
      <c r="T13" s="176"/>
    </row>
    <row r="14" spans="1:20" x14ac:dyDescent="0.3">
      <c r="A14" s="176"/>
      <c r="T14" s="176"/>
    </row>
    <row r="15" spans="1:20" x14ac:dyDescent="0.3">
      <c r="A15" s="176"/>
      <c r="T15" s="176"/>
    </row>
    <row r="16" spans="1:20" x14ac:dyDescent="0.3">
      <c r="A16" s="176"/>
      <c r="T16" s="176"/>
    </row>
    <row r="17" spans="1:20" x14ac:dyDescent="0.3">
      <c r="A17" s="176"/>
      <c r="T17" s="176"/>
    </row>
    <row r="18" spans="1:20" x14ac:dyDescent="0.3">
      <c r="A18" s="176"/>
      <c r="T18" s="176"/>
    </row>
    <row r="19" spans="1:20" x14ac:dyDescent="0.3">
      <c r="A19" s="176"/>
      <c r="T19" s="176"/>
    </row>
    <row r="20" spans="1:20" x14ac:dyDescent="0.3">
      <c r="A20" s="176"/>
      <c r="T20" s="176"/>
    </row>
    <row r="21" spans="1:20" x14ac:dyDescent="0.3">
      <c r="A21" s="176"/>
      <c r="T21" s="176"/>
    </row>
    <row r="22" spans="1:20" x14ac:dyDescent="0.3">
      <c r="A22" s="176"/>
      <c r="T22" s="176"/>
    </row>
    <row r="23" spans="1:20" x14ac:dyDescent="0.3">
      <c r="A23" s="176"/>
      <c r="T23" s="176"/>
    </row>
    <row r="24" spans="1:20" x14ac:dyDescent="0.3">
      <c r="A24" s="176"/>
      <c r="T24" s="176"/>
    </row>
    <row r="25" spans="1:20" x14ac:dyDescent="0.3">
      <c r="A25" s="176"/>
      <c r="T25" s="176"/>
    </row>
    <row r="26" spans="1:20" x14ac:dyDescent="0.3">
      <c r="A26" s="176"/>
      <c r="T26" s="176"/>
    </row>
    <row r="27" spans="1:20" x14ac:dyDescent="0.3">
      <c r="A27" s="176"/>
      <c r="T27" s="176"/>
    </row>
    <row r="28" spans="1:20" x14ac:dyDescent="0.3">
      <c r="A28" s="176"/>
      <c r="T28" s="176"/>
    </row>
    <row r="29" spans="1:20" x14ac:dyDescent="0.3">
      <c r="A29" s="176"/>
      <c r="T29" s="176"/>
    </row>
    <row r="30" spans="1:20" ht="14.5" x14ac:dyDescent="0.35">
      <c r="A30" s="176"/>
      <c r="C30" s="372" t="s">
        <v>1515</v>
      </c>
      <c r="D30" s="372" t="s">
        <v>244</v>
      </c>
      <c r="T30" s="176"/>
    </row>
    <row r="31" spans="1:20" ht="14.5" x14ac:dyDescent="0.35">
      <c r="A31" s="176"/>
      <c r="C31" s="530" t="s">
        <v>1509</v>
      </c>
      <c r="D31" s="532" t="str">
        <f>IF(calcTier1MBX&lt;&gt;0,Tier1MBXSize/1024,strEmpty)</f>
        <v>--</v>
      </c>
      <c r="T31" s="176"/>
    </row>
    <row r="32" spans="1:20" ht="14.5" x14ac:dyDescent="0.35">
      <c r="A32" s="176"/>
      <c r="C32" s="533" t="s">
        <v>1533</v>
      </c>
      <c r="D32" s="531">
        <f>calcTier1PredictCapMonths</f>
        <v>0</v>
      </c>
      <c r="T32" s="176"/>
    </row>
    <row r="33" spans="1:20" x14ac:dyDescent="0.3">
      <c r="A33" s="176"/>
      <c r="T33" s="176"/>
    </row>
    <row r="34" spans="1:20" x14ac:dyDescent="0.3">
      <c r="A34" s="176"/>
      <c r="T34" s="176"/>
    </row>
    <row r="35" spans="1:20" x14ac:dyDescent="0.3">
      <c r="A35" s="176"/>
      <c r="T35" s="176"/>
    </row>
    <row r="36" spans="1:20" x14ac:dyDescent="0.3">
      <c r="A36" s="176"/>
      <c r="T36" s="176"/>
    </row>
    <row r="37" spans="1:20" x14ac:dyDescent="0.3">
      <c r="A37" s="176"/>
      <c r="T37" s="176"/>
    </row>
    <row r="38" spans="1:20" x14ac:dyDescent="0.3">
      <c r="A38" s="176"/>
      <c r="T38" s="176"/>
    </row>
    <row r="39" spans="1:20" x14ac:dyDescent="0.3">
      <c r="A39" s="176"/>
      <c r="T39" s="176"/>
    </row>
    <row r="40" spans="1:20" x14ac:dyDescent="0.3">
      <c r="A40" s="176"/>
      <c r="T40" s="176"/>
    </row>
    <row r="41" spans="1:20" x14ac:dyDescent="0.3">
      <c r="A41" s="176"/>
      <c r="T41" s="176"/>
    </row>
    <row r="42" spans="1:20" x14ac:dyDescent="0.3">
      <c r="A42" s="176"/>
      <c r="T42" s="176"/>
    </row>
    <row r="43" spans="1:20" x14ac:dyDescent="0.3">
      <c r="A43" s="176"/>
      <c r="T43" s="176"/>
    </row>
    <row r="44" spans="1:20" x14ac:dyDescent="0.3">
      <c r="A44" s="176"/>
      <c r="T44" s="176"/>
    </row>
    <row r="45" spans="1:20" x14ac:dyDescent="0.3">
      <c r="A45" s="176"/>
      <c r="T45" s="176"/>
    </row>
    <row r="46" spans="1:20" x14ac:dyDescent="0.3">
      <c r="A46" s="176"/>
      <c r="T46" s="176"/>
    </row>
    <row r="47" spans="1:20" x14ac:dyDescent="0.3">
      <c r="A47" s="176"/>
      <c r="T47" s="176"/>
    </row>
    <row r="48" spans="1:20" x14ac:dyDescent="0.3">
      <c r="A48" s="176"/>
      <c r="T48" s="176"/>
    </row>
    <row r="49" spans="1:20" x14ac:dyDescent="0.3">
      <c r="A49" s="176"/>
      <c r="T49" s="176"/>
    </row>
    <row r="50" spans="1:20" x14ac:dyDescent="0.3">
      <c r="A50" s="176"/>
      <c r="T50" s="176"/>
    </row>
    <row r="51" spans="1:20" x14ac:dyDescent="0.3">
      <c r="A51" s="176"/>
      <c r="T51" s="176"/>
    </row>
    <row r="52" spans="1:20" x14ac:dyDescent="0.3">
      <c r="A52" s="176"/>
      <c r="T52" s="176"/>
    </row>
    <row r="53" spans="1:20" x14ac:dyDescent="0.3">
      <c r="A53" s="176"/>
      <c r="T53" s="176"/>
    </row>
    <row r="54" spans="1:20" x14ac:dyDescent="0.3">
      <c r="A54" s="176"/>
      <c r="T54" s="176"/>
    </row>
    <row r="55" spans="1:20" x14ac:dyDescent="0.3">
      <c r="A55" s="176"/>
      <c r="T55" s="176"/>
    </row>
    <row r="56" spans="1:20" x14ac:dyDescent="0.3">
      <c r="A56" s="176"/>
      <c r="T56" s="176"/>
    </row>
    <row r="57" spans="1:20" x14ac:dyDescent="0.3">
      <c r="A57" s="176"/>
      <c r="T57" s="176"/>
    </row>
    <row r="58" spans="1:20" x14ac:dyDescent="0.3">
      <c r="A58" s="176"/>
      <c r="T58" s="176"/>
    </row>
    <row r="59" spans="1:20" ht="14.5" x14ac:dyDescent="0.35">
      <c r="A59" s="176"/>
      <c r="C59" s="372" t="s">
        <v>1516</v>
      </c>
      <c r="D59" s="372" t="s">
        <v>244</v>
      </c>
      <c r="T59" s="176"/>
    </row>
    <row r="60" spans="1:20" ht="14.5" x14ac:dyDescent="0.35">
      <c r="A60" s="176"/>
      <c r="C60" s="530" t="s">
        <v>1509</v>
      </c>
      <c r="D60" s="534" t="str">
        <f>IF(calcTier2MBX&lt;&gt;0,Tier2MBXSize/1024,strEmpty)</f>
        <v>--</v>
      </c>
      <c r="T60" s="176"/>
    </row>
    <row r="61" spans="1:20" ht="14.5" x14ac:dyDescent="0.35">
      <c r="A61" s="176"/>
      <c r="C61" s="533" t="s">
        <v>1533</v>
      </c>
      <c r="D61" s="531">
        <f>calcTier2PredictCapMonths</f>
        <v>0</v>
      </c>
      <c r="T61" s="176"/>
    </row>
    <row r="62" spans="1:20" x14ac:dyDescent="0.3">
      <c r="A62" s="176"/>
      <c r="T62" s="176"/>
    </row>
    <row r="63" spans="1:20" x14ac:dyDescent="0.3">
      <c r="A63" s="176"/>
      <c r="T63" s="176"/>
    </row>
    <row r="64" spans="1:20" x14ac:dyDescent="0.3">
      <c r="A64" s="176"/>
      <c r="T64" s="176"/>
    </row>
    <row r="65" spans="1:20" x14ac:dyDescent="0.3">
      <c r="A65" s="176"/>
      <c r="T65" s="176"/>
    </row>
    <row r="66" spans="1:20" x14ac:dyDescent="0.3">
      <c r="A66" s="176"/>
      <c r="T66" s="176"/>
    </row>
    <row r="67" spans="1:20" x14ac:dyDescent="0.3">
      <c r="A67" s="176"/>
      <c r="T67" s="176"/>
    </row>
    <row r="68" spans="1:20" x14ac:dyDescent="0.3">
      <c r="A68" s="176"/>
      <c r="T68" s="176"/>
    </row>
    <row r="69" spans="1:20" x14ac:dyDescent="0.3">
      <c r="A69" s="176"/>
      <c r="T69" s="176"/>
    </row>
    <row r="70" spans="1:20" x14ac:dyDescent="0.3">
      <c r="A70" s="176"/>
      <c r="T70" s="176"/>
    </row>
    <row r="71" spans="1:20" x14ac:dyDescent="0.3">
      <c r="A71" s="176"/>
      <c r="T71" s="176"/>
    </row>
    <row r="72" spans="1:20" x14ac:dyDescent="0.3">
      <c r="A72" s="176"/>
      <c r="T72" s="176"/>
    </row>
    <row r="73" spans="1:20" x14ac:dyDescent="0.3">
      <c r="A73" s="176"/>
      <c r="T73" s="176"/>
    </row>
    <row r="74" spans="1:20" x14ac:dyDescent="0.3">
      <c r="A74" s="176"/>
      <c r="T74" s="176"/>
    </row>
    <row r="75" spans="1:20" x14ac:dyDescent="0.3">
      <c r="A75" s="176"/>
      <c r="T75" s="176"/>
    </row>
    <row r="76" spans="1:20" x14ac:dyDescent="0.3">
      <c r="A76" s="176"/>
      <c r="T76" s="176"/>
    </row>
    <row r="77" spans="1:20" x14ac:dyDescent="0.3">
      <c r="A77" s="176"/>
      <c r="T77" s="176"/>
    </row>
    <row r="78" spans="1:20" x14ac:dyDescent="0.3">
      <c r="A78" s="176"/>
      <c r="T78" s="176"/>
    </row>
    <row r="79" spans="1:20" x14ac:dyDescent="0.3">
      <c r="A79" s="176"/>
      <c r="T79" s="176"/>
    </row>
    <row r="80" spans="1:20" x14ac:dyDescent="0.3">
      <c r="A80" s="176"/>
      <c r="T80" s="176"/>
    </row>
    <row r="81" spans="1:20" x14ac:dyDescent="0.3">
      <c r="A81" s="176"/>
      <c r="T81" s="176"/>
    </row>
    <row r="82" spans="1:20" x14ac:dyDescent="0.3">
      <c r="A82" s="176"/>
      <c r="T82" s="176"/>
    </row>
    <row r="83" spans="1:20" x14ac:dyDescent="0.3">
      <c r="A83" s="176"/>
      <c r="T83" s="176"/>
    </row>
    <row r="84" spans="1:20" x14ac:dyDescent="0.3">
      <c r="A84" s="176"/>
      <c r="T84" s="176"/>
    </row>
    <row r="85" spans="1:20" x14ac:dyDescent="0.3">
      <c r="A85" s="176"/>
      <c r="T85" s="176"/>
    </row>
    <row r="86" spans="1:20" x14ac:dyDescent="0.3">
      <c r="A86" s="176"/>
      <c r="T86" s="176"/>
    </row>
    <row r="87" spans="1:20" x14ac:dyDescent="0.3">
      <c r="A87" s="176"/>
      <c r="T87" s="176"/>
    </row>
    <row r="88" spans="1:20" ht="14.5" x14ac:dyDescent="0.35">
      <c r="A88" s="176"/>
      <c r="C88" s="372" t="s">
        <v>1517</v>
      </c>
      <c r="D88" s="372" t="s">
        <v>244</v>
      </c>
      <c r="T88" s="176"/>
    </row>
    <row r="89" spans="1:20" ht="14.5" x14ac:dyDescent="0.35">
      <c r="A89" s="176"/>
      <c r="C89" s="530" t="s">
        <v>1509</v>
      </c>
      <c r="D89" s="534" t="str">
        <f>IF(calcTier3MBX&lt;&gt;0,Tier3MBXSize/1024,strEmpty)</f>
        <v>--</v>
      </c>
      <c r="T89" s="176"/>
    </row>
    <row r="90" spans="1:20" ht="14.5" x14ac:dyDescent="0.35">
      <c r="A90" s="176"/>
      <c r="C90" s="533" t="s">
        <v>1533</v>
      </c>
      <c r="D90" s="531">
        <f>calcTier3PredictCapMonths</f>
        <v>0</v>
      </c>
      <c r="T90" s="176"/>
    </row>
    <row r="91" spans="1:20" x14ac:dyDescent="0.3">
      <c r="A91" s="176"/>
      <c r="T91" s="176"/>
    </row>
    <row r="92" spans="1:20" x14ac:dyDescent="0.3">
      <c r="A92" s="176"/>
      <c r="T92" s="176"/>
    </row>
    <row r="93" spans="1:20" x14ac:dyDescent="0.3">
      <c r="A93" s="176"/>
      <c r="T93" s="176"/>
    </row>
    <row r="94" spans="1:20" x14ac:dyDescent="0.3">
      <c r="A94" s="176"/>
      <c r="T94" s="176"/>
    </row>
    <row r="95" spans="1:20" x14ac:dyDescent="0.3">
      <c r="A95" s="176"/>
      <c r="T95" s="176"/>
    </row>
    <row r="96" spans="1:20" x14ac:dyDescent="0.3">
      <c r="A96" s="176"/>
      <c r="T96" s="176"/>
    </row>
    <row r="97" spans="1:20" x14ac:dyDescent="0.3">
      <c r="A97" s="176"/>
      <c r="T97" s="176"/>
    </row>
    <row r="98" spans="1:20" x14ac:dyDescent="0.3">
      <c r="A98" s="176"/>
      <c r="T98" s="176"/>
    </row>
    <row r="99" spans="1:20" x14ac:dyDescent="0.3">
      <c r="A99" s="176"/>
      <c r="T99" s="176"/>
    </row>
    <row r="100" spans="1:20" x14ac:dyDescent="0.3">
      <c r="A100" s="176"/>
      <c r="T100" s="176"/>
    </row>
    <row r="101" spans="1:20" x14ac:dyDescent="0.3">
      <c r="A101" s="176"/>
      <c r="T101" s="176"/>
    </row>
    <row r="102" spans="1:20" x14ac:dyDescent="0.3">
      <c r="A102" s="176"/>
      <c r="T102" s="176"/>
    </row>
    <row r="103" spans="1:20" x14ac:dyDescent="0.3">
      <c r="A103" s="176"/>
      <c r="T103" s="176"/>
    </row>
    <row r="104" spans="1:20" x14ac:dyDescent="0.3">
      <c r="A104" s="176"/>
      <c r="T104" s="176"/>
    </row>
    <row r="105" spans="1:20" x14ac:dyDescent="0.3">
      <c r="A105" s="176"/>
      <c r="T105" s="176"/>
    </row>
    <row r="106" spans="1:20" x14ac:dyDescent="0.3">
      <c r="A106" s="176"/>
      <c r="T106" s="176"/>
    </row>
    <row r="107" spans="1:20" x14ac:dyDescent="0.3">
      <c r="A107" s="176"/>
      <c r="T107" s="176"/>
    </row>
    <row r="108" spans="1:20" x14ac:dyDescent="0.3">
      <c r="A108" s="176"/>
      <c r="T108" s="176"/>
    </row>
    <row r="109" spans="1:20" x14ac:dyDescent="0.3">
      <c r="A109" s="176"/>
      <c r="T109" s="176"/>
    </row>
    <row r="110" spans="1:20" x14ac:dyDescent="0.3">
      <c r="A110" s="176"/>
      <c r="T110" s="176"/>
    </row>
    <row r="111" spans="1:20" x14ac:dyDescent="0.3">
      <c r="A111" s="176"/>
      <c r="T111" s="176"/>
    </row>
    <row r="112" spans="1:20" x14ac:dyDescent="0.3">
      <c r="A112" s="176"/>
      <c r="T112" s="176"/>
    </row>
    <row r="113" spans="1:20" x14ac:dyDescent="0.3">
      <c r="A113" s="176"/>
      <c r="T113" s="176"/>
    </row>
    <row r="114" spans="1:20" x14ac:dyDescent="0.3">
      <c r="A114" s="176"/>
      <c r="T114" s="176"/>
    </row>
    <row r="115" spans="1:20" x14ac:dyDescent="0.3">
      <c r="A115" s="176"/>
      <c r="T115" s="176"/>
    </row>
    <row r="116" spans="1:20" x14ac:dyDescent="0.3">
      <c r="A116" s="176"/>
      <c r="T116" s="176"/>
    </row>
    <row r="117" spans="1:20" ht="14.5" x14ac:dyDescent="0.35">
      <c r="A117" s="176"/>
      <c r="C117" s="372" t="s">
        <v>1518</v>
      </c>
      <c r="D117" s="372" t="s">
        <v>244</v>
      </c>
      <c r="T117" s="176"/>
    </row>
    <row r="118" spans="1:20" ht="14.5" x14ac:dyDescent="0.35">
      <c r="A118" s="176"/>
      <c r="C118" s="530" t="s">
        <v>1509</v>
      </c>
      <c r="D118" s="534" t="str">
        <f>IF(calcTier4MBX&lt;&gt;0,Tier4MBXSize/1024,strEmpty)</f>
        <v>--</v>
      </c>
      <c r="T118" s="176"/>
    </row>
    <row r="119" spans="1:20" ht="14.5" x14ac:dyDescent="0.35">
      <c r="A119" s="176"/>
      <c r="C119" s="533" t="s">
        <v>1533</v>
      </c>
      <c r="D119" s="531">
        <f>calcTier4PredictCapMonths</f>
        <v>0</v>
      </c>
      <c r="T119" s="176"/>
    </row>
    <row r="120" spans="1:20" ht="13.5" thickBot="1" x14ac:dyDescent="0.35">
      <c r="A120" s="176"/>
      <c r="B120" s="177"/>
      <c r="C120" s="5"/>
      <c r="D120" s="5"/>
      <c r="E120" s="5"/>
      <c r="F120" s="5"/>
      <c r="G120" s="5"/>
      <c r="H120" s="5"/>
      <c r="I120" s="5"/>
      <c r="J120" s="5"/>
      <c r="K120" s="5"/>
      <c r="L120" s="5"/>
      <c r="M120" s="5"/>
      <c r="N120" s="5"/>
      <c r="O120" s="5"/>
      <c r="P120" s="5"/>
      <c r="Q120" s="5"/>
      <c r="R120" s="5"/>
      <c r="S120" s="5"/>
      <c r="T120" s="6"/>
    </row>
    <row r="121" spans="1:20" x14ac:dyDescent="0.3">
      <c r="T121" s="474"/>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dimension ref="A1:T69"/>
  <sheetViews>
    <sheetView showGridLines="0" zoomScale="85" zoomScaleNormal="85" workbookViewId="0">
      <selection activeCell="D13" sqref="D13"/>
    </sheetView>
  </sheetViews>
  <sheetFormatPr defaultColWidth="9" defaultRowHeight="13" x14ac:dyDescent="0.3"/>
  <cols>
    <col min="1" max="1" width="3.3984375" customWidth="1"/>
    <col min="2" max="2" width="43.59765625" bestFit="1" customWidth="1"/>
    <col min="3" max="3" width="26.59765625" bestFit="1" customWidth="1"/>
  </cols>
  <sheetData>
    <row r="1" spans="1:20" ht="15" thickBot="1" x14ac:dyDescent="0.35">
      <c r="B1" s="1243" t="s">
        <v>264</v>
      </c>
      <c r="C1" s="1244"/>
      <c r="D1" s="1244"/>
      <c r="E1" s="1244"/>
      <c r="F1" s="1244"/>
      <c r="G1" s="1244"/>
      <c r="H1" s="1244"/>
      <c r="I1" s="1244"/>
      <c r="J1" s="1244"/>
      <c r="K1" s="1244"/>
      <c r="L1" s="1244"/>
      <c r="M1" s="1244"/>
      <c r="N1" s="1244"/>
      <c r="O1" s="1244"/>
      <c r="P1" s="1244"/>
      <c r="Q1" s="1244"/>
      <c r="R1" s="1244"/>
      <c r="S1" s="1244"/>
      <c r="T1" s="479"/>
    </row>
    <row r="2" spans="1:20" x14ac:dyDescent="0.3">
      <c r="B2" s="476"/>
      <c r="C2" s="474"/>
      <c r="D2" s="474"/>
      <c r="E2" s="474"/>
      <c r="F2" s="474"/>
      <c r="G2" s="474"/>
      <c r="H2" s="474"/>
      <c r="I2" s="474"/>
      <c r="J2" s="474"/>
      <c r="K2" s="474"/>
      <c r="T2" s="477"/>
    </row>
    <row r="3" spans="1:20" ht="14.5" x14ac:dyDescent="0.3">
      <c r="B3" s="1124" t="s">
        <v>1497</v>
      </c>
      <c r="C3" s="1093"/>
      <c r="D3" s="1093"/>
      <c r="E3" s="1093"/>
      <c r="F3" s="1093"/>
      <c r="G3" s="1093"/>
      <c r="H3" s="1093"/>
      <c r="I3" s="1093"/>
      <c r="J3" s="1093"/>
      <c r="K3" s="1093"/>
      <c r="L3" s="1093"/>
      <c r="M3" s="1093"/>
      <c r="N3" s="1093"/>
      <c r="O3" s="1093"/>
      <c r="P3" s="1093"/>
      <c r="Q3" s="1093"/>
      <c r="R3" s="1093"/>
      <c r="S3" s="1093"/>
      <c r="T3" s="1113"/>
    </row>
    <row r="4" spans="1:20" ht="14.5" x14ac:dyDescent="0.3">
      <c r="B4" s="515"/>
      <c r="C4" s="296"/>
      <c r="D4" s="296"/>
      <c r="E4" s="296"/>
      <c r="F4" s="296"/>
      <c r="G4" s="296"/>
      <c r="H4" s="296"/>
      <c r="I4" s="296"/>
      <c r="J4" s="296"/>
      <c r="K4" s="296"/>
      <c r="T4" s="176"/>
    </row>
    <row r="5" spans="1:20" ht="14.5" x14ac:dyDescent="0.3">
      <c r="B5" s="516" t="s">
        <v>1503</v>
      </c>
      <c r="C5" s="513" t="s">
        <v>244</v>
      </c>
      <c r="D5" s="296"/>
      <c r="E5" s="296"/>
      <c r="F5" s="296"/>
      <c r="G5" s="296"/>
      <c r="H5" s="296"/>
      <c r="I5" s="296"/>
      <c r="J5" s="296"/>
      <c r="K5" s="296"/>
      <c r="T5" s="176"/>
    </row>
    <row r="6" spans="1:20" ht="14.5" x14ac:dyDescent="0.3">
      <c r="B6" s="508" t="s">
        <v>1499</v>
      </c>
      <c r="C6" s="510">
        <f>IF(calcTier1MBX&lt;&gt;0,Tier1AvgMessageSize*Tier1MessageProfile*WorkWeekDays/1024,0)</f>
        <v>0</v>
      </c>
      <c r="D6" s="296"/>
      <c r="E6" s="296"/>
      <c r="F6" s="296"/>
      <c r="G6" s="296"/>
      <c r="H6" s="296"/>
      <c r="I6" s="296"/>
      <c r="J6" s="296"/>
      <c r="K6" s="296"/>
      <c r="T6" s="176"/>
    </row>
    <row r="7" spans="1:20" ht="14.5" x14ac:dyDescent="0.3">
      <c r="B7" s="509" t="s">
        <v>1508</v>
      </c>
      <c r="C7" s="511">
        <f>IF(calcTier1MBX&lt;&gt;0,calcTier1WeeklyData*52/1024,0)</f>
        <v>0</v>
      </c>
      <c r="D7" s="296"/>
      <c r="E7" s="296"/>
      <c r="F7" s="296"/>
      <c r="G7" s="296"/>
      <c r="H7" s="296"/>
      <c r="I7" s="296"/>
      <c r="J7" s="296"/>
      <c r="K7" s="296"/>
      <c r="T7" s="176"/>
    </row>
    <row r="8" spans="1:20" ht="14.5" x14ac:dyDescent="0.3">
      <c r="B8" s="508" t="s">
        <v>1500</v>
      </c>
      <c r="C8" s="510">
        <f>IF(calcTier1MBX&lt;&gt;0,calcTier1YearlyData/12*1024,0)</f>
        <v>0</v>
      </c>
      <c r="D8" s="296"/>
      <c r="E8" s="296"/>
      <c r="F8" s="296"/>
      <c r="G8" s="296"/>
      <c r="H8" s="296"/>
      <c r="I8" s="296"/>
      <c r="J8" s="296"/>
      <c r="K8" s="296"/>
      <c r="T8" s="176"/>
    </row>
    <row r="9" spans="1:20" ht="14.5" x14ac:dyDescent="0.3">
      <c r="B9" s="507" t="s">
        <v>1501</v>
      </c>
      <c r="C9" s="512">
        <f>IF(calcTier1MBX&lt;&gt;0,Tier1MBXSize/1024/(calcTier1YearlyData+calcTier1InitialMBXSize/1024),0)</f>
        <v>0</v>
      </c>
      <c r="D9" s="296"/>
      <c r="E9" s="296"/>
      <c r="F9" s="296"/>
      <c r="G9" s="296"/>
      <c r="H9" s="296"/>
      <c r="I9" s="296"/>
      <c r="J9" s="296"/>
      <c r="K9" s="296"/>
      <c r="T9" s="176"/>
    </row>
    <row r="10" spans="1:20" ht="14.5" x14ac:dyDescent="0.3">
      <c r="B10" s="507" t="s">
        <v>1502</v>
      </c>
      <c r="C10" s="512">
        <f>IF(calcTier1MBX&lt;&gt;0,calcTier1PredictCapYears*12,0)</f>
        <v>0</v>
      </c>
      <c r="D10" s="296"/>
      <c r="E10" s="296"/>
      <c r="F10" s="296"/>
      <c r="G10" s="296"/>
      <c r="H10" s="296"/>
      <c r="I10" s="296"/>
      <c r="J10" s="296"/>
      <c r="K10" s="296"/>
      <c r="T10" s="176"/>
    </row>
    <row r="11" spans="1:20" ht="14.5" x14ac:dyDescent="0.3">
      <c r="B11" s="507"/>
      <c r="C11" s="512"/>
      <c r="D11" s="296"/>
      <c r="E11" s="296"/>
      <c r="F11" s="296"/>
      <c r="G11" s="296"/>
      <c r="H11" s="296"/>
      <c r="I11" s="296"/>
      <c r="J11" s="296"/>
      <c r="K11" s="296"/>
      <c r="T11" s="176"/>
    </row>
    <row r="12" spans="1:20" ht="15" thickBot="1" x14ac:dyDescent="0.35">
      <c r="B12" s="518" t="s">
        <v>1504</v>
      </c>
      <c r="C12" s="196">
        <v>0</v>
      </c>
      <c r="D12" s="196">
        <v>12</v>
      </c>
      <c r="E12" s="196">
        <v>15</v>
      </c>
      <c r="F12" s="196">
        <v>18</v>
      </c>
      <c r="G12" s="196">
        <v>21</v>
      </c>
      <c r="H12" s="196">
        <v>24</v>
      </c>
      <c r="I12" s="196">
        <v>27</v>
      </c>
      <c r="J12" s="196">
        <v>30</v>
      </c>
      <c r="K12" s="196">
        <v>33</v>
      </c>
      <c r="L12" s="196">
        <v>36</v>
      </c>
      <c r="M12" s="520">
        <v>39</v>
      </c>
      <c r="N12" s="519">
        <v>42</v>
      </c>
      <c r="O12" s="519">
        <v>45</v>
      </c>
      <c r="P12" s="519">
        <v>48</v>
      </c>
      <c r="Q12" s="519">
        <v>51</v>
      </c>
      <c r="R12" s="519">
        <v>54</v>
      </c>
      <c r="S12" s="529">
        <v>57</v>
      </c>
      <c r="T12" s="521">
        <v>60</v>
      </c>
    </row>
    <row r="13" spans="1:20" ht="15" thickTop="1" x14ac:dyDescent="0.3">
      <c r="B13" s="507" t="s">
        <v>1505</v>
      </c>
      <c r="C13" s="37">
        <f>calcTier1InitialMBXSize/1024</f>
        <v>0</v>
      </c>
      <c r="D13" s="512">
        <f>(calcTier1YearlyData+(calcTier1InitialMBXSize/1024))*0.6</f>
        <v>0</v>
      </c>
      <c r="E13" s="512">
        <f t="shared" ref="E13:T13" si="0">(calcTier1YearlyData+(calcTier1InitialMBXSize/1024))*0.6*E12/12</f>
        <v>0</v>
      </c>
      <c r="F13" s="512">
        <f t="shared" si="0"/>
        <v>0</v>
      </c>
      <c r="G13" s="512">
        <f t="shared" si="0"/>
        <v>0</v>
      </c>
      <c r="H13" s="512">
        <f t="shared" si="0"/>
        <v>0</v>
      </c>
      <c r="I13" s="512">
        <f t="shared" si="0"/>
        <v>0</v>
      </c>
      <c r="J13" s="512">
        <f t="shared" si="0"/>
        <v>0</v>
      </c>
      <c r="K13" s="512">
        <f t="shared" si="0"/>
        <v>0</v>
      </c>
      <c r="L13" s="512">
        <f t="shared" si="0"/>
        <v>0</v>
      </c>
      <c r="M13" s="512">
        <f t="shared" si="0"/>
        <v>0</v>
      </c>
      <c r="N13" s="512">
        <f t="shared" si="0"/>
        <v>0</v>
      </c>
      <c r="O13" s="512">
        <f t="shared" si="0"/>
        <v>0</v>
      </c>
      <c r="P13" s="512">
        <f t="shared" si="0"/>
        <v>0</v>
      </c>
      <c r="Q13" s="512">
        <f t="shared" si="0"/>
        <v>0</v>
      </c>
      <c r="R13" s="512">
        <f t="shared" si="0"/>
        <v>0</v>
      </c>
      <c r="S13" s="512">
        <f t="shared" si="0"/>
        <v>0</v>
      </c>
      <c r="T13" s="517">
        <f t="shared" si="0"/>
        <v>0</v>
      </c>
    </row>
    <row r="14" spans="1:20" ht="14.5" x14ac:dyDescent="0.3">
      <c r="B14" s="507" t="s">
        <v>1506</v>
      </c>
      <c r="C14" s="37">
        <f>calcTier1InitialMBXSize/1024</f>
        <v>0</v>
      </c>
      <c r="D14" s="512">
        <f>(calcTier1YearlyData+(calcTier1InitialMBXSize/1024))*0.8</f>
        <v>0</v>
      </c>
      <c r="E14" s="512">
        <f t="shared" ref="E14:T14" si="1">(calcTier1YearlyData+(calcTier1InitialMBXSize/1024))*0.8*E12/12</f>
        <v>0</v>
      </c>
      <c r="F14" s="512">
        <f t="shared" si="1"/>
        <v>0</v>
      </c>
      <c r="G14" s="512">
        <f t="shared" si="1"/>
        <v>0</v>
      </c>
      <c r="H14" s="512">
        <f t="shared" si="1"/>
        <v>0</v>
      </c>
      <c r="I14" s="512">
        <f t="shared" si="1"/>
        <v>0</v>
      </c>
      <c r="J14" s="512">
        <f t="shared" si="1"/>
        <v>0</v>
      </c>
      <c r="K14" s="512">
        <f t="shared" si="1"/>
        <v>0</v>
      </c>
      <c r="L14" s="512">
        <f t="shared" si="1"/>
        <v>0</v>
      </c>
      <c r="M14" s="512">
        <f t="shared" si="1"/>
        <v>0</v>
      </c>
      <c r="N14" s="512">
        <f t="shared" si="1"/>
        <v>0</v>
      </c>
      <c r="O14" s="512">
        <f t="shared" si="1"/>
        <v>0</v>
      </c>
      <c r="P14" s="512">
        <f t="shared" si="1"/>
        <v>0</v>
      </c>
      <c r="Q14" s="512">
        <f t="shared" si="1"/>
        <v>0</v>
      </c>
      <c r="R14" s="512">
        <f t="shared" si="1"/>
        <v>0</v>
      </c>
      <c r="S14" s="512">
        <f t="shared" si="1"/>
        <v>0</v>
      </c>
      <c r="T14" s="517">
        <f t="shared" si="1"/>
        <v>0</v>
      </c>
    </row>
    <row r="15" spans="1:20" ht="14.5" x14ac:dyDescent="0.3">
      <c r="B15" s="507" t="s">
        <v>1507</v>
      </c>
      <c r="C15" s="37">
        <f>calcTier1InitialMBXSize/1024</f>
        <v>0</v>
      </c>
      <c r="D15" s="512">
        <f>calcTier1YearlyData+(calcTier1InitialMBXSize/1024)</f>
        <v>0</v>
      </c>
      <c r="E15" s="512">
        <f t="shared" ref="E15:T15" si="2">(calcTier1YearlyData+(calcTier1InitialMBXSize/1024))*E12/12</f>
        <v>0</v>
      </c>
      <c r="F15" s="512">
        <f t="shared" si="2"/>
        <v>0</v>
      </c>
      <c r="G15" s="512">
        <f t="shared" si="2"/>
        <v>0</v>
      </c>
      <c r="H15" s="512">
        <f t="shared" si="2"/>
        <v>0</v>
      </c>
      <c r="I15" s="512">
        <f t="shared" si="2"/>
        <v>0</v>
      </c>
      <c r="J15" s="512">
        <f t="shared" si="2"/>
        <v>0</v>
      </c>
      <c r="K15" s="512">
        <f t="shared" si="2"/>
        <v>0</v>
      </c>
      <c r="L15" s="512">
        <f t="shared" si="2"/>
        <v>0</v>
      </c>
      <c r="M15" s="512">
        <f t="shared" si="2"/>
        <v>0</v>
      </c>
      <c r="N15" s="512">
        <f t="shared" si="2"/>
        <v>0</v>
      </c>
      <c r="O15" s="512">
        <f t="shared" si="2"/>
        <v>0</v>
      </c>
      <c r="P15" s="512">
        <f t="shared" si="2"/>
        <v>0</v>
      </c>
      <c r="Q15" s="512">
        <f t="shared" si="2"/>
        <v>0</v>
      </c>
      <c r="R15" s="512">
        <f t="shared" si="2"/>
        <v>0</v>
      </c>
      <c r="S15" s="512">
        <f t="shared" si="2"/>
        <v>0</v>
      </c>
      <c r="T15" s="517">
        <f t="shared" si="2"/>
        <v>0</v>
      </c>
    </row>
    <row r="16" spans="1:20" ht="14.5" x14ac:dyDescent="0.3">
      <c r="A16" s="176"/>
      <c r="B16" s="35"/>
      <c r="C16" s="512"/>
      <c r="D16" s="296"/>
      <c r="E16" s="296"/>
      <c r="F16" s="296"/>
      <c r="G16" s="296"/>
      <c r="H16" s="296"/>
      <c r="I16" s="296"/>
      <c r="J16" s="296"/>
      <c r="K16" s="296"/>
      <c r="T16" s="176"/>
    </row>
    <row r="17" spans="1:20" ht="14.5" x14ac:dyDescent="0.3">
      <c r="A17" s="176"/>
      <c r="B17" s="139" t="s">
        <v>1504</v>
      </c>
      <c r="C17" s="514" t="s">
        <v>1509</v>
      </c>
      <c r="D17" s="296"/>
      <c r="E17" s="296"/>
      <c r="F17" s="296"/>
      <c r="G17" s="296"/>
      <c r="H17" s="296"/>
      <c r="I17" s="296"/>
      <c r="J17" s="296"/>
      <c r="K17" s="296"/>
      <c r="T17" s="176"/>
    </row>
    <row r="18" spans="1:20" ht="14.5" x14ac:dyDescent="0.3">
      <c r="A18" s="176"/>
      <c r="B18" s="512">
        <f>calcTier1PredictCapMonths</f>
        <v>0</v>
      </c>
      <c r="C18" s="512">
        <f>calcTier1PredictCapMonths</f>
        <v>0</v>
      </c>
      <c r="D18" s="296"/>
      <c r="E18" s="296"/>
      <c r="F18" s="296"/>
      <c r="G18" s="296"/>
      <c r="H18" s="296"/>
      <c r="I18" s="296"/>
      <c r="J18" s="296"/>
      <c r="K18" s="296"/>
      <c r="T18" s="176"/>
    </row>
    <row r="19" spans="1:20" ht="14.5" x14ac:dyDescent="0.3">
      <c r="A19" s="176"/>
      <c r="B19" s="37">
        <v>0</v>
      </c>
      <c r="C19" s="512">
        <f>Tier1MBXSize/1024</f>
        <v>0</v>
      </c>
      <c r="D19" s="296"/>
      <c r="E19" s="296"/>
      <c r="F19" s="296"/>
      <c r="G19" s="296"/>
      <c r="H19" s="296"/>
      <c r="I19" s="296"/>
      <c r="J19" s="296"/>
      <c r="K19" s="296"/>
      <c r="T19" s="176"/>
    </row>
    <row r="20" spans="1:20" x14ac:dyDescent="0.3">
      <c r="A20" s="176"/>
      <c r="T20" s="176"/>
    </row>
    <row r="21" spans="1:20" ht="14.5" x14ac:dyDescent="0.3">
      <c r="A21" s="176"/>
      <c r="B21" s="522" t="s">
        <v>1510</v>
      </c>
      <c r="C21" s="522" t="s">
        <v>244</v>
      </c>
      <c r="T21" s="176"/>
    </row>
    <row r="22" spans="1:20" ht="14.5" x14ac:dyDescent="0.3">
      <c r="A22" s="176"/>
      <c r="B22" s="527" t="s">
        <v>1499</v>
      </c>
      <c r="C22" s="525">
        <f>IF(calcTier2MBX&lt;&gt;0,Tier2AvgMessageSize*Tier2MessageProfile*WorkWeekDays/1024,0)</f>
        <v>0</v>
      </c>
      <c r="T22" s="176"/>
    </row>
    <row r="23" spans="1:20" ht="14.5" x14ac:dyDescent="0.3">
      <c r="A23" s="176"/>
      <c r="B23" s="527" t="s">
        <v>1508</v>
      </c>
      <c r="C23" s="525">
        <f>IF(calcTier2MBX&lt;&gt;0,calcTier2WeeklyData*52/1024,0)</f>
        <v>0</v>
      </c>
      <c r="T23" s="176"/>
    </row>
    <row r="24" spans="1:20" ht="14.5" x14ac:dyDescent="0.3">
      <c r="A24" s="176"/>
      <c r="B24" s="527" t="s">
        <v>1500</v>
      </c>
      <c r="C24" s="525">
        <f>IF(calcTier2MBX&lt;&gt;0,calcTier2YearlyData/12*1024,0)</f>
        <v>0</v>
      </c>
      <c r="T24" s="176"/>
    </row>
    <row r="25" spans="1:20" ht="14.5" x14ac:dyDescent="0.3">
      <c r="A25" s="176"/>
      <c r="B25" s="528" t="s">
        <v>1501</v>
      </c>
      <c r="C25" s="526">
        <f>IF(calcTier2MBX&lt;&gt;0,Tier2MBXSize/1024/(calcTier2YearlyData+calcTier2InitialMBXSize/1024),0)</f>
        <v>0</v>
      </c>
      <c r="T25" s="176"/>
    </row>
    <row r="26" spans="1:20" ht="14.5" x14ac:dyDescent="0.3">
      <c r="A26" s="176"/>
      <c r="B26" s="528" t="s">
        <v>1502</v>
      </c>
      <c r="C26" s="526">
        <f>IF(calcTier2MBX&lt;&gt;0,calcTier2PredictCapYears*12,0)</f>
        <v>0</v>
      </c>
      <c r="T26" s="176"/>
    </row>
    <row r="27" spans="1:20" x14ac:dyDescent="0.3">
      <c r="A27" s="176"/>
      <c r="T27" s="176"/>
    </row>
    <row r="28" spans="1:20" ht="15" thickBot="1" x14ac:dyDescent="0.35">
      <c r="A28" s="176"/>
      <c r="B28" s="195" t="s">
        <v>1514</v>
      </c>
      <c r="C28" s="196">
        <v>0</v>
      </c>
      <c r="D28" s="196">
        <v>12</v>
      </c>
      <c r="E28" s="196">
        <v>15</v>
      </c>
      <c r="F28" s="196">
        <v>18</v>
      </c>
      <c r="G28" s="196">
        <v>21</v>
      </c>
      <c r="H28" s="196">
        <v>24</v>
      </c>
      <c r="I28" s="196">
        <v>27</v>
      </c>
      <c r="J28" s="196">
        <v>30</v>
      </c>
      <c r="K28" s="196">
        <v>33</v>
      </c>
      <c r="L28" s="196">
        <v>36</v>
      </c>
      <c r="M28" s="520">
        <v>39</v>
      </c>
      <c r="N28" s="519">
        <v>42</v>
      </c>
      <c r="O28" s="519">
        <v>45</v>
      </c>
      <c r="P28" s="519">
        <v>48</v>
      </c>
      <c r="Q28" s="519">
        <v>51</v>
      </c>
      <c r="R28" s="519">
        <v>54</v>
      </c>
      <c r="S28" s="529">
        <v>57</v>
      </c>
      <c r="T28" s="521">
        <v>60</v>
      </c>
    </row>
    <row r="29" spans="1:20" ht="15" thickTop="1" x14ac:dyDescent="0.3">
      <c r="A29" s="176"/>
      <c r="B29" s="35" t="s">
        <v>1505</v>
      </c>
      <c r="C29" s="512">
        <f>IF(calcTier2MBX&lt;&gt;0,calcTier2InitialMBXSize/1024,0)</f>
        <v>0</v>
      </c>
      <c r="D29" s="512">
        <f>(calcTier2YearlyData+(calcTier2InitialMBXSize/1024))*0.6</f>
        <v>0</v>
      </c>
      <c r="E29" s="512">
        <f t="shared" ref="E29:T29" si="3">(calcTier2YearlyData+(calcTier2InitialMBXSize/1024))*0.6*E28/12</f>
        <v>0</v>
      </c>
      <c r="F29" s="512">
        <f t="shared" si="3"/>
        <v>0</v>
      </c>
      <c r="G29" s="512">
        <f t="shared" si="3"/>
        <v>0</v>
      </c>
      <c r="H29" s="512">
        <f t="shared" si="3"/>
        <v>0</v>
      </c>
      <c r="I29" s="512">
        <f t="shared" si="3"/>
        <v>0</v>
      </c>
      <c r="J29" s="512">
        <f t="shared" si="3"/>
        <v>0</v>
      </c>
      <c r="K29" s="512">
        <f t="shared" si="3"/>
        <v>0</v>
      </c>
      <c r="L29" s="512">
        <f t="shared" si="3"/>
        <v>0</v>
      </c>
      <c r="M29" s="512">
        <f t="shared" si="3"/>
        <v>0</v>
      </c>
      <c r="N29" s="512">
        <f t="shared" si="3"/>
        <v>0</v>
      </c>
      <c r="O29" s="512">
        <f t="shared" si="3"/>
        <v>0</v>
      </c>
      <c r="P29" s="512">
        <f t="shared" si="3"/>
        <v>0</v>
      </c>
      <c r="Q29" s="512">
        <f t="shared" si="3"/>
        <v>0</v>
      </c>
      <c r="R29" s="512">
        <f t="shared" si="3"/>
        <v>0</v>
      </c>
      <c r="S29" s="512">
        <f t="shared" si="3"/>
        <v>0</v>
      </c>
      <c r="T29" s="517">
        <f t="shared" si="3"/>
        <v>0</v>
      </c>
    </row>
    <row r="30" spans="1:20" ht="14.5" x14ac:dyDescent="0.3">
      <c r="A30" s="176"/>
      <c r="B30" s="35" t="s">
        <v>1506</v>
      </c>
      <c r="C30" s="512">
        <f>IF(calcTier2MBX&lt;&gt;0,calcTier2InitialMBXSize/1024,0)</f>
        <v>0</v>
      </c>
      <c r="D30" s="512">
        <f>(calcTier2YearlyData+(calcTier2InitialMBXSize/1024))*0.8</f>
        <v>0</v>
      </c>
      <c r="E30" s="512">
        <f t="shared" ref="E30:T30" si="4">(calcTier2YearlyData+(calcTier2InitialMBXSize/1024))*0.8*E28/12</f>
        <v>0</v>
      </c>
      <c r="F30" s="512">
        <f t="shared" si="4"/>
        <v>0</v>
      </c>
      <c r="G30" s="512">
        <f t="shared" si="4"/>
        <v>0</v>
      </c>
      <c r="H30" s="512">
        <f t="shared" si="4"/>
        <v>0</v>
      </c>
      <c r="I30" s="512">
        <f t="shared" si="4"/>
        <v>0</v>
      </c>
      <c r="J30" s="512">
        <f t="shared" si="4"/>
        <v>0</v>
      </c>
      <c r="K30" s="512">
        <f t="shared" si="4"/>
        <v>0</v>
      </c>
      <c r="L30" s="512">
        <f t="shared" si="4"/>
        <v>0</v>
      </c>
      <c r="M30" s="512">
        <f t="shared" si="4"/>
        <v>0</v>
      </c>
      <c r="N30" s="512">
        <f t="shared" si="4"/>
        <v>0</v>
      </c>
      <c r="O30" s="512">
        <f t="shared" si="4"/>
        <v>0</v>
      </c>
      <c r="P30" s="512">
        <f t="shared" si="4"/>
        <v>0</v>
      </c>
      <c r="Q30" s="512">
        <f t="shared" si="4"/>
        <v>0</v>
      </c>
      <c r="R30" s="512">
        <f t="shared" si="4"/>
        <v>0</v>
      </c>
      <c r="S30" s="512">
        <f t="shared" si="4"/>
        <v>0</v>
      </c>
      <c r="T30" s="517">
        <f t="shared" si="4"/>
        <v>0</v>
      </c>
    </row>
    <row r="31" spans="1:20" ht="14.5" x14ac:dyDescent="0.3">
      <c r="A31" s="176"/>
      <c r="B31" s="35" t="s">
        <v>1507</v>
      </c>
      <c r="C31" s="512">
        <f>IF(calcTier2MBX&lt;&gt;0,calcTier2InitialMBXSize/1024,0)</f>
        <v>0</v>
      </c>
      <c r="D31" s="512">
        <f>calcTier2YearlyData+(calcTier2InitialMBXSize/1024)</f>
        <v>0</v>
      </c>
      <c r="E31" s="512">
        <f t="shared" ref="E31:T31" si="5">(calcTier2YearlyData+(calcTier2InitialMBXSize/1024))*E28/12</f>
        <v>0</v>
      </c>
      <c r="F31" s="512">
        <f t="shared" si="5"/>
        <v>0</v>
      </c>
      <c r="G31" s="512">
        <f t="shared" si="5"/>
        <v>0</v>
      </c>
      <c r="H31" s="512">
        <f t="shared" si="5"/>
        <v>0</v>
      </c>
      <c r="I31" s="512">
        <f t="shared" si="5"/>
        <v>0</v>
      </c>
      <c r="J31" s="512">
        <f t="shared" si="5"/>
        <v>0</v>
      </c>
      <c r="K31" s="512">
        <f t="shared" si="5"/>
        <v>0</v>
      </c>
      <c r="L31" s="512">
        <f t="shared" si="5"/>
        <v>0</v>
      </c>
      <c r="M31" s="512">
        <f t="shared" si="5"/>
        <v>0</v>
      </c>
      <c r="N31" s="512">
        <f t="shared" si="5"/>
        <v>0</v>
      </c>
      <c r="O31" s="512">
        <f t="shared" si="5"/>
        <v>0</v>
      </c>
      <c r="P31" s="512">
        <f t="shared" si="5"/>
        <v>0</v>
      </c>
      <c r="Q31" s="512">
        <f t="shared" si="5"/>
        <v>0</v>
      </c>
      <c r="R31" s="512">
        <f t="shared" si="5"/>
        <v>0</v>
      </c>
      <c r="S31" s="512">
        <f t="shared" si="5"/>
        <v>0</v>
      </c>
      <c r="T31" s="517">
        <f t="shared" si="5"/>
        <v>0</v>
      </c>
    </row>
    <row r="32" spans="1:20" ht="14.5" x14ac:dyDescent="0.3">
      <c r="A32" s="176"/>
      <c r="B32" s="35"/>
      <c r="C32" s="512"/>
      <c r="D32" s="296"/>
      <c r="E32" s="296"/>
      <c r="F32" s="296"/>
      <c r="G32" s="296"/>
      <c r="H32" s="296"/>
      <c r="I32" s="296"/>
      <c r="J32" s="296"/>
      <c r="K32" s="296"/>
      <c r="T32" s="176"/>
    </row>
    <row r="33" spans="1:20" ht="14.5" x14ac:dyDescent="0.3">
      <c r="A33" s="176"/>
      <c r="B33" s="139" t="s">
        <v>1514</v>
      </c>
      <c r="C33" s="514" t="s">
        <v>1509</v>
      </c>
      <c r="D33" s="296"/>
      <c r="E33" s="296"/>
      <c r="F33" s="296"/>
      <c r="G33" s="296"/>
      <c r="H33" s="296"/>
      <c r="I33" s="296"/>
      <c r="J33" s="296"/>
      <c r="K33" s="296"/>
      <c r="T33" s="176"/>
    </row>
    <row r="34" spans="1:20" ht="14.5" x14ac:dyDescent="0.3">
      <c r="A34" s="176"/>
      <c r="B34" s="512">
        <f>calcTier2PredictCapMonths</f>
        <v>0</v>
      </c>
      <c r="C34" s="512">
        <f>calcTier2PredictCapMonths</f>
        <v>0</v>
      </c>
      <c r="D34" s="296"/>
      <c r="E34" s="296"/>
      <c r="F34" s="296"/>
      <c r="G34" s="296"/>
      <c r="H34" s="296"/>
      <c r="I34" s="296"/>
      <c r="J34" s="296"/>
      <c r="K34" s="296"/>
      <c r="T34" s="176"/>
    </row>
    <row r="35" spans="1:20" ht="14.5" x14ac:dyDescent="0.3">
      <c r="A35" s="176"/>
      <c r="B35" s="37">
        <v>0</v>
      </c>
      <c r="C35" s="512">
        <f>Tier2MBXSize/1024</f>
        <v>0</v>
      </c>
      <c r="D35" s="296"/>
      <c r="E35" s="296"/>
      <c r="F35" s="296"/>
      <c r="G35" s="296"/>
      <c r="H35" s="296"/>
      <c r="I35" s="296"/>
      <c r="J35" s="296"/>
      <c r="K35" s="296"/>
      <c r="T35" s="176"/>
    </row>
    <row r="36" spans="1:20" x14ac:dyDescent="0.3">
      <c r="A36" s="176"/>
      <c r="T36" s="176"/>
    </row>
    <row r="37" spans="1:20" ht="14.5" x14ac:dyDescent="0.3">
      <c r="B37" s="516" t="s">
        <v>1512</v>
      </c>
      <c r="C37" s="522" t="s">
        <v>244</v>
      </c>
      <c r="T37" s="176"/>
    </row>
    <row r="38" spans="1:20" ht="14.5" x14ac:dyDescent="0.3">
      <c r="B38" s="523" t="s">
        <v>1499</v>
      </c>
      <c r="C38" s="525">
        <f>IF(calcTier3MBX&lt;&gt;0,Tier3AvgMessageSize*Tier3MessageProfile*WorkWeekDays/1024,0)</f>
        <v>0</v>
      </c>
      <c r="T38" s="176"/>
    </row>
    <row r="39" spans="1:20" ht="14.5" x14ac:dyDescent="0.3">
      <c r="B39" s="523" t="s">
        <v>1508</v>
      </c>
      <c r="C39" s="525">
        <f>IF(calcTier3MBX&lt;&gt;0,calcTier3WeeklyData*52/1024,0)</f>
        <v>0</v>
      </c>
      <c r="T39" s="176"/>
    </row>
    <row r="40" spans="1:20" ht="14.5" x14ac:dyDescent="0.3">
      <c r="B40" s="523" t="s">
        <v>1500</v>
      </c>
      <c r="C40" s="525">
        <f>IF(calcTier3MBX&lt;&gt;0,calcTier3YearlyData/12*1024,0)</f>
        <v>0</v>
      </c>
      <c r="T40" s="176"/>
    </row>
    <row r="41" spans="1:20" ht="14.5" x14ac:dyDescent="0.3">
      <c r="B41" s="524" t="s">
        <v>1501</v>
      </c>
      <c r="C41" s="526">
        <f>IF(calcTier3MBX&lt;&gt;0,Tier3MBXSize/1024/(calcTier3YearlyData+calcTier3InitialMBXSize/1024),0)</f>
        <v>0</v>
      </c>
      <c r="T41" s="176"/>
    </row>
    <row r="42" spans="1:20" ht="14.5" x14ac:dyDescent="0.3">
      <c r="B42" s="524" t="s">
        <v>1502</v>
      </c>
      <c r="C42" s="526">
        <f>IF(calcTier3MBX&lt;&gt;0,calcTier3PredictCapYears*12,0)</f>
        <v>0</v>
      </c>
      <c r="T42" s="176"/>
    </row>
    <row r="43" spans="1:20" x14ac:dyDescent="0.3">
      <c r="A43" s="176"/>
      <c r="T43" s="176"/>
    </row>
    <row r="44" spans="1:20" ht="15" thickBot="1" x14ac:dyDescent="0.35">
      <c r="A44" s="176"/>
      <c r="B44" s="195" t="s">
        <v>1513</v>
      </c>
      <c r="C44" s="196">
        <v>0</v>
      </c>
      <c r="D44" s="196">
        <v>12</v>
      </c>
      <c r="E44" s="196">
        <v>15</v>
      </c>
      <c r="F44" s="196">
        <v>18</v>
      </c>
      <c r="G44" s="196">
        <v>21</v>
      </c>
      <c r="H44" s="196">
        <v>24</v>
      </c>
      <c r="I44" s="196">
        <v>27</v>
      </c>
      <c r="J44" s="196">
        <v>30</v>
      </c>
      <c r="K44" s="196">
        <v>33</v>
      </c>
      <c r="L44" s="196">
        <v>36</v>
      </c>
      <c r="M44" s="520">
        <v>39</v>
      </c>
      <c r="N44" s="519">
        <v>42</v>
      </c>
      <c r="O44" s="519">
        <v>45</v>
      </c>
      <c r="P44" s="519">
        <v>48</v>
      </c>
      <c r="Q44" s="519">
        <v>51</v>
      </c>
      <c r="R44" s="519">
        <v>54</v>
      </c>
      <c r="S44" s="529">
        <v>57</v>
      </c>
      <c r="T44" s="521">
        <v>60</v>
      </c>
    </row>
    <row r="45" spans="1:20" ht="15" thickTop="1" x14ac:dyDescent="0.3">
      <c r="A45" s="176"/>
      <c r="B45" s="35" t="s">
        <v>1505</v>
      </c>
      <c r="C45" s="512">
        <f>IF(calcTier3MBX&lt;&gt;0,calcTier3InitialMBXSize/1024,0)</f>
        <v>0</v>
      </c>
      <c r="D45" s="512">
        <f>(calcTier3YearlyData+(calcTier3InitialMBXSize/1024))*0.6</f>
        <v>0</v>
      </c>
      <c r="E45" s="512">
        <f t="shared" ref="E45:T45" si="6">(calcTier3YearlyData+(calcTier3InitialMBXSize/1024))*0.6*E44/12</f>
        <v>0</v>
      </c>
      <c r="F45" s="512">
        <f t="shared" si="6"/>
        <v>0</v>
      </c>
      <c r="G45" s="512">
        <f t="shared" si="6"/>
        <v>0</v>
      </c>
      <c r="H45" s="512">
        <f t="shared" si="6"/>
        <v>0</v>
      </c>
      <c r="I45" s="512">
        <f t="shared" si="6"/>
        <v>0</v>
      </c>
      <c r="J45" s="512">
        <f t="shared" si="6"/>
        <v>0</v>
      </c>
      <c r="K45" s="512">
        <f t="shared" si="6"/>
        <v>0</v>
      </c>
      <c r="L45" s="512">
        <f t="shared" si="6"/>
        <v>0</v>
      </c>
      <c r="M45" s="512">
        <f t="shared" si="6"/>
        <v>0</v>
      </c>
      <c r="N45" s="512">
        <f t="shared" si="6"/>
        <v>0</v>
      </c>
      <c r="O45" s="512">
        <f t="shared" si="6"/>
        <v>0</v>
      </c>
      <c r="P45" s="512">
        <f t="shared" si="6"/>
        <v>0</v>
      </c>
      <c r="Q45" s="512">
        <f t="shared" si="6"/>
        <v>0</v>
      </c>
      <c r="R45" s="512">
        <f t="shared" si="6"/>
        <v>0</v>
      </c>
      <c r="S45" s="512">
        <f t="shared" si="6"/>
        <v>0</v>
      </c>
      <c r="T45" s="517">
        <f t="shared" si="6"/>
        <v>0</v>
      </c>
    </row>
    <row r="46" spans="1:20" ht="14.5" x14ac:dyDescent="0.3">
      <c r="A46" s="176"/>
      <c r="B46" s="35" t="s">
        <v>1506</v>
      </c>
      <c r="C46" s="512">
        <f>IF(calcTier3MBX&lt;&gt;0,calcTier3InitialMBXSize/1024,0)</f>
        <v>0</v>
      </c>
      <c r="D46" s="512">
        <f>(calcTier3YearlyData+(calcTier3InitialMBXSize/1024))*0.8</f>
        <v>0</v>
      </c>
      <c r="E46" s="512">
        <f t="shared" ref="E46:T46" si="7">(calcTier3YearlyData+(calcTier3InitialMBXSize/1024))*0.8*E44/12</f>
        <v>0</v>
      </c>
      <c r="F46" s="512">
        <f t="shared" si="7"/>
        <v>0</v>
      </c>
      <c r="G46" s="512">
        <f t="shared" si="7"/>
        <v>0</v>
      </c>
      <c r="H46" s="512">
        <f t="shared" si="7"/>
        <v>0</v>
      </c>
      <c r="I46" s="512">
        <f t="shared" si="7"/>
        <v>0</v>
      </c>
      <c r="J46" s="512">
        <f t="shared" si="7"/>
        <v>0</v>
      </c>
      <c r="K46" s="512">
        <f t="shared" si="7"/>
        <v>0</v>
      </c>
      <c r="L46" s="512">
        <f t="shared" si="7"/>
        <v>0</v>
      </c>
      <c r="M46" s="512">
        <f t="shared" si="7"/>
        <v>0</v>
      </c>
      <c r="N46" s="512">
        <f t="shared" si="7"/>
        <v>0</v>
      </c>
      <c r="O46" s="512">
        <f t="shared" si="7"/>
        <v>0</v>
      </c>
      <c r="P46" s="512">
        <f t="shared" si="7"/>
        <v>0</v>
      </c>
      <c r="Q46" s="512">
        <f t="shared" si="7"/>
        <v>0</v>
      </c>
      <c r="R46" s="512">
        <f t="shared" si="7"/>
        <v>0</v>
      </c>
      <c r="S46" s="512">
        <f t="shared" si="7"/>
        <v>0</v>
      </c>
      <c r="T46" s="517">
        <f t="shared" si="7"/>
        <v>0</v>
      </c>
    </row>
    <row r="47" spans="1:20" ht="14.5" x14ac:dyDescent="0.3">
      <c r="A47" s="176"/>
      <c r="B47" s="35" t="s">
        <v>1507</v>
      </c>
      <c r="C47" s="512">
        <f>IF(calcTier3MBX&lt;&gt;0,calcTier3InitialMBXSize/1024,0)</f>
        <v>0</v>
      </c>
      <c r="D47" s="512">
        <f>calcTier3YearlyData+(calcTier3InitialMBXSize/1024)</f>
        <v>0</v>
      </c>
      <c r="E47" s="512">
        <f t="shared" ref="E47:T47" si="8">(calcTier3YearlyData+(calcTier3InitialMBXSize/1024))*E44/12</f>
        <v>0</v>
      </c>
      <c r="F47" s="512">
        <f t="shared" si="8"/>
        <v>0</v>
      </c>
      <c r="G47" s="512">
        <f t="shared" si="8"/>
        <v>0</v>
      </c>
      <c r="H47" s="512">
        <f t="shared" si="8"/>
        <v>0</v>
      </c>
      <c r="I47" s="512">
        <f t="shared" si="8"/>
        <v>0</v>
      </c>
      <c r="J47" s="512">
        <f t="shared" si="8"/>
        <v>0</v>
      </c>
      <c r="K47" s="512">
        <f t="shared" si="8"/>
        <v>0</v>
      </c>
      <c r="L47" s="512">
        <f t="shared" si="8"/>
        <v>0</v>
      </c>
      <c r="M47" s="512">
        <f t="shared" si="8"/>
        <v>0</v>
      </c>
      <c r="N47" s="512">
        <f t="shared" si="8"/>
        <v>0</v>
      </c>
      <c r="O47" s="512">
        <f t="shared" si="8"/>
        <v>0</v>
      </c>
      <c r="P47" s="512">
        <f t="shared" si="8"/>
        <v>0</v>
      </c>
      <c r="Q47" s="512">
        <f t="shared" si="8"/>
        <v>0</v>
      </c>
      <c r="R47" s="512">
        <f t="shared" si="8"/>
        <v>0</v>
      </c>
      <c r="S47" s="512">
        <f t="shared" si="8"/>
        <v>0</v>
      </c>
      <c r="T47" s="517">
        <f t="shared" si="8"/>
        <v>0</v>
      </c>
    </row>
    <row r="48" spans="1:20" ht="14.5" x14ac:dyDescent="0.3">
      <c r="A48" s="176"/>
      <c r="B48" s="35"/>
      <c r="C48" s="512"/>
      <c r="D48" s="296"/>
      <c r="E48" s="296"/>
      <c r="F48" s="296"/>
      <c r="G48" s="296"/>
      <c r="H48" s="296"/>
      <c r="I48" s="296"/>
      <c r="J48" s="296"/>
      <c r="K48" s="296"/>
      <c r="T48" s="176"/>
    </row>
    <row r="49" spans="1:20" ht="14.5" x14ac:dyDescent="0.3">
      <c r="A49" s="176"/>
      <c r="B49" s="139" t="s">
        <v>1513</v>
      </c>
      <c r="C49" s="514" t="s">
        <v>1509</v>
      </c>
      <c r="D49" s="296"/>
      <c r="E49" s="296"/>
      <c r="F49" s="296"/>
      <c r="G49" s="296"/>
      <c r="H49" s="296"/>
      <c r="I49" s="296"/>
      <c r="J49" s="296"/>
      <c r="K49" s="296"/>
      <c r="T49" s="176"/>
    </row>
    <row r="50" spans="1:20" ht="14.5" x14ac:dyDescent="0.3">
      <c r="A50" s="176"/>
      <c r="B50" s="512">
        <f>calcTier3PredictCapMonths</f>
        <v>0</v>
      </c>
      <c r="C50" s="512">
        <f>calcTier3PredictCapMonths</f>
        <v>0</v>
      </c>
      <c r="D50" s="296"/>
      <c r="E50" s="296"/>
      <c r="F50" s="296"/>
      <c r="G50" s="296"/>
      <c r="H50" s="296"/>
      <c r="I50" s="296"/>
      <c r="J50" s="296"/>
      <c r="K50" s="296"/>
      <c r="T50" s="176"/>
    </row>
    <row r="51" spans="1:20" ht="14.5" x14ac:dyDescent="0.3">
      <c r="A51" s="176"/>
      <c r="B51" s="37">
        <v>0</v>
      </c>
      <c r="C51" s="512">
        <f>Tier3MBXSize/1024</f>
        <v>0</v>
      </c>
      <c r="D51" s="296"/>
      <c r="E51" s="296"/>
      <c r="F51" s="296"/>
      <c r="G51" s="296"/>
      <c r="H51" s="296"/>
      <c r="I51" s="296"/>
      <c r="J51" s="296"/>
      <c r="K51" s="296"/>
      <c r="T51" s="176"/>
    </row>
    <row r="52" spans="1:20" x14ac:dyDescent="0.3">
      <c r="A52" s="176"/>
      <c r="T52" s="176"/>
    </row>
    <row r="53" spans="1:20" ht="14.5" x14ac:dyDescent="0.3">
      <c r="A53" s="176"/>
      <c r="B53" s="513" t="s">
        <v>1512</v>
      </c>
      <c r="C53" s="522" t="s">
        <v>244</v>
      </c>
      <c r="T53" s="176"/>
    </row>
    <row r="54" spans="1:20" ht="14.5" x14ac:dyDescent="0.3">
      <c r="A54" s="176"/>
      <c r="B54" s="527" t="s">
        <v>1499</v>
      </c>
      <c r="C54" s="525">
        <f>IF(calcTier4MBX&lt;&gt;0,Tier4AvgMessageSize*Tier4MessageProfile*WorkWeekDays/1024,0)</f>
        <v>0</v>
      </c>
      <c r="T54" s="176"/>
    </row>
    <row r="55" spans="1:20" ht="14.5" x14ac:dyDescent="0.3">
      <c r="A55" s="176"/>
      <c r="B55" s="527" t="s">
        <v>1508</v>
      </c>
      <c r="C55" s="525">
        <f>IF(calcTier4MBX&lt;&gt;0,calcTier4WeeklyData*52/1024,0)</f>
        <v>0</v>
      </c>
      <c r="T55" s="176"/>
    </row>
    <row r="56" spans="1:20" ht="14.5" x14ac:dyDescent="0.3">
      <c r="A56" s="176"/>
      <c r="B56" s="527" t="s">
        <v>1500</v>
      </c>
      <c r="C56" s="525">
        <f>IF(calcTier4MBX&lt;&gt;0,calcTier4YearlyData/12*1024,0)</f>
        <v>0</v>
      </c>
      <c r="T56" s="176"/>
    </row>
    <row r="57" spans="1:20" ht="14.5" x14ac:dyDescent="0.3">
      <c r="A57" s="176"/>
      <c r="B57" s="528" t="s">
        <v>1501</v>
      </c>
      <c r="C57" s="526">
        <f>IF(calcTier4MBX&lt;&gt;0,Tier4MBXSize/1024/(calcTier4YearlyData+calcTier4InitialMBXSize/1024),0)</f>
        <v>0</v>
      </c>
      <c r="T57" s="176"/>
    </row>
    <row r="58" spans="1:20" ht="14.5" x14ac:dyDescent="0.3">
      <c r="A58" s="176"/>
      <c r="B58" s="528" t="s">
        <v>1502</v>
      </c>
      <c r="C58" s="526">
        <f>IF(calcTier4MBX&lt;&gt;0,calcTier4PredictCapYears*12,0)</f>
        <v>0</v>
      </c>
      <c r="T58" s="176"/>
    </row>
    <row r="59" spans="1:20" x14ac:dyDescent="0.3">
      <c r="A59" s="176"/>
      <c r="T59" s="176"/>
    </row>
    <row r="60" spans="1:20" ht="15" thickBot="1" x14ac:dyDescent="0.35">
      <c r="A60" s="176"/>
      <c r="B60" s="195" t="s">
        <v>1513</v>
      </c>
      <c r="C60" s="196">
        <v>0</v>
      </c>
      <c r="D60" s="196">
        <v>12</v>
      </c>
      <c r="E60" s="196">
        <v>15</v>
      </c>
      <c r="F60" s="196">
        <v>18</v>
      </c>
      <c r="G60" s="196">
        <v>21</v>
      </c>
      <c r="H60" s="196">
        <v>24</v>
      </c>
      <c r="I60" s="196">
        <v>27</v>
      </c>
      <c r="J60" s="196">
        <v>30</v>
      </c>
      <c r="K60" s="196">
        <v>33</v>
      </c>
      <c r="L60" s="196">
        <v>36</v>
      </c>
      <c r="M60" s="520">
        <v>39</v>
      </c>
      <c r="N60" s="519">
        <v>42</v>
      </c>
      <c r="O60" s="519">
        <v>45</v>
      </c>
      <c r="P60" s="519">
        <v>48</v>
      </c>
      <c r="Q60" s="519">
        <v>51</v>
      </c>
      <c r="R60" s="519">
        <v>54</v>
      </c>
      <c r="S60" s="529">
        <v>57</v>
      </c>
      <c r="T60" s="521">
        <v>60</v>
      </c>
    </row>
    <row r="61" spans="1:20" ht="15" thickTop="1" x14ac:dyDescent="0.3">
      <c r="A61" s="176"/>
      <c r="B61" s="35" t="s">
        <v>1505</v>
      </c>
      <c r="C61" s="512">
        <f>IF(calcTier4MBX&lt;&gt;0,calcTier4InitialMBXSize/1024,0)</f>
        <v>0</v>
      </c>
      <c r="D61" s="512">
        <f>(calcTier4YearlyData+(calcTier4InitialMBXSize/1024))*0.6</f>
        <v>0</v>
      </c>
      <c r="E61" s="512">
        <f t="shared" ref="E61:T61" si="9">(calcTier4YearlyData+(calcTier4InitialMBXSize/1024))*0.6*E60/12</f>
        <v>0</v>
      </c>
      <c r="F61" s="512">
        <f t="shared" si="9"/>
        <v>0</v>
      </c>
      <c r="G61" s="512">
        <f t="shared" si="9"/>
        <v>0</v>
      </c>
      <c r="H61" s="512">
        <f t="shared" si="9"/>
        <v>0</v>
      </c>
      <c r="I61" s="512">
        <f t="shared" si="9"/>
        <v>0</v>
      </c>
      <c r="J61" s="512">
        <f t="shared" si="9"/>
        <v>0</v>
      </c>
      <c r="K61" s="512">
        <f t="shared" si="9"/>
        <v>0</v>
      </c>
      <c r="L61" s="512">
        <f t="shared" si="9"/>
        <v>0</v>
      </c>
      <c r="M61" s="512">
        <f t="shared" si="9"/>
        <v>0</v>
      </c>
      <c r="N61" s="512">
        <f t="shared" si="9"/>
        <v>0</v>
      </c>
      <c r="O61" s="512">
        <f t="shared" si="9"/>
        <v>0</v>
      </c>
      <c r="P61" s="512">
        <f t="shared" si="9"/>
        <v>0</v>
      </c>
      <c r="Q61" s="512">
        <f t="shared" si="9"/>
        <v>0</v>
      </c>
      <c r="R61" s="512">
        <f t="shared" si="9"/>
        <v>0</v>
      </c>
      <c r="S61" s="512">
        <f t="shared" si="9"/>
        <v>0</v>
      </c>
      <c r="T61" s="517">
        <f t="shared" si="9"/>
        <v>0</v>
      </c>
    </row>
    <row r="62" spans="1:20" ht="14.5" x14ac:dyDescent="0.3">
      <c r="A62" s="176"/>
      <c r="B62" s="35" t="s">
        <v>1506</v>
      </c>
      <c r="C62" s="512">
        <f>IF(calcTier4MBX&lt;&gt;0,calcTier4InitialMBXSize/1024,0)</f>
        <v>0</v>
      </c>
      <c r="D62" s="512">
        <f>(calcTier4YearlyData+(calcTier4InitialMBXSize/1024))*0.8</f>
        <v>0</v>
      </c>
      <c r="E62" s="512">
        <f t="shared" ref="E62:T62" si="10">(calcTier4YearlyData+(calcTier4InitialMBXSize/1024))*0.8*E60/12</f>
        <v>0</v>
      </c>
      <c r="F62" s="512">
        <f t="shared" si="10"/>
        <v>0</v>
      </c>
      <c r="G62" s="512">
        <f t="shared" si="10"/>
        <v>0</v>
      </c>
      <c r="H62" s="512">
        <f t="shared" si="10"/>
        <v>0</v>
      </c>
      <c r="I62" s="512">
        <f t="shared" si="10"/>
        <v>0</v>
      </c>
      <c r="J62" s="512">
        <f t="shared" si="10"/>
        <v>0</v>
      </c>
      <c r="K62" s="512">
        <f t="shared" si="10"/>
        <v>0</v>
      </c>
      <c r="L62" s="512">
        <f t="shared" si="10"/>
        <v>0</v>
      </c>
      <c r="M62" s="512">
        <f t="shared" si="10"/>
        <v>0</v>
      </c>
      <c r="N62" s="512">
        <f t="shared" si="10"/>
        <v>0</v>
      </c>
      <c r="O62" s="512">
        <f t="shared" si="10"/>
        <v>0</v>
      </c>
      <c r="P62" s="512">
        <f t="shared" si="10"/>
        <v>0</v>
      </c>
      <c r="Q62" s="512">
        <f t="shared" si="10"/>
        <v>0</v>
      </c>
      <c r="R62" s="512">
        <f t="shared" si="10"/>
        <v>0</v>
      </c>
      <c r="S62" s="512">
        <f t="shared" si="10"/>
        <v>0</v>
      </c>
      <c r="T62" s="517">
        <f t="shared" si="10"/>
        <v>0</v>
      </c>
    </row>
    <row r="63" spans="1:20" ht="14.5" x14ac:dyDescent="0.3">
      <c r="A63" s="176"/>
      <c r="B63" s="35" t="s">
        <v>1507</v>
      </c>
      <c r="C63" s="512">
        <f>IF(calcTier4MBX&lt;&gt;0,calcTier4InitialMBXSize/1024,0)</f>
        <v>0</v>
      </c>
      <c r="D63" s="512">
        <f>calcTier4YearlyData+(calcTier4InitialMBXSize/1024)</f>
        <v>0</v>
      </c>
      <c r="E63" s="512">
        <f t="shared" ref="E63:T63" si="11">(calcTier4YearlyData+(calcTier4InitialMBXSize/1024))*E60/12</f>
        <v>0</v>
      </c>
      <c r="F63" s="512">
        <f t="shared" si="11"/>
        <v>0</v>
      </c>
      <c r="G63" s="512">
        <f t="shared" si="11"/>
        <v>0</v>
      </c>
      <c r="H63" s="512">
        <f t="shared" si="11"/>
        <v>0</v>
      </c>
      <c r="I63" s="512">
        <f t="shared" si="11"/>
        <v>0</v>
      </c>
      <c r="J63" s="512">
        <f t="shared" si="11"/>
        <v>0</v>
      </c>
      <c r="K63" s="512">
        <f t="shared" si="11"/>
        <v>0</v>
      </c>
      <c r="L63" s="512">
        <f t="shared" si="11"/>
        <v>0</v>
      </c>
      <c r="M63" s="512">
        <f t="shared" si="11"/>
        <v>0</v>
      </c>
      <c r="N63" s="512">
        <f t="shared" si="11"/>
        <v>0</v>
      </c>
      <c r="O63" s="512">
        <f t="shared" si="11"/>
        <v>0</v>
      </c>
      <c r="P63" s="512">
        <f t="shared" si="11"/>
        <v>0</v>
      </c>
      <c r="Q63" s="512">
        <f t="shared" si="11"/>
        <v>0</v>
      </c>
      <c r="R63" s="512">
        <f t="shared" si="11"/>
        <v>0</v>
      </c>
      <c r="S63" s="512">
        <f t="shared" si="11"/>
        <v>0</v>
      </c>
      <c r="T63" s="517">
        <f t="shared" si="11"/>
        <v>0</v>
      </c>
    </row>
    <row r="64" spans="1:20" ht="14.5" x14ac:dyDescent="0.3">
      <c r="A64" s="176"/>
      <c r="B64" s="35"/>
      <c r="C64" s="512"/>
      <c r="D64" s="296"/>
      <c r="E64" s="296"/>
      <c r="F64" s="296"/>
      <c r="G64" s="296"/>
      <c r="H64" s="296"/>
      <c r="I64" s="296"/>
      <c r="J64" s="296"/>
      <c r="K64" s="296"/>
      <c r="T64" s="176"/>
    </row>
    <row r="65" spans="1:20" ht="14.5" x14ac:dyDescent="0.3">
      <c r="A65" s="176"/>
      <c r="B65" s="139" t="s">
        <v>1513</v>
      </c>
      <c r="C65" s="514" t="s">
        <v>1509</v>
      </c>
      <c r="D65" s="296"/>
      <c r="E65" s="296"/>
      <c r="F65" s="296"/>
      <c r="G65" s="296"/>
      <c r="H65" s="296"/>
      <c r="I65" s="296"/>
      <c r="J65" s="296"/>
      <c r="K65" s="296"/>
      <c r="T65" s="176"/>
    </row>
    <row r="66" spans="1:20" ht="14.5" x14ac:dyDescent="0.3">
      <c r="A66" s="176"/>
      <c r="B66" s="512">
        <f>calcTier4PredictCapMonths</f>
        <v>0</v>
      </c>
      <c r="C66" s="512">
        <f>calcTier4PredictCapMonths</f>
        <v>0</v>
      </c>
      <c r="D66" s="296"/>
      <c r="E66" s="296"/>
      <c r="F66" s="296"/>
      <c r="G66" s="296"/>
      <c r="H66" s="296"/>
      <c r="I66" s="296"/>
      <c r="J66" s="296"/>
      <c r="K66" s="296"/>
      <c r="T66" s="176"/>
    </row>
    <row r="67" spans="1:20" ht="14.5" x14ac:dyDescent="0.3">
      <c r="A67" s="176"/>
      <c r="B67" s="37">
        <v>0</v>
      </c>
      <c r="C67" s="512">
        <f>Tier4MBXSize/1024</f>
        <v>0</v>
      </c>
      <c r="D67" s="296"/>
      <c r="E67" s="296"/>
      <c r="F67" s="296"/>
      <c r="G67" s="296"/>
      <c r="H67" s="296"/>
      <c r="I67" s="296"/>
      <c r="J67" s="296"/>
      <c r="K67" s="296"/>
      <c r="T67" s="176"/>
    </row>
    <row r="68" spans="1:20" ht="13.5" thickBot="1" x14ac:dyDescent="0.35">
      <c r="A68" s="176"/>
      <c r="T68" s="176"/>
    </row>
    <row r="69" spans="1:20" x14ac:dyDescent="0.3">
      <c r="B69" s="474"/>
      <c r="C69" s="474"/>
      <c r="D69" s="474"/>
      <c r="E69" s="474"/>
      <c r="F69" s="474"/>
      <c r="G69" s="474"/>
      <c r="H69" s="474"/>
      <c r="I69" s="474"/>
      <c r="J69" s="474"/>
      <c r="K69" s="474"/>
      <c r="L69" s="474"/>
      <c r="M69" s="474"/>
      <c r="N69" s="474"/>
      <c r="O69" s="474"/>
      <c r="P69" s="474"/>
      <c r="Q69" s="474"/>
      <c r="R69" s="474"/>
      <c r="S69" s="474"/>
      <c r="T69" s="474"/>
    </row>
  </sheetData>
  <mergeCells count="2">
    <mergeCell ref="B1:S1"/>
    <mergeCell ref="B3:T3"/>
  </mergeCells>
  <pageMargins left="0.7" right="0.7" top="0.75" bottom="0.75" header="0.3" footer="0.3"/>
  <pageSetup orientation="portrait" horizontalDpi="4294967293"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I208"/>
  <sheetViews>
    <sheetView showGridLines="0" showRowColHeaders="0" zoomScale="80" zoomScaleNormal="80" workbookViewId="0"/>
  </sheetViews>
  <sheetFormatPr defaultColWidth="9" defaultRowHeight="14.5" outlineLevelRow="1" x14ac:dyDescent="0.3"/>
  <cols>
    <col min="1" max="1" width="3.3984375" style="21" customWidth="1"/>
    <col min="2" max="2" width="53" style="21" bestFit="1" customWidth="1"/>
    <col min="3" max="4" width="33.09765625" style="21" bestFit="1" customWidth="1"/>
    <col min="5" max="5" width="35" style="21" customWidth="1"/>
    <col min="6" max="6" width="30.8984375" style="21" bestFit="1" customWidth="1"/>
    <col min="7" max="7" width="27.3984375" style="21" bestFit="1" customWidth="1"/>
    <col min="8" max="8" width="30.8984375" style="21" bestFit="1" customWidth="1"/>
    <col min="9" max="9" width="15.09765625" style="21" bestFit="1" customWidth="1"/>
    <col min="10" max="16384" width="9" style="21"/>
  </cols>
  <sheetData>
    <row r="1" spans="1:9" x14ac:dyDescent="0.3">
      <c r="B1" s="1090" t="s">
        <v>265</v>
      </c>
      <c r="C1" s="1091"/>
      <c r="D1" s="1091"/>
      <c r="E1" s="1091"/>
      <c r="F1" s="1091"/>
      <c r="G1" s="1091"/>
      <c r="H1" s="1091"/>
      <c r="I1" s="1092"/>
    </row>
    <row r="2" spans="1:9" x14ac:dyDescent="0.3">
      <c r="B2" s="1245"/>
      <c r="C2" s="1246"/>
      <c r="D2" s="1246"/>
      <c r="E2" s="1246"/>
      <c r="F2" s="1246"/>
      <c r="I2" s="26"/>
    </row>
    <row r="3" spans="1:9" ht="15" customHeight="1" x14ac:dyDescent="0.3">
      <c r="A3" s="26"/>
      <c r="B3" s="1245" t="s">
        <v>548</v>
      </c>
      <c r="C3" s="1246"/>
      <c r="D3" s="1246"/>
      <c r="E3" s="1246"/>
      <c r="F3" s="1246"/>
      <c r="G3" s="1246"/>
      <c r="H3" s="1246"/>
      <c r="I3" s="1247"/>
    </row>
    <row r="4" spans="1:9" x14ac:dyDescent="0.3">
      <c r="A4" s="26"/>
      <c r="B4" s="1245"/>
      <c r="C4" s="1246"/>
      <c r="D4" s="1246"/>
      <c r="E4" s="1246"/>
      <c r="F4" s="1246"/>
      <c r="G4" s="1246"/>
      <c r="H4" s="1246"/>
      <c r="I4" s="1247"/>
    </row>
    <row r="5" spans="1:9" x14ac:dyDescent="0.3">
      <c r="A5" s="26"/>
      <c r="B5" s="70"/>
      <c r="C5" s="70"/>
      <c r="D5" s="70"/>
      <c r="E5" s="70"/>
      <c r="F5" s="70"/>
      <c r="I5" s="26"/>
    </row>
    <row r="6" spans="1:9" x14ac:dyDescent="0.3">
      <c r="A6" s="26"/>
      <c r="B6" s="1245" t="s">
        <v>266</v>
      </c>
      <c r="C6" s="1246"/>
      <c r="D6" s="1246"/>
      <c r="E6" s="1246"/>
      <c r="F6" s="1246"/>
      <c r="G6" s="1246"/>
      <c r="I6" s="26"/>
    </row>
    <row r="7" spans="1:9" x14ac:dyDescent="0.3">
      <c r="A7" s="26"/>
      <c r="B7" s="1245"/>
      <c r="C7" s="1246"/>
      <c r="D7" s="1246"/>
      <c r="E7" s="1246"/>
      <c r="F7" s="1246"/>
      <c r="G7" s="1246"/>
      <c r="I7" s="26"/>
    </row>
    <row r="8" spans="1:9" x14ac:dyDescent="0.3">
      <c r="A8" s="26"/>
      <c r="B8" s="1248" t="s">
        <v>267</v>
      </c>
      <c r="C8" s="1249"/>
      <c r="D8" s="1249"/>
      <c r="E8" s="1249"/>
      <c r="F8" s="20"/>
      <c r="I8" s="26"/>
    </row>
    <row r="9" spans="1:9" ht="15" customHeight="1" x14ac:dyDescent="0.3">
      <c r="A9" s="26"/>
      <c r="B9" s="1245" t="s">
        <v>268</v>
      </c>
      <c r="C9" s="1246"/>
      <c r="D9" s="1246"/>
      <c r="E9" s="1246"/>
      <c r="F9" s="1246"/>
      <c r="G9" s="1246"/>
      <c r="I9" s="26"/>
    </row>
    <row r="10" spans="1:9" x14ac:dyDescent="0.3">
      <c r="A10" s="26"/>
      <c r="B10" s="1246" t="s">
        <v>269</v>
      </c>
      <c r="C10" s="1246"/>
      <c r="D10" s="1246"/>
      <c r="E10" s="1246"/>
      <c r="F10" s="70"/>
      <c r="I10" s="26"/>
    </row>
    <row r="11" spans="1:9" x14ac:dyDescent="0.3">
      <c r="A11" s="26"/>
      <c r="B11" s="1246" t="s">
        <v>270</v>
      </c>
      <c r="C11" s="1246"/>
      <c r="D11" s="1246"/>
      <c r="E11" s="1246"/>
      <c r="F11" s="70"/>
      <c r="I11" s="26"/>
    </row>
    <row r="12" spans="1:9" x14ac:dyDescent="0.3">
      <c r="A12" s="26"/>
      <c r="B12" s="71"/>
      <c r="C12" s="71"/>
      <c r="D12" s="71"/>
      <c r="E12" s="71"/>
      <c r="F12" s="71"/>
      <c r="I12" s="26"/>
    </row>
    <row r="13" spans="1:9" x14ac:dyDescent="0.35">
      <c r="B13" s="1256" t="s">
        <v>119</v>
      </c>
      <c r="C13" s="1257"/>
      <c r="D13" s="1257"/>
      <c r="E13" s="1257"/>
      <c r="F13" s="1257"/>
      <c r="G13" s="1257"/>
      <c r="H13" s="1257"/>
      <c r="I13" s="1258"/>
    </row>
    <row r="14" spans="1:9" ht="15" customHeight="1" x14ac:dyDescent="0.3">
      <c r="A14" s="26"/>
      <c r="B14" s="1250" t="s">
        <v>335</v>
      </c>
      <c r="C14" s="1073"/>
      <c r="D14" s="1073"/>
      <c r="E14" s="1073"/>
      <c r="F14" s="1073"/>
      <c r="G14" s="1073"/>
      <c r="H14" s="1073"/>
      <c r="I14" s="1251"/>
    </row>
    <row r="15" spans="1:9" x14ac:dyDescent="0.35">
      <c r="A15" s="26"/>
      <c r="B15" s="72"/>
      <c r="C15" s="73"/>
      <c r="D15" s="73"/>
      <c r="E15" s="73"/>
      <c r="F15" s="73"/>
      <c r="I15" s="26"/>
    </row>
    <row r="16" spans="1:9" x14ac:dyDescent="0.3">
      <c r="A16" s="26"/>
      <c r="B16" s="128" t="s">
        <v>555</v>
      </c>
      <c r="C16" s="128" t="s">
        <v>244</v>
      </c>
      <c r="D16" s="20"/>
      <c r="E16" s="128" t="s">
        <v>807</v>
      </c>
      <c r="F16" s="128" t="s">
        <v>244</v>
      </c>
      <c r="I16" s="26"/>
    </row>
    <row r="17" spans="1:9" x14ac:dyDescent="0.3">
      <c r="A17" s="26"/>
      <c r="B17" s="64" t="s">
        <v>57</v>
      </c>
      <c r="C17" s="162" t="s">
        <v>62</v>
      </c>
      <c r="D17" s="20"/>
      <c r="E17" s="64" t="s">
        <v>57</v>
      </c>
      <c r="F17" s="162" t="s">
        <v>62</v>
      </c>
      <c r="I17" s="26"/>
    </row>
    <row r="18" spans="1:9" x14ac:dyDescent="0.3">
      <c r="A18" s="26"/>
      <c r="B18" s="596" t="s">
        <v>53</v>
      </c>
      <c r="C18" s="163" t="s">
        <v>99</v>
      </c>
      <c r="D18" s="20"/>
      <c r="E18" s="136" t="s">
        <v>53</v>
      </c>
      <c r="F18" s="163" t="s">
        <v>100</v>
      </c>
      <c r="I18" s="26"/>
    </row>
    <row r="19" spans="1:9" x14ac:dyDescent="0.3">
      <c r="A19" s="26"/>
      <c r="B19" s="136" t="s">
        <v>54</v>
      </c>
      <c r="C19" s="163" t="s">
        <v>42</v>
      </c>
      <c r="D19" s="20"/>
      <c r="E19" s="136" t="s">
        <v>54</v>
      </c>
      <c r="F19" s="163" t="s">
        <v>42</v>
      </c>
      <c r="I19" s="26"/>
    </row>
    <row r="20" spans="1:9" x14ac:dyDescent="0.3">
      <c r="A20" s="26"/>
      <c r="B20" s="19"/>
      <c r="C20" s="19"/>
      <c r="D20" s="20"/>
      <c r="E20" s="21" t="s">
        <v>807</v>
      </c>
      <c r="F20" s="166" t="s">
        <v>210</v>
      </c>
      <c r="I20" s="26"/>
    </row>
    <row r="21" spans="1:9" x14ac:dyDescent="0.3">
      <c r="A21" s="26"/>
      <c r="B21" s="128" t="s">
        <v>554</v>
      </c>
      <c r="C21" s="128" t="s">
        <v>244</v>
      </c>
      <c r="D21" s="20"/>
      <c r="E21" s="19"/>
      <c r="F21" s="19"/>
      <c r="I21" s="26"/>
    </row>
    <row r="22" spans="1:9" x14ac:dyDescent="0.3">
      <c r="A22" s="26"/>
      <c r="B22" s="136" t="s">
        <v>50</v>
      </c>
      <c r="C22" s="164">
        <v>0.35</v>
      </c>
      <c r="D22" s="20"/>
      <c r="E22" s="19"/>
      <c r="F22" s="166"/>
      <c r="I22" s="26"/>
    </row>
    <row r="23" spans="1:9" x14ac:dyDescent="0.3">
      <c r="A23" s="26"/>
      <c r="B23" s="136" t="s">
        <v>51</v>
      </c>
      <c r="C23" s="164">
        <v>0.5</v>
      </c>
      <c r="D23" s="20"/>
      <c r="I23" s="26"/>
    </row>
    <row r="24" spans="1:9" x14ac:dyDescent="0.3">
      <c r="A24" s="26"/>
      <c r="B24" s="136" t="s">
        <v>52</v>
      </c>
      <c r="C24" s="165">
        <v>0.5</v>
      </c>
      <c r="D24" s="20"/>
      <c r="E24" s="19"/>
      <c r="F24" s="19"/>
      <c r="I24" s="26"/>
    </row>
    <row r="25" spans="1:9" x14ac:dyDescent="0.3">
      <c r="A25" s="26"/>
      <c r="B25" s="136"/>
      <c r="C25" s="165"/>
      <c r="D25" s="20"/>
      <c r="E25" s="19"/>
      <c r="F25" s="19"/>
      <c r="I25" s="26"/>
    </row>
    <row r="26" spans="1:9" x14ac:dyDescent="0.3">
      <c r="A26" s="26"/>
      <c r="B26" s="128" t="s">
        <v>556</v>
      </c>
      <c r="C26" s="128" t="s">
        <v>244</v>
      </c>
      <c r="D26" s="20"/>
      <c r="E26" s="19"/>
      <c r="F26" s="19"/>
      <c r="I26" s="26"/>
    </row>
    <row r="27" spans="1:9" x14ac:dyDescent="0.3">
      <c r="A27" s="26"/>
      <c r="B27" s="339" t="s">
        <v>213</v>
      </c>
      <c r="C27" s="300" t="s">
        <v>8</v>
      </c>
      <c r="D27" s="20"/>
      <c r="E27" s="1087" t="s">
        <v>1530</v>
      </c>
      <c r="F27" s="1087"/>
      <c r="I27" s="26"/>
    </row>
    <row r="28" spans="1:9" x14ac:dyDescent="0.3">
      <c r="A28" s="26"/>
      <c r="B28" s="340" t="s">
        <v>214</v>
      </c>
      <c r="C28" s="162" t="s">
        <v>17</v>
      </c>
      <c r="D28" s="20"/>
      <c r="E28" s="1087"/>
      <c r="F28" s="1087"/>
      <c r="I28" s="26"/>
    </row>
    <row r="29" spans="1:9" x14ac:dyDescent="0.3">
      <c r="A29" s="26"/>
      <c r="B29" s="168"/>
      <c r="C29" s="168"/>
      <c r="D29" s="168"/>
      <c r="E29" s="168"/>
      <c r="F29" s="168"/>
      <c r="I29" s="26"/>
    </row>
    <row r="30" spans="1:9" x14ac:dyDescent="0.3">
      <c r="A30" s="26"/>
      <c r="B30" s="1093" t="s">
        <v>35</v>
      </c>
      <c r="C30" s="1093"/>
      <c r="D30" s="1093"/>
      <c r="E30" s="1093"/>
      <c r="F30" s="1093"/>
      <c r="G30" s="1093"/>
      <c r="H30" s="1093"/>
      <c r="I30" s="1113"/>
    </row>
    <row r="31" spans="1:9" hidden="1" outlineLevel="1" x14ac:dyDescent="0.3">
      <c r="A31" s="26"/>
      <c r="B31" s="37"/>
      <c r="C31" s="37"/>
      <c r="D31" s="37"/>
      <c r="E31" s="37"/>
      <c r="F31" s="37"/>
      <c r="I31" s="26"/>
    </row>
    <row r="32" spans="1:9" hidden="1" outlineLevel="1" x14ac:dyDescent="0.3">
      <c r="A32" s="26"/>
      <c r="B32" s="128" t="s">
        <v>487</v>
      </c>
      <c r="C32" s="139" t="s">
        <v>322</v>
      </c>
      <c r="D32" s="20"/>
      <c r="I32" s="26"/>
    </row>
    <row r="33" spans="1:9" hidden="1" outlineLevel="1" x14ac:dyDescent="0.3">
      <c r="A33" s="26"/>
      <c r="B33" s="21" t="s">
        <v>484</v>
      </c>
      <c r="C33" s="34">
        <f>LogIOReadTransfers+LogIOWriteTransfers</f>
        <v>0</v>
      </c>
      <c r="D33" s="20"/>
      <c r="I33" s="24"/>
    </row>
    <row r="34" spans="1:9" hidden="1" outlineLevel="1" x14ac:dyDescent="0.3">
      <c r="A34" s="26"/>
      <c r="B34" s="35" t="s">
        <v>75</v>
      </c>
      <c r="C34" s="129">
        <f>LogIOReadTransfers+(2*LogIOWriteTransfers)</f>
        <v>0</v>
      </c>
      <c r="D34" s="20"/>
      <c r="I34" s="26"/>
    </row>
    <row r="35" spans="1:9" hidden="1" outlineLevel="1" x14ac:dyDescent="0.3">
      <c r="A35" s="26"/>
      <c r="B35" s="21" t="s">
        <v>683</v>
      </c>
      <c r="C35" s="34">
        <f>DBIOReadTransfers+DBIOWriteTransfers</f>
        <v>0</v>
      </c>
      <c r="D35" s="20"/>
      <c r="I35" s="26"/>
    </row>
    <row r="36" spans="1:9" hidden="1" outlineLevel="1" x14ac:dyDescent="0.3">
      <c r="A36" s="26"/>
      <c r="B36" s="21" t="s">
        <v>684</v>
      </c>
      <c r="C36" s="34">
        <f>DBIOReadTransfers+(2*DBIOWriteTransfers)</f>
        <v>0</v>
      </c>
      <c r="D36" s="20"/>
      <c r="I36" s="26"/>
    </row>
    <row r="37" spans="1:9" hidden="1" outlineLevel="1" x14ac:dyDescent="0.3">
      <c r="A37" s="26"/>
      <c r="B37" s="21" t="s">
        <v>685</v>
      </c>
      <c r="C37" s="34">
        <f>DBIOReadTransfers+(4*DBIOWriteTransfers)</f>
        <v>0</v>
      </c>
      <c r="D37" s="20"/>
      <c r="I37" s="26"/>
    </row>
    <row r="38" spans="1:9" hidden="1" outlineLevel="1" x14ac:dyDescent="0.3">
      <c r="A38" s="26"/>
      <c r="B38" s="21" t="s">
        <v>686</v>
      </c>
      <c r="C38" s="34">
        <f>DBIOReadTransfers+(6*DBIOWriteTransfers)</f>
        <v>0</v>
      </c>
      <c r="D38" s="20"/>
      <c r="E38" s="19"/>
      <c r="F38" s="19"/>
      <c r="I38" s="26"/>
    </row>
    <row r="39" spans="1:9" hidden="1" outlineLevel="1" x14ac:dyDescent="0.3">
      <c r="A39" s="26"/>
      <c r="B39" s="35" t="s">
        <v>74</v>
      </c>
      <c r="C39" s="129">
        <f>LogR10IOPS/(1-RD10Rebuild)</f>
        <v>0</v>
      </c>
      <c r="D39" s="20"/>
      <c r="E39" s="19"/>
      <c r="F39" s="19"/>
      <c r="I39" s="26"/>
    </row>
    <row r="40" spans="1:9" hidden="1" outlineLevel="1" x14ac:dyDescent="0.3">
      <c r="A40" s="26"/>
      <c r="B40" s="21" t="s">
        <v>687</v>
      </c>
      <c r="C40" s="34">
        <f>RD10TotIOPS/(1-RD10Rebuild)</f>
        <v>0</v>
      </c>
      <c r="D40" s="20"/>
      <c r="E40" s="19"/>
      <c r="F40" s="19"/>
      <c r="I40" s="26"/>
    </row>
    <row r="41" spans="1:9" hidden="1" outlineLevel="1" x14ac:dyDescent="0.3">
      <c r="A41" s="26"/>
      <c r="B41" s="21" t="s">
        <v>688</v>
      </c>
      <c r="C41" s="34">
        <f>RD5TotIOPS/(1-RD5Rebuild)</f>
        <v>0</v>
      </c>
      <c r="D41" s="20"/>
      <c r="E41" s="19"/>
      <c r="I41" s="26"/>
    </row>
    <row r="42" spans="1:9" hidden="1" outlineLevel="1" x14ac:dyDescent="0.3">
      <c r="A42" s="26"/>
      <c r="B42" s="21" t="s">
        <v>689</v>
      </c>
      <c r="C42" s="34">
        <f>RD6TotIOPS/(1-RD6Rebuild)</f>
        <v>0</v>
      </c>
      <c r="D42" s="20"/>
      <c r="E42" s="19"/>
      <c r="F42" s="19"/>
      <c r="I42" s="26"/>
    </row>
    <row r="43" spans="1:9" hidden="1" outlineLevel="1" x14ac:dyDescent="0.3">
      <c r="A43" s="26"/>
      <c r="B43" s="20"/>
      <c r="C43" s="20"/>
      <c r="D43" s="20"/>
      <c r="E43" s="19"/>
      <c r="F43" s="19"/>
      <c r="I43" s="26"/>
    </row>
    <row r="44" spans="1:9" hidden="1" outlineLevel="1" x14ac:dyDescent="0.3">
      <c r="A44" s="26"/>
      <c r="B44" s="130" t="s">
        <v>120</v>
      </c>
      <c r="C44" s="128" t="s">
        <v>247</v>
      </c>
      <c r="D44" s="128" t="s">
        <v>250</v>
      </c>
      <c r="E44" s="128" t="s">
        <v>251</v>
      </c>
      <c r="I44" s="26"/>
    </row>
    <row r="45" spans="1:9" hidden="1" outlineLevel="1" x14ac:dyDescent="0.3">
      <c r="A45" s="26"/>
      <c r="B45" s="21" t="s">
        <v>2</v>
      </c>
      <c r="C45" s="37">
        <f>IF(DBDiskSizePDC=strEmpty,0,VLOOKUP(DBDiskSizePDC,tblDiskCapacity,2,FALSE))</f>
        <v>12000</v>
      </c>
      <c r="D45" s="37">
        <f>IF(DBDiskSizeSDC=strEmpty,0,VLOOKUP(DBDiskSizeSDC,tblDiskCapacity,2,FALSE))</f>
        <v>12000</v>
      </c>
      <c r="E45" s="37">
        <f>DBRawDiskCap2</f>
        <v>12000</v>
      </c>
      <c r="I45" s="26"/>
    </row>
    <row r="46" spans="1:9" hidden="1" outlineLevel="1" x14ac:dyDescent="0.3">
      <c r="A46" s="26"/>
      <c r="B46" s="21" t="s">
        <v>3</v>
      </c>
      <c r="C46" s="34">
        <f>(DBRawDiskCap1*1000*1000*1000)/1024/1024/1024</f>
        <v>11175.870895385742</v>
      </c>
      <c r="D46" s="34">
        <f>(DBRawDiskCap2*1000*1000*1000)/1024/1024/1024</f>
        <v>11175.870895385742</v>
      </c>
      <c r="E46" s="34">
        <f>(DBRawDiskCap3*1000*1000*1000)/1024/1024/1024</f>
        <v>11175.870895385742</v>
      </c>
      <c r="I46" s="26"/>
    </row>
    <row r="47" spans="1:9" hidden="1" outlineLevel="1" x14ac:dyDescent="0.3">
      <c r="A47" s="26"/>
      <c r="B47" s="21" t="s">
        <v>9</v>
      </c>
      <c r="C47" s="167">
        <v>1</v>
      </c>
      <c r="D47" s="167">
        <v>1</v>
      </c>
      <c r="E47" s="167">
        <v>1</v>
      </c>
      <c r="I47" s="26"/>
    </row>
    <row r="48" spans="1:9" hidden="1" outlineLevel="1" x14ac:dyDescent="0.3">
      <c r="A48" s="26"/>
      <c r="B48" s="21" t="s">
        <v>89</v>
      </c>
      <c r="C48" s="21">
        <f>IF(DBDiskRPMPDC=strEmpty,0,VLOOKUP(DBDiskRPMPDC,tblDiskType,2,FALSE))</f>
        <v>100</v>
      </c>
      <c r="D48" s="21">
        <f>IF(DBDiskRPMSDC=strEmpty,0,VLOOKUP(DBDiskRPMSDC,tblDiskType,2,FALSE))</f>
        <v>100</v>
      </c>
      <c r="E48" s="21">
        <f>RandDBDiskIO2</f>
        <v>100</v>
      </c>
      <c r="I48" s="26"/>
    </row>
    <row r="49" spans="1:9" hidden="1" outlineLevel="1" x14ac:dyDescent="0.3">
      <c r="A49" s="26"/>
      <c r="B49" s="21" t="s">
        <v>324</v>
      </c>
      <c r="C49" s="21">
        <f>IF(DBDiskRPMPDC=strEmpty,0,VLOOKUP(DBDiskRPMPDC,tblDiskType,3,FALSE))</f>
        <v>300</v>
      </c>
      <c r="D49" s="21">
        <f>IF(DBDiskRPMSDC=strEmpty,0,VLOOKUP(DBDiskRPMSDC,tblDiskType,3,FALSE))</f>
        <v>300</v>
      </c>
      <c r="E49" s="21">
        <f>SeqDBDiskIO2</f>
        <v>300</v>
      </c>
      <c r="I49" s="26"/>
    </row>
    <row r="50" spans="1:9" hidden="1" outlineLevel="1" x14ac:dyDescent="0.3">
      <c r="A50" s="26"/>
      <c r="I50" s="26"/>
    </row>
    <row r="51" spans="1:9" hidden="1" outlineLevel="1" x14ac:dyDescent="0.3">
      <c r="A51" s="26"/>
      <c r="B51" s="130" t="s">
        <v>121</v>
      </c>
      <c r="C51" s="128" t="s">
        <v>247</v>
      </c>
      <c r="D51" s="128" t="s">
        <v>250</v>
      </c>
      <c r="E51" s="128" t="s">
        <v>251</v>
      </c>
      <c r="I51" s="26"/>
    </row>
    <row r="52" spans="1:9" hidden="1" outlineLevel="1" x14ac:dyDescent="0.3">
      <c r="A52" s="26"/>
      <c r="B52" s="21" t="s">
        <v>2</v>
      </c>
      <c r="C52" s="37">
        <f>IF(LogDiskSizePDC=strEmpty,0,VLOOKUP(LogDiskSizePDC,tblDiskCapacity,2,FALSE))</f>
        <v>4000</v>
      </c>
      <c r="D52" s="37">
        <f>IF(LogDiskSizeSDC=strEmpty,0,VLOOKUP(LogDiskSizeSDC,tblDiskCapacity,2,FALSE))</f>
        <v>4000</v>
      </c>
      <c r="E52" s="37">
        <f>LogRawDiskCap2</f>
        <v>4000</v>
      </c>
      <c r="I52" s="26"/>
    </row>
    <row r="53" spans="1:9" hidden="1" outlineLevel="1" x14ac:dyDescent="0.3">
      <c r="A53" s="26"/>
      <c r="B53" s="21" t="s">
        <v>3</v>
      </c>
      <c r="C53" s="34">
        <f>(LogRawDiskCap1*1000*1000*1000)/1024/1024/1024</f>
        <v>3725.2902984619141</v>
      </c>
      <c r="D53" s="34">
        <f>(LogRawDiskCap2*1000*1000*1000)/1024/1024/1024</f>
        <v>3725.2902984619141</v>
      </c>
      <c r="E53" s="34">
        <f>LogForDiskCap2</f>
        <v>3725.2902984619141</v>
      </c>
      <c r="I53" s="26"/>
    </row>
    <row r="54" spans="1:9" hidden="1" outlineLevel="1" x14ac:dyDescent="0.3">
      <c r="A54" s="26"/>
      <c r="B54" s="21" t="s">
        <v>9</v>
      </c>
      <c r="C54" s="167">
        <v>1</v>
      </c>
      <c r="D54" s="167">
        <v>1</v>
      </c>
      <c r="E54" s="167">
        <v>1</v>
      </c>
      <c r="I54" s="26"/>
    </row>
    <row r="55" spans="1:9" hidden="1" outlineLevel="1" x14ac:dyDescent="0.3">
      <c r="A55" s="26"/>
      <c r="B55" s="21" t="s">
        <v>324</v>
      </c>
      <c r="C55" s="21">
        <f>IF(LogDiskRPMPDC=strEmpty,0,VLOOKUP(LogDiskRPMPDC,tblDiskType,3,FALSE))</f>
        <v>300</v>
      </c>
      <c r="D55" s="21">
        <f>IF(LogDiskRPMSDC=strEmpty,0,VLOOKUP(LogDiskRPMSDC,tblDiskType,3,FALSE))</f>
        <v>300</v>
      </c>
      <c r="E55" s="21">
        <f>SeqLogDiskIO2</f>
        <v>300</v>
      </c>
      <c r="I55" s="26"/>
    </row>
    <row r="56" spans="1:9" hidden="1" outlineLevel="1" x14ac:dyDescent="0.3">
      <c r="A56" s="26"/>
      <c r="I56" s="26"/>
    </row>
    <row r="57" spans="1:9" hidden="1" outlineLevel="1" x14ac:dyDescent="0.3">
      <c r="A57" s="26"/>
      <c r="B57" s="130" t="s">
        <v>808</v>
      </c>
      <c r="C57" s="128" t="s">
        <v>247</v>
      </c>
      <c r="D57" s="128" t="s">
        <v>250</v>
      </c>
      <c r="E57" s="128" t="s">
        <v>251</v>
      </c>
      <c r="I57" s="26"/>
    </row>
    <row r="58" spans="1:9" hidden="1" outlineLevel="1" x14ac:dyDescent="0.3">
      <c r="A58" s="26"/>
      <c r="B58" s="21" t="s">
        <v>2</v>
      </c>
      <c r="C58" s="37">
        <f>IF(ResDiskSizePDC=strEmpty,0,VLOOKUP(ResDiskSizePDC,tblDiskCapacity,2,FALSE))</f>
        <v>12000</v>
      </c>
      <c r="D58" s="37">
        <f>IF(ResDiskSizeSDC=strEmpty,0,VLOOKUP(ResDiskSizeSDC,tblDiskCapacity,2,FALSE))</f>
        <v>12000</v>
      </c>
      <c r="E58" s="37">
        <f>ResRawDiskCap2</f>
        <v>12000</v>
      </c>
      <c r="I58" s="26"/>
    </row>
    <row r="59" spans="1:9" hidden="1" outlineLevel="1" x14ac:dyDescent="0.3">
      <c r="A59" s="26"/>
      <c r="B59" s="21" t="s">
        <v>3</v>
      </c>
      <c r="C59" s="34">
        <f>(ResRawDiskCap1*1000*1000*1000)/1024/1024/1024</f>
        <v>11175.870895385742</v>
      </c>
      <c r="D59" s="34">
        <f>(ResRawDiskCap2*1000*1000*1000)/1024/1024/1024</f>
        <v>11175.870895385742</v>
      </c>
      <c r="E59" s="34">
        <f>ResDiskForCap2</f>
        <v>11175.870895385742</v>
      </c>
      <c r="I59" s="26"/>
    </row>
    <row r="60" spans="1:9" hidden="1" outlineLevel="1" x14ac:dyDescent="0.3">
      <c r="A60" s="26"/>
      <c r="B60" s="21" t="s">
        <v>9</v>
      </c>
      <c r="C60" s="167">
        <v>1</v>
      </c>
      <c r="D60" s="167">
        <v>1</v>
      </c>
      <c r="E60" s="167">
        <v>1</v>
      </c>
      <c r="I60" s="26"/>
    </row>
    <row r="61" spans="1:9" hidden="1" outlineLevel="1" x14ac:dyDescent="0.3">
      <c r="A61" s="26"/>
      <c r="B61" s="21" t="s">
        <v>89</v>
      </c>
      <c r="C61" s="21">
        <f>IF(ResDiskRPMPDC=strEmpty,0,VLOOKUP(ResDiskRPMPDC,tblDiskType,2,FALSE))</f>
        <v>100</v>
      </c>
      <c r="D61" s="21">
        <f>IF(ResDiskRPMSDC=strEmpty,0,VLOOKUP(ResDiskRPMSDC,tblDiskType,2,FALSE))</f>
        <v>100</v>
      </c>
      <c r="E61" s="21">
        <f>ResDiskIO2</f>
        <v>100</v>
      </c>
      <c r="I61" s="26"/>
    </row>
    <row r="62" spans="1:9" hidden="1" outlineLevel="1" x14ac:dyDescent="0.3">
      <c r="A62" s="26"/>
      <c r="I62" s="26"/>
    </row>
    <row r="63" spans="1:9" ht="15" hidden="1" outlineLevel="1" thickBot="1" x14ac:dyDescent="0.35">
      <c r="A63" s="26"/>
      <c r="B63" s="491" t="s">
        <v>1271</v>
      </c>
      <c r="C63" s="196" t="s">
        <v>247</v>
      </c>
      <c r="D63" s="196" t="s">
        <v>250</v>
      </c>
      <c r="I63" s="26"/>
    </row>
    <row r="64" spans="1:9" ht="15" hidden="1" outlineLevel="1" thickTop="1" x14ac:dyDescent="0.3">
      <c r="A64" s="26"/>
      <c r="B64" s="486" t="s">
        <v>2</v>
      </c>
      <c r="C64" s="494">
        <f>IF(SysDiskSizePDC=strEmpty,0,VLOOKUP(SysDiskSizePDC,tblDiskCapacity,2,FALSE))</f>
        <v>600</v>
      </c>
      <c r="D64" s="494">
        <f>IF(SysDiskSizeSDC=strEmpty,0,VLOOKUP(SysDiskSizeSDC,tblDiskCapacity,2,FALSE))</f>
        <v>600</v>
      </c>
      <c r="I64" s="26"/>
    </row>
    <row r="65" spans="1:9" hidden="1" outlineLevel="1" x14ac:dyDescent="0.3">
      <c r="A65" s="26"/>
      <c r="B65" s="487" t="s">
        <v>3</v>
      </c>
      <c r="C65" s="492">
        <f>(SysRawDiskCapPDC*1000*1000*1000)/1024/1024/1024</f>
        <v>558.79354476928711</v>
      </c>
      <c r="D65" s="492">
        <f>(SysRawDiskCapSDC*1000*1000*1000)/1024/1024/1024</f>
        <v>558.79354476928711</v>
      </c>
      <c r="I65" s="26"/>
    </row>
    <row r="66" spans="1:9" hidden="1" outlineLevel="1" x14ac:dyDescent="0.3">
      <c r="A66" s="26"/>
      <c r="B66" s="486" t="s">
        <v>9</v>
      </c>
      <c r="C66" s="495">
        <v>1</v>
      </c>
      <c r="D66" s="495">
        <v>1</v>
      </c>
      <c r="I66" s="26"/>
    </row>
    <row r="67" spans="1:9" hidden="1" outlineLevel="1" x14ac:dyDescent="0.3">
      <c r="A67" s="26"/>
      <c r="B67" s="488" t="s">
        <v>89</v>
      </c>
      <c r="C67" s="493">
        <f>IF(SysDiskRPMPDC=strEmpty,0,VLOOKUP(SysDiskRPMPDC,tblDiskType,2,FALSE))</f>
        <v>100</v>
      </c>
      <c r="D67" s="493">
        <f>IF(SysDiskRPMSDC=strEmpty,0,VLOOKUP(SysDiskRPMSDC,tblDiskType,2,FALSE))</f>
        <v>100</v>
      </c>
      <c r="I67" s="26"/>
    </row>
    <row r="68" spans="1:9" hidden="1" outlineLevel="1" x14ac:dyDescent="0.3">
      <c r="A68" s="26"/>
      <c r="I68" s="26"/>
    </row>
    <row r="69" spans="1:9" hidden="1" outlineLevel="1" x14ac:dyDescent="0.3">
      <c r="A69" s="297"/>
      <c r="B69" s="1124" t="s">
        <v>485</v>
      </c>
      <c r="C69" s="1093"/>
      <c r="D69" s="1093"/>
      <c r="E69" s="1093"/>
      <c r="F69" s="1093"/>
      <c r="G69" s="1093"/>
      <c r="H69" s="1093"/>
      <c r="I69" s="1113"/>
    </row>
    <row r="70" spans="1:9" hidden="1" outlineLevel="1" x14ac:dyDescent="0.3">
      <c r="A70" s="26"/>
      <c r="B70" s="37"/>
      <c r="C70" s="37"/>
      <c r="D70" s="37"/>
      <c r="E70" s="37"/>
      <c r="F70" s="37"/>
      <c r="I70" s="26"/>
    </row>
    <row r="71" spans="1:9" hidden="1" outlineLevel="1" x14ac:dyDescent="0.3">
      <c r="A71" s="26"/>
      <c r="B71" s="130" t="s">
        <v>122</v>
      </c>
      <c r="C71" s="128" t="s">
        <v>247</v>
      </c>
      <c r="D71" s="128" t="s">
        <v>250</v>
      </c>
      <c r="E71" s="128" t="s">
        <v>251</v>
      </c>
      <c r="F71" s="34"/>
      <c r="I71" s="26"/>
    </row>
    <row r="72" spans="1:9" hidden="1" outlineLevel="1" x14ac:dyDescent="0.3">
      <c r="A72" s="26"/>
      <c r="B72" s="21" t="str">
        <f>IF(OR(VolArchitecture="1 Volume / DB",VolArchitecture="Multiple DBs / Volume"),"RAID-0 Number of DB+Log Disks (Performance)","RAID-0 Number of DB Disks (Performance)")</f>
        <v>RAID-0 Number of DB+Log Disks (Performance)</v>
      </c>
      <c r="C72" s="37">
        <f>IF(DBDiskSizePDC=strEmpty,0,ROUNDUP(BaseTotIOPS/(RandDBDiskIO1*DBDiskIOCap1),0))</f>
        <v>0</v>
      </c>
      <c r="D72" s="37">
        <f>IF(DBDiskSizeSDC=strEmpty,0,ROUNDUP(BaseTotIOPS/(RandDBDiskIO2*DBDiskIOCap2),0))</f>
        <v>0</v>
      </c>
      <c r="E72" s="37">
        <f>NumDBDiskIOR02</f>
        <v>0</v>
      </c>
      <c r="F72" s="34"/>
      <c r="I72" s="26"/>
    </row>
    <row r="73" spans="1:9" hidden="1" outlineLevel="1" x14ac:dyDescent="0.3">
      <c r="A73" s="26"/>
      <c r="B73" s="21" t="str">
        <f>IF(OR(VolArchitecture="1 Volume / DB",VolArchitecture="Multiple DBs / Volume"),"RAID-1/0 Number of DB+Log Disks (Performance)","RAID-1/0 Number of DB Disks (Performance)")</f>
        <v>RAID-1/0 Number of DB+Log Disks (Performance)</v>
      </c>
      <c r="C73" s="37">
        <f>IF(DBDiskSizePDC=strEmpty,0,CEILING(ROUNDUP(ReqRD10TotIOPS/(RandDBDiskIO1*DBDiskIOCap1),0),VLOOKUP(RAID10Type,tblRAID10Types,4,FALSE)))</f>
        <v>0</v>
      </c>
      <c r="D73" s="37">
        <f>IF(DBDiskSizeSDC=strEmpty,0,CEILING(ROUNDUP(ReqRD10TotIOPS/(RandDBDiskIO2*DBDiskIOCap2),0),VLOOKUP(RAID10Type,tblRAID10Types,4,FALSE)))</f>
        <v>0</v>
      </c>
      <c r="E73" s="37">
        <f>NumDBDiskIOR102</f>
        <v>0</v>
      </c>
      <c r="F73" s="34"/>
      <c r="I73" s="26"/>
    </row>
    <row r="74" spans="1:9" hidden="1" outlineLevel="1" x14ac:dyDescent="0.3">
      <c r="A74" s="26"/>
      <c r="B74" s="21" t="str">
        <f>IF(OR(VolArchitecture="1 Volume / DB",VolArchitecture="Multiple DBs / Volume"),"RAID-5 Number of DB+Log Disks (Performance)","RAID-5 Number of DB Disks (Performance)")</f>
        <v>RAID-5 Number of DB+Log Disks (Performance)</v>
      </c>
      <c r="C74" s="129">
        <f>IF(OR(DBDiskSizePDC=strEmpty,LEFT(DBDiskRPMPDC,4)="7.2K",LEFT(DBDiskRPMPDC,4)="5.2K",LEFT(DBDiskRPMPDC,4)="5.4K",LEFT(DBDiskRPMPDC,4)="5.9K"),0,CEILING(ROUNDUP(ReqRD5TotIOPS/(RandDBDiskIO1*DBDiskIOCap1),0),VLOOKUP(RAID5Type,TblRAID5Types,4,FALSE)))</f>
        <v>0</v>
      </c>
      <c r="D74" s="129">
        <f>IF(OR(DBDiskSizeSDC=strEmpty,LEFT(DBDiskRPMSDC,4)="7.2K",LEFT(DBDiskRPMSDC,4)="5.2K",LEFT(DBDiskRPMSDC,4)="5.4K",LEFT(DBDiskRPMSDC,4)="5.9K"),0,CEILING(ROUNDUP(ReqRD5TotIOPS/(RandDBDiskIO2*DBDiskIOCap2),0),VLOOKUP(RAID5Type,TblRAID5Types,4,FALSE)))</f>
        <v>0</v>
      </c>
      <c r="E74" s="129">
        <f>NumDBDiskIOR52</f>
        <v>0</v>
      </c>
      <c r="F74" s="34"/>
      <c r="I74" s="26"/>
    </row>
    <row r="75" spans="1:9" hidden="1" outlineLevel="1" x14ac:dyDescent="0.3">
      <c r="A75" s="26"/>
      <c r="B75" s="21" t="str">
        <f>IF(OR(VolArchitecture="1 Volume / DB",VolArchitecture="Multiple DBs / Volume"),"RAID-6 Number of DB+Log Disks (Performance)","RAID-6 Number of DB Disks (Performance)")</f>
        <v>RAID-6 Number of DB+Log Disks (Performance)</v>
      </c>
      <c r="C75" s="129">
        <f>IF(OR(DBDiskSizePDC=0,LEFT(DBDiskRPMPDC,4)="7.2K",LEFT(DBDiskRPMPDC,4)="5.2K",LEFT(DBDiskRPMPDC,4)="5.4K",LEFT(DBDiskRPMPDC,4)="5.9K"),0,CEILING(ROUNDUP(ReqRD6TotIOPS/(RandDBDiskIO1*DBDiskIOCap1),0),VLOOKUP(RAID6Type,TblRAID6Types,4,FALSE)))</f>
        <v>0</v>
      </c>
      <c r="D75" s="129">
        <f>IF(OR(DBDiskSizeSDC=strEmpty,LEFT(DBDiskRPMSDC,4)="7.2K",LEFT(DBDiskRPMSDC,4)="5.2K",LEFT(DBDiskRPMSDC,4)="5.4K",LEFT(DBDiskRPMSDC,4)="5.9K"),0,CEILING(ROUNDUP(ReqRD6TotIOPS/(RandDBDiskIO2*DBDiskIOCap2),0),VLOOKUP(RAID6Type,TblRAID6Types,4,FALSE)))</f>
        <v>0</v>
      </c>
      <c r="E75" s="129">
        <f>NumDBDiskIOR62</f>
        <v>0</v>
      </c>
      <c r="F75" s="34"/>
      <c r="I75" s="26"/>
    </row>
    <row r="76" spans="1:9" hidden="1" outlineLevel="1" x14ac:dyDescent="0.3">
      <c r="A76" s="26"/>
      <c r="B76" s="21" t="str">
        <f>IF(OR(VolArchitecture="1 Volume / DB",VolArchitecture="Multiple DBs / Volume"),"Number of DB+Log Disks (Capacity)","Number of DB Disks (Capacity)")</f>
        <v>Number of DB+Log Disks (Capacity)</v>
      </c>
      <c r="C76" s="34">
        <f>IF(DBDiskSizePDC=strEmpty,0,ROUNDUP(DBVolDiskSpaceReplicaSS/DBForDiskCap1,0))</f>
        <v>0</v>
      </c>
      <c r="D76" s="34">
        <f>IF(DBDiskSizeSDC=strEmpty,0,ROUNDUP(DBVolDiskSpaceReplicaSS/DBForDiskCap2,0))</f>
        <v>0</v>
      </c>
      <c r="E76" s="34">
        <f>NumDBDiskCap2</f>
        <v>0</v>
      </c>
      <c r="F76" s="34"/>
      <c r="I76" s="26"/>
    </row>
    <row r="77" spans="1:9" hidden="1" outlineLevel="1" x14ac:dyDescent="0.3">
      <c r="A77" s="26"/>
      <c r="B77" s="21" t="str">
        <f>IF(OR(VolArchitecture="1 Volume / DB",VolArchitecture="Multiple DBs / Volume"),"RAID-1/0 Number of DB+Log Disks (Capacity)","RAID-1/0 Number of DB Disks (Capacity)")</f>
        <v>RAID-1/0 Number of DB+Log Disks (Capacity)</v>
      </c>
      <c r="C77" s="21">
        <f>CEILING(NumDBDiskCap1,VLOOKUP(RAID10Type,tblRAID10Types,2,FALSE))+((CEILING(NumDBDiskCap1,VLOOKUP(RAID10Type,tblRAID10Types,2,FALSE))/VLOOKUP(RAID10Type,tblRAID10Types,2,FALSE))*VLOOKUP(RAID10Type,tblRAID10Types,3,FALSE))</f>
        <v>0</v>
      </c>
      <c r="D77" s="21">
        <f>CEILING(NumDBDiskCap2,VLOOKUP(RAID10Type,tblRAID10Types,2,FALSE))+((CEILING(NumDBDiskCap2,VLOOKUP(RAID10Type,tblRAID10Types,2,FALSE))/VLOOKUP(RAID10Type,tblRAID10Types,2,FALSE))*VLOOKUP(RAID10Type,tblRAID10Types,3,FALSE))</f>
        <v>0</v>
      </c>
      <c r="E77" s="21">
        <f>NumDBDiskCapR102</f>
        <v>0</v>
      </c>
      <c r="F77" s="34"/>
      <c r="I77" s="26"/>
    </row>
    <row r="78" spans="1:9" hidden="1" outlineLevel="1" x14ac:dyDescent="0.3">
      <c r="A78" s="26"/>
      <c r="B78" s="21" t="str">
        <f>IF(OR(VolArchitecture="1 Volume / DB",VolArchitecture="Multiple DBs / Volume"),"RAID-5 Number of DB+Log Disks (Capacity)","RAID-5 Number of DB Disks (Capacity)")</f>
        <v>RAID-5 Number of DB+Log Disks (Capacity)</v>
      </c>
      <c r="C78" s="129">
        <f>CEILING(NumDBDiskCap1,VLOOKUP(RAID5Type,TblRAID5Types,2,FALSE))+((CEILING(NumDBDiskCap1,VLOOKUP(RAID5Type,TblRAID5Types,2,FALSE))/VLOOKUP(RAID5Type,TblRAID5Types,2,FALSE))*VLOOKUP(RAID5Type,TblRAID5Types,3,FALSE))</f>
        <v>0</v>
      </c>
      <c r="D78" s="34">
        <f>CEILING(NumDBDiskCap2,VLOOKUP(RAID5Type,TblRAID5Types,2,FALSE))+((CEILING(NumDBDiskCap2,VLOOKUP(RAID5Type,TblRAID5Types,2,FALSE))/VLOOKUP(RAID5Type,TblRAID5Types,2,FALSE))*VLOOKUP(RAID5Type,TblRAID5Types,3,FALSE))</f>
        <v>0</v>
      </c>
      <c r="E78" s="34">
        <f>NumDBDiskCapR52</f>
        <v>0</v>
      </c>
      <c r="F78" s="34"/>
      <c r="I78" s="26"/>
    </row>
    <row r="79" spans="1:9" hidden="1" outlineLevel="1" x14ac:dyDescent="0.3">
      <c r="A79" s="26"/>
      <c r="B79" s="21" t="str">
        <f>IF(OR(VolArchitecture="1 Volume / DB",VolArchitecture="Multiple DBs / Volume"),"RAID-6 Number of DB+Log Disks (Capacity)","RAID-6 Number of DB Disks (Capacity)")</f>
        <v>RAID-6 Number of DB+Log Disks (Capacity)</v>
      </c>
      <c r="C79" s="129">
        <f>CEILING(NumDBDiskCap1,VLOOKUP(RAID6Type,TblRAID6Types,2,FALSE))+((CEILING(NumDBDiskCap1,VLOOKUP(RAID6Type,TblRAID6Types,2,FALSE))/VLOOKUP(RAID6Type,TblRAID6Types,2,FALSE))*VLOOKUP(RAID6Type,TblRAID6Types,3,FALSE))</f>
        <v>0</v>
      </c>
      <c r="D79" s="34">
        <f>CEILING(NumDBDiskCap2,VLOOKUP(RAID6Type,TblRAID6Types,2,FALSE))+((CEILING(NumDBDiskCap2,VLOOKUP(RAID6Type,TblRAID6Types,2,FALSE))/VLOOKUP(RAID6Type,TblRAID6Types,2,FALSE))*VLOOKUP(RAID6Type,TblRAID6Types,3,FALSE))</f>
        <v>0</v>
      </c>
      <c r="E79" s="34">
        <f>NumDBDiskCapR62</f>
        <v>0</v>
      </c>
      <c r="F79" s="34"/>
      <c r="I79" s="26"/>
    </row>
    <row r="80" spans="1:9" hidden="1" outlineLevel="1" x14ac:dyDescent="0.3">
      <c r="A80" s="26"/>
      <c r="D80" s="20"/>
      <c r="I80" s="26"/>
    </row>
    <row r="81" spans="1:9" hidden="1" outlineLevel="1" x14ac:dyDescent="0.3">
      <c r="A81" s="26"/>
      <c r="B81" s="130" t="s">
        <v>61</v>
      </c>
      <c r="C81" s="128" t="s">
        <v>247</v>
      </c>
      <c r="D81" s="128" t="s">
        <v>250</v>
      </c>
      <c r="E81" s="128" t="s">
        <v>251</v>
      </c>
      <c r="I81" s="26"/>
    </row>
    <row r="82" spans="1:9" s="38" customFormat="1" hidden="1" outlineLevel="1" x14ac:dyDescent="0.35">
      <c r="A82" s="45"/>
      <c r="B82" s="21" t="s">
        <v>225</v>
      </c>
      <c r="C82" s="37">
        <f>IF(OR(DBDiskSizePDC=strEmpty,LogDiskSizePDC=strEmpty),0,ROUNDUP(LogBaseIOPS/(SeqLogDiskIO1*LogDiskIOCap1),0))</f>
        <v>0</v>
      </c>
      <c r="D82" s="37">
        <f>IF(OR(DBDiskSizeSDC=strEmpty,LogDiskSizeSDC=strEmpty),0,ROUNDUP(LogBaseIOPS/(SeqLogDiskIO2*LogDiskIOCap2),0))</f>
        <v>0</v>
      </c>
      <c r="E82" s="37">
        <f>NumLogDiskIOR02</f>
        <v>0</v>
      </c>
      <c r="F82" s="21"/>
      <c r="I82" s="45"/>
    </row>
    <row r="83" spans="1:9" hidden="1" outlineLevel="1" x14ac:dyDescent="0.3">
      <c r="A83" s="26"/>
      <c r="B83" s="21" t="s">
        <v>376</v>
      </c>
      <c r="C83" s="37" t="e">
        <f>IF(OR(DBDiskSizePDC=strEmpty,LogDiskSizePDC=strEmpty),0,ROUNDUP(LogVolDiskSpaceReplicaSS/LogForDiskCap1,0))</f>
        <v>#VALUE!</v>
      </c>
      <c r="D83" s="37" t="e">
        <f>IF(OR(DBDiskSizeSDC=strEmpty,LogDiskSizeSDC=strEmpty),0,ROUNDUP(LogVolDiskSpaceReplicaSS/LogForDiskCap2,0))</f>
        <v>#VALUE!</v>
      </c>
      <c r="E83" s="37" t="e">
        <f>NumLogDiskCap2</f>
        <v>#VALUE!</v>
      </c>
      <c r="I83" s="26"/>
    </row>
    <row r="84" spans="1:9" hidden="1" outlineLevel="1" x14ac:dyDescent="0.3">
      <c r="A84" s="26"/>
      <c r="B84" s="21" t="s">
        <v>73</v>
      </c>
      <c r="C84" s="37" t="e">
        <f>IF(OR(DBDiskSizePDC=strEmpty,LogDiskSizePDC=strEmpty),0,CEILING(NumLogDiskCap1,VLOOKUP(RAID10Type,tblRAID10Types,2,FALSE))+((CEILING(NumLogDiskCap1,VLOOKUP(RAID10Type,tblRAID10Types,2,FALSE))/VLOOKUP(RAID10Type,tblRAID10Types,2,FALSE))*VLOOKUP(RAID10Type,tblRAID10Types,3,FALSE)))</f>
        <v>#VALUE!</v>
      </c>
      <c r="D84" s="37" t="e">
        <f>IF(OR(DBDiskSizeSDC=strEmpty,LogDiskSizeSDC=strEmpty),0,CEILING(NumLogDiskCap2,VLOOKUP(RAID10Type,tblRAID10Types,2,FALSE))+((CEILING(NumLogDiskCap2,VLOOKUP(RAID10Type,tblRAID10Types,2,FALSE))/VLOOKUP(RAID10Type,tblRAID10Types,2,FALSE))*VLOOKUP(RAID10Type,tblRAID10Types,3,FALSE)))</f>
        <v>#VALUE!</v>
      </c>
      <c r="E84" s="37" t="e">
        <f>NumLogDiskR10Cap2</f>
        <v>#VALUE!</v>
      </c>
      <c r="I84" s="26"/>
    </row>
    <row r="85" spans="1:9" hidden="1" outlineLevel="1" x14ac:dyDescent="0.3">
      <c r="A85" s="26"/>
      <c r="B85" s="21" t="s">
        <v>72</v>
      </c>
      <c r="C85" s="37">
        <f>IF(OR(DBDiskSizePDC=strEmpty,LogDiskSizePDC=strEmpty),0,CEILING(ROUNDUP(ReqLogR10IOPS/(SeqLogDiskIO1*LogDiskIOCap1),0),VLOOKUP(RAID10Type,tblRAID10Types,4,FALSE)))</f>
        <v>0</v>
      </c>
      <c r="D85" s="37">
        <f>IF(OR(DBDiskSizeSDC=strEmpty,LogDiskSizeSDC=strEmpty),0,CEILING(ROUNDUP(ReqLogR10IOPS/(SeqLogDiskIO2*LogDiskIOCap2),0),VLOOKUP(RAID10Type,tblRAID10Types,4,FALSE)))</f>
        <v>0</v>
      </c>
      <c r="E85" s="37">
        <f>NumLogDiskR10IO2</f>
        <v>0</v>
      </c>
      <c r="I85" s="26"/>
    </row>
    <row r="86" spans="1:9" hidden="1" outlineLevel="1" x14ac:dyDescent="0.3">
      <c r="A86" s="26"/>
      <c r="D86" s="20"/>
      <c r="I86" s="26"/>
    </row>
    <row r="87" spans="1:9" hidden="1" outlineLevel="1" x14ac:dyDescent="0.3">
      <c r="A87" s="26"/>
      <c r="B87" s="130" t="s">
        <v>809</v>
      </c>
      <c r="C87" s="128" t="s">
        <v>247</v>
      </c>
      <c r="D87" s="128" t="s">
        <v>250</v>
      </c>
      <c r="E87" s="128" t="s">
        <v>251</v>
      </c>
      <c r="I87" s="26"/>
    </row>
    <row r="88" spans="1:9" hidden="1" outlineLevel="1" x14ac:dyDescent="0.3">
      <c r="A88" s="26"/>
      <c r="B88" s="21" t="s">
        <v>212</v>
      </c>
      <c r="C88" s="37">
        <f>IF(OR(DBDiskSizePDC=strEmpty,ResDiskSizePDC=strEmpty),0,ROUNDUP(RestoreVolSize/ResDiskForCap1,0))</f>
        <v>0</v>
      </c>
      <c r="D88" s="37">
        <f>IF(OR(DBDiskSizeSDC=strEmpty,ResDiskSizeSDC=strEmpty),0,ROUNDUP(RestoreVolSize/ResDiskForCap2,0))</f>
        <v>0</v>
      </c>
      <c r="E88" s="37">
        <f>ResVolDiskCap2</f>
        <v>0</v>
      </c>
      <c r="I88" s="26"/>
    </row>
    <row r="89" spans="1:9" hidden="1" outlineLevel="1" x14ac:dyDescent="0.3">
      <c r="A89" s="26"/>
      <c r="B89" s="21" t="s">
        <v>810</v>
      </c>
      <c r="C89" s="37">
        <f>IF(RestoreVol="Yes",IF(OR(DBDiskSizePDC=strEmpty,ResDiskSizePDC=strEmpty),0,CEILING(ResVolDiskCap1,VLOOKUP(RLRAID10Type,tblRAID10Types,2,FALSE))+((CEILING(ResVolDiskCap1,VLOOKUP(RLRAID10Type,tblRAID10Types,2,FALSE))/VLOOKUP(RLRAID10Type,tblRAID10Types,2,FALSE))*VLOOKUP(RLRAID10Type,tblRAID10Types,3,FALSE))),0)</f>
        <v>0</v>
      </c>
      <c r="D89" s="37">
        <f>IF(RestoreVol="Yes",IF(OR(DBDiskSizeSDC=strEmpty,ResDiskSizeSDC=strEmpty),0,CEILING(ResVolDiskCap2,VLOOKUP(RLRAID10Type,tblRAID10Types,2,FALSE))+((CEILING(ResVolDiskCap2,VLOOKUP(RLRAID10Type,tblRAID10Types,2,FALSE))/VLOOKUP(RLRAID10Type,tblRAID10Types,2,FALSE))*VLOOKUP(RLRAID10Type,tblRAID10Types,3,FALSE))),0)</f>
        <v>0</v>
      </c>
      <c r="E89" s="37">
        <f>ResVolDisksR102</f>
        <v>0</v>
      </c>
      <c r="I89" s="26"/>
    </row>
    <row r="90" spans="1:9" hidden="1" outlineLevel="1" x14ac:dyDescent="0.3">
      <c r="A90" s="26"/>
      <c r="B90" s="21" t="s">
        <v>811</v>
      </c>
      <c r="C90" s="129">
        <f>IF(RestoreVol="Yes",IF(OR(DBDiskSizePDC=strEmpty,ResDiskSizePDC=strEmpty),0,CEILING(ResVolDiskCap1,VLOOKUP(RLRAID5Type,TblRAID5Types,2,FALSE))+((CEILING(ResVolDiskCap1,VLOOKUP(RLRAID5Type,TblRAID5Types,2,FALSE))/VLOOKUP(RLRAID5Type,TblRAID5Types,2,FALSE))*VLOOKUP(RLRAID5Type,TblRAID5Types,3,FALSE))),0)</f>
        <v>0</v>
      </c>
      <c r="D90" s="129">
        <f>IF(RestoreVol="Yes",IF(OR(DBDiskSizeSDC=strEmpty,ResDiskSizeSDC=strEmpty),0,CEILING(ResVolDiskCap2,VLOOKUP(RLRAID5Type,TblRAID5Types,2,FALSE))+((CEILING(ResVolDiskCap2,VLOOKUP(RLRAID5Type,TblRAID5Types,2,FALSE))/VLOOKUP(RLRAID5Type,TblRAID5Types,2,FALSE))*VLOOKUP(RLRAID5Type,TblRAID5Types,3,FALSE))),0)</f>
        <v>0</v>
      </c>
      <c r="E90" s="129">
        <f>ResVolDisksR52</f>
        <v>0</v>
      </c>
      <c r="I90" s="26"/>
    </row>
    <row r="91" spans="1:9" hidden="1" outlineLevel="1" x14ac:dyDescent="0.3">
      <c r="A91" s="26"/>
      <c r="B91" s="21" t="s">
        <v>812</v>
      </c>
      <c r="C91" s="37">
        <f>IF(RestoreVol="Yes",IF(OR(DBDiskSizePDC=strEmpty,ResDiskSizePDC=strEmpty),0,CEILING(ResVolDiskCap1,VLOOKUP(RLRAID6Type,TblRAID6Types,2,FALSE))+((CEILING(ResVolDiskCap1,VLOOKUP(RLRAID6Type,TblRAID6Types,2,FALSE))/VLOOKUP(RLRAID6Type,TblRAID6Types,2,FALSE))*VLOOKUP(RLRAID6Type,TblRAID6Types,3,FALSE))),0)</f>
        <v>0</v>
      </c>
      <c r="D91" s="37">
        <f>IF(RestoreVol="Yes",IF(OR(DBDiskSizeSDC=strEmpty,ResDiskSizeSDC=strEmpty),0,CEILING(ResVolDiskCap2,VLOOKUP(RLRAID6Type,TblRAID6Types,2,FALSE))+((CEILING(ResVolDiskCap2,VLOOKUP(RLRAID6Type,TblRAID6Types,2,FALSE))/VLOOKUP(RLRAID6Type,TblRAID6Types,2,FALSE))*VLOOKUP(RLRAID6Type,TblRAID6Types,3,FALSE))),0)</f>
        <v>0</v>
      </c>
      <c r="E91" s="37">
        <f>ResVolDisksR62</f>
        <v>0</v>
      </c>
      <c r="I91" s="26"/>
    </row>
    <row r="92" spans="1:9" hidden="1" outlineLevel="1" x14ac:dyDescent="0.3">
      <c r="A92" s="26"/>
      <c r="I92" s="26"/>
    </row>
    <row r="93" spans="1:9" hidden="1" outlineLevel="1" x14ac:dyDescent="0.3">
      <c r="A93" s="26"/>
      <c r="B93" s="128" t="s">
        <v>223</v>
      </c>
      <c r="C93" s="128" t="s">
        <v>247</v>
      </c>
      <c r="D93" s="128" t="s">
        <v>250</v>
      </c>
      <c r="E93" s="128" t="s">
        <v>251</v>
      </c>
      <c r="I93" s="26"/>
    </row>
    <row r="94" spans="1:9" hidden="1" outlineLevel="1" x14ac:dyDescent="0.3">
      <c r="A94" s="26"/>
      <c r="B94" s="21" t="s">
        <v>215</v>
      </c>
      <c r="C94" s="37">
        <f>NumDBDiskIOR01</f>
        <v>0</v>
      </c>
      <c r="D94" s="37">
        <f>NumDBDiskIOR02</f>
        <v>0</v>
      </c>
      <c r="E94" s="37">
        <f>NumDBDiskIOR03</f>
        <v>0</v>
      </c>
      <c r="I94" s="26"/>
    </row>
    <row r="95" spans="1:9" hidden="1" outlineLevel="1" x14ac:dyDescent="0.3">
      <c r="A95" s="26"/>
      <c r="B95" s="21" t="s">
        <v>216</v>
      </c>
      <c r="C95" s="37">
        <f>NumDBDiskCap1</f>
        <v>0</v>
      </c>
      <c r="D95" s="37">
        <f>NumDBDiskCap2</f>
        <v>0</v>
      </c>
      <c r="E95" s="37">
        <f>NumDBDiskCap3</f>
        <v>0</v>
      </c>
      <c r="I95" s="26"/>
    </row>
    <row r="96" spans="1:9" hidden="1" outlineLevel="1" x14ac:dyDescent="0.3">
      <c r="A96" s="26"/>
      <c r="B96" s="21" t="s">
        <v>217</v>
      </c>
      <c r="C96" s="37">
        <f>NumDBDiskIOR101</f>
        <v>0</v>
      </c>
      <c r="D96" s="37">
        <f>NumDBDiskIOR102</f>
        <v>0</v>
      </c>
      <c r="E96" s="37">
        <f>NumDBDiskIOR103</f>
        <v>0</v>
      </c>
      <c r="I96" s="26"/>
    </row>
    <row r="97" spans="1:9" hidden="1" outlineLevel="1" x14ac:dyDescent="0.3">
      <c r="A97" s="26"/>
      <c r="B97" s="21" t="s">
        <v>218</v>
      </c>
      <c r="C97" s="37">
        <f>NumDBDiskCapR101</f>
        <v>0</v>
      </c>
      <c r="D97" s="37">
        <f>NumDBDiskCapR102</f>
        <v>0</v>
      </c>
      <c r="E97" s="37">
        <f>NumDBDiskCapR103</f>
        <v>0</v>
      </c>
      <c r="I97" s="26"/>
    </row>
    <row r="98" spans="1:9" hidden="1" outlineLevel="1" x14ac:dyDescent="0.3">
      <c r="A98" s="26"/>
      <c r="B98" s="21" t="s">
        <v>219</v>
      </c>
      <c r="C98" s="37">
        <f>NumDBDiskIOR51</f>
        <v>0</v>
      </c>
      <c r="D98" s="37">
        <f>NumDBDiskIOR52</f>
        <v>0</v>
      </c>
      <c r="E98" s="37">
        <f>NumDBDiskIOR53</f>
        <v>0</v>
      </c>
      <c r="I98" s="26"/>
    </row>
    <row r="99" spans="1:9" hidden="1" outlineLevel="1" x14ac:dyDescent="0.3">
      <c r="A99" s="26"/>
      <c r="B99" s="21" t="s">
        <v>220</v>
      </c>
      <c r="C99" s="37">
        <f>NumDBDiskCapR51</f>
        <v>0</v>
      </c>
      <c r="D99" s="37">
        <f>NumDBDiskCapR52</f>
        <v>0</v>
      </c>
      <c r="E99" s="37">
        <f>NumDBDiskCapR53</f>
        <v>0</v>
      </c>
      <c r="I99" s="26"/>
    </row>
    <row r="100" spans="1:9" hidden="1" outlineLevel="1" x14ac:dyDescent="0.3">
      <c r="A100" s="26"/>
      <c r="B100" s="21" t="s">
        <v>221</v>
      </c>
      <c r="C100" s="37">
        <f>NumDBDiskIOR61</f>
        <v>0</v>
      </c>
      <c r="D100" s="37">
        <f>NumDBDiskIOR62</f>
        <v>0</v>
      </c>
      <c r="E100" s="37">
        <f>NumDBDiskIOR63</f>
        <v>0</v>
      </c>
      <c r="I100" s="26"/>
    </row>
    <row r="101" spans="1:9" hidden="1" outlineLevel="1" x14ac:dyDescent="0.3">
      <c r="A101" s="26"/>
      <c r="B101" s="21" t="s">
        <v>222</v>
      </c>
      <c r="C101" s="37">
        <f>NumDBDiskCapR61</f>
        <v>0</v>
      </c>
      <c r="D101" s="37">
        <f>NumDBDiskCapR62</f>
        <v>0</v>
      </c>
      <c r="E101" s="37">
        <f>NumDBDiskCapR63</f>
        <v>0</v>
      </c>
      <c r="I101" s="26"/>
    </row>
    <row r="102" spans="1:9" hidden="1" outlineLevel="1" x14ac:dyDescent="0.3">
      <c r="A102" s="26"/>
      <c r="B102" s="20"/>
      <c r="C102" s="20"/>
      <c r="D102" s="20"/>
      <c r="E102" s="20"/>
      <c r="I102" s="26"/>
    </row>
    <row r="103" spans="1:9" hidden="1" outlineLevel="1" x14ac:dyDescent="0.3">
      <c r="A103" s="26"/>
      <c r="B103" s="128" t="s">
        <v>224</v>
      </c>
      <c r="C103" s="128" t="s">
        <v>247</v>
      </c>
      <c r="D103" s="128" t="s">
        <v>250</v>
      </c>
      <c r="E103" s="128" t="s">
        <v>251</v>
      </c>
      <c r="I103" s="26"/>
    </row>
    <row r="104" spans="1:9" hidden="1" outlineLevel="1" x14ac:dyDescent="0.3">
      <c r="A104" s="26"/>
      <c r="B104" s="21" t="s">
        <v>215</v>
      </c>
      <c r="C104" s="37">
        <f>NumLogDiskIOR01</f>
        <v>0</v>
      </c>
      <c r="D104" s="37">
        <f>NumLogDiskIOR02</f>
        <v>0</v>
      </c>
      <c r="E104" s="37">
        <f>NumLogDiskIOR03</f>
        <v>0</v>
      </c>
      <c r="I104" s="26"/>
    </row>
    <row r="105" spans="1:9" hidden="1" outlineLevel="1" x14ac:dyDescent="0.3">
      <c r="A105" s="26"/>
      <c r="B105" s="21" t="s">
        <v>216</v>
      </c>
      <c r="C105" s="37" t="e">
        <f>NumLogDiskCap1</f>
        <v>#VALUE!</v>
      </c>
      <c r="D105" s="37" t="e">
        <f>NumLogDiskCap2</f>
        <v>#VALUE!</v>
      </c>
      <c r="E105" s="37" t="e">
        <f>NumLogDiskCap3</f>
        <v>#VALUE!</v>
      </c>
      <c r="I105" s="26"/>
    </row>
    <row r="106" spans="1:9" hidden="1" outlineLevel="1" x14ac:dyDescent="0.3">
      <c r="A106" s="26"/>
      <c r="B106" s="21" t="s">
        <v>217</v>
      </c>
      <c r="C106" s="37">
        <f>NumLogDiskR10IO1</f>
        <v>0</v>
      </c>
      <c r="D106" s="37">
        <f>NumLogDiskR10IO2</f>
        <v>0</v>
      </c>
      <c r="E106" s="37">
        <f>NumLogDiskR10IO3</f>
        <v>0</v>
      </c>
      <c r="I106" s="26"/>
    </row>
    <row r="107" spans="1:9" hidden="1" outlineLevel="1" x14ac:dyDescent="0.3">
      <c r="A107" s="26"/>
      <c r="B107" s="21" t="s">
        <v>218</v>
      </c>
      <c r="C107" s="37" t="e">
        <f>NumLogDiskR10Cap1</f>
        <v>#VALUE!</v>
      </c>
      <c r="D107" s="37" t="e">
        <f>NumLogDiskR10Cap2</f>
        <v>#VALUE!</v>
      </c>
      <c r="E107" s="37" t="e">
        <f>NumLogDiskR10Cap3</f>
        <v>#VALUE!</v>
      </c>
      <c r="I107" s="26"/>
    </row>
    <row r="108" spans="1:9" hidden="1" outlineLevel="1" x14ac:dyDescent="0.3">
      <c r="A108" s="26"/>
      <c r="B108" s="20"/>
      <c r="C108" s="20"/>
      <c r="D108" s="20"/>
      <c r="E108" s="20"/>
      <c r="I108" s="26"/>
    </row>
    <row r="109" spans="1:9" hidden="1" outlineLevel="1" x14ac:dyDescent="0.3">
      <c r="A109" s="26"/>
      <c r="B109" s="128" t="s">
        <v>226</v>
      </c>
      <c r="C109" s="128" t="s">
        <v>227</v>
      </c>
      <c r="D109" s="128" t="s">
        <v>228</v>
      </c>
      <c r="I109" s="26"/>
    </row>
    <row r="110" spans="1:9" hidden="1" outlineLevel="1" x14ac:dyDescent="0.3">
      <c r="A110" s="26"/>
      <c r="B110" s="37">
        <f>OptDBDisks1</f>
        <v>0</v>
      </c>
      <c r="C110" s="37" t="str">
        <f>OptDBRAIDConfig1</f>
        <v>RAID-1/0</v>
      </c>
      <c r="D110" s="37" t="s">
        <v>247</v>
      </c>
      <c r="I110" s="26"/>
    </row>
    <row r="111" spans="1:9" hidden="1" outlineLevel="1" x14ac:dyDescent="0.3">
      <c r="A111" s="26"/>
      <c r="B111" s="37">
        <f>OptDBDisks2</f>
        <v>0</v>
      </c>
      <c r="C111" s="37" t="str">
        <f>OptDBRAIDConfig2</f>
        <v>RAID-1/0</v>
      </c>
      <c r="D111" s="37" t="s">
        <v>250</v>
      </c>
      <c r="H111" s="338"/>
      <c r="I111" s="26"/>
    </row>
    <row r="112" spans="1:9" hidden="1" outlineLevel="1" x14ac:dyDescent="0.3">
      <c r="A112" s="26"/>
      <c r="B112" s="37">
        <f>OptDBDisks3</f>
        <v>0</v>
      </c>
      <c r="C112" s="37" t="str">
        <f>OptDBRAIDConfig3</f>
        <v>RAID-1/0</v>
      </c>
      <c r="D112" s="37" t="s">
        <v>251</v>
      </c>
      <c r="I112" s="26"/>
    </row>
    <row r="113" spans="1:9" hidden="1" outlineLevel="1" x14ac:dyDescent="0.3">
      <c r="A113" s="26"/>
      <c r="I113" s="26"/>
    </row>
    <row r="114" spans="1:9" hidden="1" outlineLevel="1" x14ac:dyDescent="0.3">
      <c r="A114" s="26"/>
      <c r="B114" s="128" t="s">
        <v>229</v>
      </c>
      <c r="C114" s="128" t="s">
        <v>230</v>
      </c>
      <c r="D114" s="128" t="s">
        <v>121</v>
      </c>
      <c r="I114" s="26"/>
    </row>
    <row r="115" spans="1:9" hidden="1" outlineLevel="1" x14ac:dyDescent="0.3">
      <c r="A115" s="26"/>
      <c r="B115" s="37" t="e">
        <f>OptLogDisks1</f>
        <v>#VALUE!</v>
      </c>
      <c r="C115" s="37" t="str">
        <f>OptLogRAIDConfig1</f>
        <v>RAID-1/0</v>
      </c>
      <c r="D115" s="37" t="s">
        <v>247</v>
      </c>
      <c r="I115" s="26"/>
    </row>
    <row r="116" spans="1:9" hidden="1" outlineLevel="1" x14ac:dyDescent="0.3">
      <c r="A116" s="26"/>
      <c r="B116" s="37" t="e">
        <f>OptLogDisks2</f>
        <v>#VALUE!</v>
      </c>
      <c r="C116" s="37" t="str">
        <f>OptLogRAIDConfig2</f>
        <v>RAID-1/0</v>
      </c>
      <c r="D116" s="37" t="s">
        <v>250</v>
      </c>
      <c r="I116" s="26"/>
    </row>
    <row r="117" spans="1:9" hidden="1" outlineLevel="1" x14ac:dyDescent="0.3">
      <c r="A117" s="26"/>
      <c r="B117" s="37" t="e">
        <f>OptLogDisks3</f>
        <v>#VALUE!</v>
      </c>
      <c r="C117" s="37" t="str">
        <f>OptLogRAIDConfig3</f>
        <v>RAID-1/0</v>
      </c>
      <c r="D117" s="37" t="s">
        <v>251</v>
      </c>
      <c r="I117" s="26"/>
    </row>
    <row r="118" spans="1:9" hidden="1" outlineLevel="1" x14ac:dyDescent="0.3">
      <c r="A118" s="26"/>
      <c r="I118" s="26"/>
    </row>
    <row r="119" spans="1:9" hidden="1" outlineLevel="1" x14ac:dyDescent="0.3">
      <c r="A119" s="26"/>
      <c r="B119" s="128" t="s">
        <v>814</v>
      </c>
      <c r="C119" s="128" t="s">
        <v>813</v>
      </c>
      <c r="D119" s="128" t="s">
        <v>815</v>
      </c>
      <c r="I119" s="26"/>
    </row>
    <row r="120" spans="1:9" hidden="1" outlineLevel="1" x14ac:dyDescent="0.3">
      <c r="A120" s="26"/>
      <c r="B120" s="37">
        <f>OptRLDisks1</f>
        <v>0</v>
      </c>
      <c r="C120" s="37" t="str">
        <f>OptRLRAIDConfig1</f>
        <v>RAID-5</v>
      </c>
      <c r="D120" s="37" t="s">
        <v>247</v>
      </c>
      <c r="I120" s="26"/>
    </row>
    <row r="121" spans="1:9" hidden="1" outlineLevel="1" x14ac:dyDescent="0.3">
      <c r="A121" s="26"/>
      <c r="B121" s="37">
        <f>OptRLDisks2</f>
        <v>0</v>
      </c>
      <c r="C121" s="37" t="str">
        <f>OptRLRAIDConfig2</f>
        <v>RAID-5</v>
      </c>
      <c r="D121" s="37" t="s">
        <v>250</v>
      </c>
      <c r="I121" s="26"/>
    </row>
    <row r="122" spans="1:9" hidden="1" outlineLevel="1" x14ac:dyDescent="0.3">
      <c r="A122" s="26"/>
      <c r="B122" s="37">
        <f>OptRLDisks3</f>
        <v>0</v>
      </c>
      <c r="C122" s="37" t="str">
        <f>OptRLRAIDConfig3</f>
        <v>--</v>
      </c>
      <c r="D122" s="37" t="s">
        <v>251</v>
      </c>
      <c r="I122" s="26"/>
    </row>
    <row r="123" spans="1:9" hidden="1" outlineLevel="1" x14ac:dyDescent="0.3">
      <c r="A123" s="26"/>
      <c r="B123" s="19"/>
      <c r="C123" s="23"/>
      <c r="D123" s="20"/>
      <c r="E123" s="19"/>
      <c r="F123" s="19"/>
      <c r="I123" s="26"/>
    </row>
    <row r="124" spans="1:9" hidden="1" outlineLevel="1" x14ac:dyDescent="0.3">
      <c r="A124" s="26"/>
      <c r="B124" s="128" t="s">
        <v>253</v>
      </c>
      <c r="C124" s="128" t="s">
        <v>226</v>
      </c>
      <c r="D124" s="128" t="s">
        <v>229</v>
      </c>
      <c r="E124" s="128" t="s">
        <v>814</v>
      </c>
      <c r="F124" s="128" t="s">
        <v>528</v>
      </c>
      <c r="G124" s="128" t="s">
        <v>529</v>
      </c>
      <c r="H124" s="128" t="s">
        <v>530</v>
      </c>
      <c r="I124" s="134" t="s">
        <v>254</v>
      </c>
    </row>
    <row r="125" spans="1:9" hidden="1" outlineLevel="1" x14ac:dyDescent="0.3">
      <c r="A125" s="26"/>
      <c r="B125" s="37" t="e">
        <f>IF(DBDiskSizePDC=strEmpty,strEmpty,SUM(OptDBDisks1,OptLogDisks1,OptRLDisks1))</f>
        <v>#VALUE!</v>
      </c>
      <c r="C125" s="37">
        <f>OptDBDisks1</f>
        <v>0</v>
      </c>
      <c r="D125" s="37" t="e">
        <f>OptLogDisks1</f>
        <v>#VALUE!</v>
      </c>
      <c r="E125" s="37">
        <f>OptRLDisks1</f>
        <v>0</v>
      </c>
      <c r="F125" s="37" t="str">
        <f>IF(DBDiskSizePDC&lt;&gt;strEmpty,DBDiskSizePDC &amp; " / " &amp; DBDiskRPMPDC,strEmpty)</f>
        <v>12000 GB / 7.2K RPM SAS 3.5"</v>
      </c>
      <c r="G125" s="37" t="str">
        <f>IF(DBDiskSizePDC&lt;&gt;strEmpty,LogDiskSizePDC &amp; " / " &amp; LogDiskRPMPDC,strEmpty)</f>
        <v>4000 GB / 7.2K RPM SAS 3.5"</v>
      </c>
      <c r="H125" s="37" t="str">
        <f>IF(AND(RestoreVol&lt;&gt;"No",DBDiskSizePDC&lt;&gt;strEmpty),ResDiskSizePDC &amp; " / " &amp; ResDiskRPMPDC,strEmpty)</f>
        <v>12000 GB / 7.2K RPM SAS 3.5"</v>
      </c>
      <c r="I125" s="75" t="s">
        <v>247</v>
      </c>
    </row>
    <row r="126" spans="1:9" hidden="1" outlineLevel="1" x14ac:dyDescent="0.3">
      <c r="A126" s="26"/>
      <c r="B126" s="37"/>
      <c r="C126" s="37"/>
      <c r="D126" s="37"/>
      <c r="E126" s="37"/>
      <c r="F126" s="37"/>
      <c r="G126" s="37"/>
      <c r="H126" s="37"/>
      <c r="I126" s="75"/>
    </row>
    <row r="127" spans="1:9" hidden="1" outlineLevel="1" x14ac:dyDescent="0.3">
      <c r="A127" s="26"/>
      <c r="B127" s="128" t="s">
        <v>253</v>
      </c>
      <c r="C127" s="128" t="s">
        <v>226</v>
      </c>
      <c r="D127" s="128" t="s">
        <v>229</v>
      </c>
      <c r="E127" s="128" t="s">
        <v>814</v>
      </c>
      <c r="F127" s="128" t="s">
        <v>528</v>
      </c>
      <c r="G127" s="128" t="s">
        <v>529</v>
      </c>
      <c r="H127" s="128" t="s">
        <v>530</v>
      </c>
      <c r="I127" s="134" t="s">
        <v>254</v>
      </c>
    </row>
    <row r="128" spans="1:9" hidden="1" outlineLevel="1" x14ac:dyDescent="0.3">
      <c r="A128" s="26"/>
      <c r="B128" s="37" t="e">
        <f>IF(DBDiskSizeSDC=strEmpty,strEmpty,SUM(OptDBDisks2,OptLogDisks2,OptRLDisks2))</f>
        <v>#VALUE!</v>
      </c>
      <c r="C128" s="37">
        <f>OptDBDisks2</f>
        <v>0</v>
      </c>
      <c r="D128" s="37" t="e">
        <f>OptLogDisks2</f>
        <v>#VALUE!</v>
      </c>
      <c r="E128" s="37">
        <f>OptRLDisks2</f>
        <v>0</v>
      </c>
      <c r="F128" s="37" t="str">
        <f>IF(DBDiskSizeSDC&lt;&gt;strEmpty,DBDiskSizeSDC &amp; " / " &amp; DBDiskRPMSDC,strEmpty)</f>
        <v>12000 GB / 7.2K RPM SAS 3.5"</v>
      </c>
      <c r="G128" s="37" t="str">
        <f>IF(DBDiskSizeSDC&lt;&gt;strEmpty,LogDiskSizeSDC &amp; " / " &amp; LogDiskRPMSDC,strEmpty)</f>
        <v>4000 GB / 7.2K RPM SAS 3.5"</v>
      </c>
      <c r="H128" s="37" t="str">
        <f>IF(AND(RestoreVol&lt;&gt;"No",DBDiskSizeSDC&lt;&gt;strEmpty),ResDiskSizeSDC &amp; " / " &amp; ResDiskRPMSDC,strEmpty)</f>
        <v>12000 GB / 7.2K RPM SAS 3.5"</v>
      </c>
      <c r="I128" s="75" t="s">
        <v>250</v>
      </c>
    </row>
    <row r="129" spans="1:9" hidden="1" outlineLevel="1" x14ac:dyDescent="0.3">
      <c r="A129" s="26"/>
      <c r="B129" s="37"/>
      <c r="C129" s="37"/>
      <c r="D129" s="37"/>
      <c r="E129" s="37"/>
      <c r="F129" s="37"/>
      <c r="I129" s="26"/>
    </row>
    <row r="130" spans="1:9" hidden="1" outlineLevel="1" x14ac:dyDescent="0.3">
      <c r="A130" s="26"/>
      <c r="B130" s="128" t="s">
        <v>483</v>
      </c>
      <c r="C130" s="128" t="s">
        <v>247</v>
      </c>
      <c r="D130" s="128" t="s">
        <v>250</v>
      </c>
      <c r="E130" s="128" t="s">
        <v>251</v>
      </c>
      <c r="F130" s="37"/>
      <c r="I130" s="26"/>
    </row>
    <row r="131" spans="1:9" hidden="1" outlineLevel="1" x14ac:dyDescent="0.3">
      <c r="A131" s="26"/>
      <c r="B131" s="21" t="str">
        <f>IF(OR(VolArchitecture=INDEX(varVolumeArchitecture,1),VolArchitecture=INDEX(varVolumeArchitecture,4)),"Database+Log RAID Configuration","Database RAID Configuration")</f>
        <v>Database+Log RAID Configuration</v>
      </c>
      <c r="C131" s="37" t="str">
        <f>IF(DBDiskSizePDC=strEmpty,strEmpty,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1" s="37" t="str">
        <f>IF(DBDiskSizeSDC=strEmpty,strEmpty,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1" s="37" t="str">
        <f>OptDBRAIDConfig2</f>
        <v>RAID-1/0</v>
      </c>
      <c r="F131" s="37"/>
      <c r="I131" s="26"/>
    </row>
    <row r="132" spans="1:9" hidden="1" outlineLevel="1" x14ac:dyDescent="0.3">
      <c r="A132" s="26"/>
      <c r="B132" s="21" t="str">
        <f>IF(OR(VolArchitecture=INDEX(varVolumeArchitecture,1),VolArchitecture=INDEX(varVolumeArchitecture,4)),"Database+Log Number of Disks","Database Number of Disks")</f>
        <v>Database+Log Number of Disks</v>
      </c>
      <c r="C132" s="37">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0</v>
      </c>
      <c r="D132" s="37">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0</v>
      </c>
      <c r="E132" s="37">
        <f>OptDBDisks2</f>
        <v>0</v>
      </c>
      <c r="F132" s="37"/>
      <c r="I132" s="26"/>
    </row>
    <row r="133" spans="1:9" hidden="1" outlineLevel="1" x14ac:dyDescent="0.3">
      <c r="A133" s="26"/>
      <c r="B133" s="21" t="s">
        <v>334</v>
      </c>
      <c r="C133" s="37" t="str">
        <f>IF(OR(DBDiskSizePDC=strEmpty,LogDiskSizePDC=strEmpty),strEmpty,IF(OverrideRAID="Yes",IF(DesiredStorageArch="RAID-0","RAID-0","RAID-1/0"),"RAID-1/0"))</f>
        <v>RAID-1/0</v>
      </c>
      <c r="D133" s="37" t="str">
        <f>IF(OR(DBDiskSizeSDC=strEmpty,LogDiskSizeSDC=strEmpty),strEmpty,IF(OverrideRAID="Yes",IF(DesiredStorageArch="RAID-0","RAID-0","RAID-1/0"),"RAID-1/0"))</f>
        <v>RAID-1/0</v>
      </c>
      <c r="E133" s="37" t="str">
        <f>OptLogRAIDConfig2</f>
        <v>RAID-1/0</v>
      </c>
      <c r="F133" s="37"/>
      <c r="I133" s="26"/>
    </row>
    <row r="134" spans="1:9" hidden="1" outlineLevel="1" x14ac:dyDescent="0.3">
      <c r="A134" s="26"/>
      <c r="B134" s="21" t="s">
        <v>243</v>
      </c>
      <c r="C134" s="37" t="e">
        <f>IF(OptLogRAIDConfig1="RAID-1/0",IF(NumLogDiskR10Cap1&gt;=NumLogDiskR10IO1,NumLogDiskR10Cap1,NumLogDiskR10IO1),IF(NumLogDiskCap1&gt;=NumLogDiskIOR01,NumLogDiskCap1,NumLogDiskIOR01))</f>
        <v>#VALUE!</v>
      </c>
      <c r="D134" s="37" t="e">
        <f>IF(OptLogRAIDConfig2="RAID-1/0",IF(NumLogDiskR10Cap2&gt;=NumLogDiskR10IO2,NumLogDiskR10Cap2,NumLogDiskR10IO2),IF(NumLogDiskCap2&gt;=NumLogDiskIOR02,NumLogDiskCap2,NumLogDiskIOR02))</f>
        <v>#VALUE!</v>
      </c>
      <c r="E134" s="37" t="e">
        <f>OptLogDisks2</f>
        <v>#VALUE!</v>
      </c>
      <c r="F134" s="37"/>
      <c r="I134" s="26"/>
    </row>
    <row r="135" spans="1:9" hidden="1" outlineLevel="1" x14ac:dyDescent="0.3">
      <c r="A135" s="26"/>
      <c r="B135" s="21" t="s">
        <v>807</v>
      </c>
      <c r="C135" s="37" t="str">
        <f>IF(RestoreVol="Yes",IF(DBDiskSizePDC=strEmpty,strEmpty,DesResVolRAID),strEmpty)</f>
        <v>RAID-5</v>
      </c>
      <c r="D135" s="37" t="str">
        <f>IF(RestoreVol="Yes",IF(OR(DBDiskSizeSDC=strEmpty,ResDiskSizeSDC=strEmpty),strEmpty,DesResVolRAID),strEmpty)</f>
        <v>RAID-5</v>
      </c>
      <c r="E135" s="37" t="str">
        <f>IF(RestoreVol="Yes",IF(OR(DBDiskSize3=strEmpty,ResDiskSize3=strEmpty),strEmpty,DesResVolRAID),strEmpty)</f>
        <v>--</v>
      </c>
      <c r="F135" s="37"/>
      <c r="I135" s="26"/>
    </row>
    <row r="136" spans="1:9" hidden="1" outlineLevel="1" x14ac:dyDescent="0.3">
      <c r="A136" s="26"/>
      <c r="B136" s="21" t="s">
        <v>816</v>
      </c>
      <c r="C136" s="37">
        <f>IF(OptRLRAIDConfig1="RAID-0",ResVolDiskCap1,IF(OptRLRAIDConfig1="RAID-1/0",ResVolDisksR101,IF(OptRLRAIDConfig1="RAID-5",ResVolDisksR51,ResVolDisksR61)))</f>
        <v>0</v>
      </c>
      <c r="D136" s="37">
        <f>IF(OptRLRAIDConfig2="RAID-0",ResVolDiskCap2,IF(OptRLRAIDConfig2="RAID-1/0",ResVolDisksR102,IF(OptRLRAIDConfig2="RAID-5",ResVolDisksR52,ResVolDisksR62)))</f>
        <v>0</v>
      </c>
      <c r="E136" s="37">
        <f>OptRLDisks2</f>
        <v>0</v>
      </c>
      <c r="F136" s="37"/>
      <c r="I136" s="26"/>
    </row>
    <row r="137" spans="1:9" hidden="1" outlineLevel="1" x14ac:dyDescent="0.3">
      <c r="A137" s="26"/>
      <c r="C137" s="37"/>
      <c r="D137" s="37"/>
      <c r="E137" s="37"/>
      <c r="F137" s="37"/>
      <c r="I137" s="26"/>
    </row>
    <row r="138" spans="1:9" hidden="1" outlineLevel="1" x14ac:dyDescent="0.3">
      <c r="A138" s="26"/>
      <c r="B138" s="1124" t="s">
        <v>482</v>
      </c>
      <c r="C138" s="1093"/>
      <c r="D138" s="1093"/>
      <c r="E138" s="1093"/>
      <c r="F138" s="1093"/>
      <c r="G138" s="1093"/>
      <c r="H138" s="1093"/>
      <c r="I138" s="1113"/>
    </row>
    <row r="139" spans="1:9" hidden="1" outlineLevel="1" x14ac:dyDescent="0.3">
      <c r="A139" s="26"/>
      <c r="B139" s="37"/>
      <c r="C139" s="37"/>
      <c r="D139" s="37"/>
      <c r="E139" s="37"/>
      <c r="F139" s="37"/>
      <c r="I139" s="26"/>
    </row>
    <row r="140" spans="1:9" hidden="1" outlineLevel="1" x14ac:dyDescent="0.3">
      <c r="A140" s="26"/>
      <c r="B140" s="139" t="s">
        <v>482</v>
      </c>
      <c r="C140" s="139" t="s">
        <v>247</v>
      </c>
      <c r="D140" s="139" t="s">
        <v>250</v>
      </c>
      <c r="E140" s="139" t="s">
        <v>251</v>
      </c>
      <c r="F140" s="37"/>
      <c r="I140" s="26"/>
    </row>
    <row r="141" spans="1:9" hidden="1" outlineLevel="1" x14ac:dyDescent="0.3">
      <c r="A141" s="26"/>
      <c r="B141" s="35" t="s">
        <v>327</v>
      </c>
      <c r="C141" s="37" t="b">
        <f>DBVolSize&lt;=DBForDiskCap1</f>
        <v>1</v>
      </c>
      <c r="D141" s="37" t="b">
        <f>DBVolSize&lt;=DBForDiskCap2</f>
        <v>1</v>
      </c>
      <c r="E141" s="37" t="b">
        <f>DBVolSize&lt;=DBForDiskCap3</f>
        <v>1</v>
      </c>
      <c r="F141" s="37"/>
      <c r="I141" s="26"/>
    </row>
    <row r="142" spans="1:9" hidden="1" outlineLevel="1" x14ac:dyDescent="0.3">
      <c r="A142" s="26"/>
      <c r="B142" s="190" t="s">
        <v>328</v>
      </c>
      <c r="C142" s="37" t="b">
        <f>IF(IFERROR(ROUND(BaseTotIOPS/TotNumDBCopiesServer*RecDBperVolume,0),0)&lt;=RandDBDiskIO1,TRUE,FALSE)</f>
        <v>1</v>
      </c>
      <c r="D142" s="37" t="b">
        <f>IF(IFERROR(ROUND(BaseTotIOPS/TotNumDBCopiesServer*RecDBperVolume,0),0)&lt;=RandDBDiskIO2,TRUE,FALSE)</f>
        <v>1</v>
      </c>
      <c r="E142" s="37" t="b">
        <f>IF(IFERROR(ROUND(BaseTotIOPS/TotNumDBCopiesServer*RecDBperVolume,0),0)&lt;=RandDBDiskIO3,TRUE,FALSE)</f>
        <v>1</v>
      </c>
      <c r="F142" s="37"/>
      <c r="I142" s="26"/>
    </row>
    <row r="143" spans="1:9" hidden="1" outlineLevel="1" x14ac:dyDescent="0.3">
      <c r="A143" s="26"/>
      <c r="B143" s="35" t="s">
        <v>330</v>
      </c>
      <c r="C143" s="37">
        <f>IF(AND(PreferredStorageArch&lt;&gt;INDEX(varStorageArchitecture,1),DedLaggedCopyServer&lt;&gt;"Yes"),
    VLOOKUP(18,strTable,2,FALSE),
       IF(AND(DBLogIsolation="Yes",NOT(funcAzureJBODCheck(DBDiskRPMPDC))),
          VLOOKUP(19,strTable,2,FALSE),
             IF(AND(VolArchitecture=INDEX(varVolumeArchitecture,4),IF(SRModel=INDEX(varSRModel,2),NOT((numDBCopies+numLagCopies-numDBCopiesSDC-numLagCopiesSDC)&lt;=calcMaxDBperVolume)),IF(SRModel=INDEX(varSRModel,1),NOT((numDBCopies+numLagCopies)&lt;=calcMaxDBperVolume)),FALSE),
                VLOOKUP(40,strTable,2,FALSE),
                   IF(JBODCapAchDisk1=FALSE,
                      VLOOKUP(15,strTable,2,FALSE),
                         IF(JBODIOAchDisk1=FALSE,
                            VLOOKUP(16,strTable,2,FALSE),
                               IF(AND(VolArchitecture=INDEX(varVolumeArchitecture,1),NOT(funcAzureJBODCheck(DBDiskRPMPDC))),
                                  VLOOKUP(17,strTable,2,FALSE),
                                     ROUNDUP(TotNumDBCopiesServer/RecDBperVolume,0)))))))</f>
        <v>0</v>
      </c>
      <c r="D143" s="37">
        <f>IF(AND(PreferredStorageArchSDC&lt;&gt;INDEX(varStorageArchitecture,1),DedLaggedCopyServer&lt;&gt;"Yes"),
    VLOOKUP(18,strTable,2,FALSE),
       IF(AND(DBLogIsolation="Yes",NOT(funcAzureJBODCheck(DBDiskRPMSDC))),
          VLOOKUP(19,strTable,2,FALSE),
             IF(AND(VolArchitecture=INDEX(varVolumeArchitecture,4),IF(SRModel=INDEX(varSRModel,2),NOT((numDBCopiesSDC+numLagCopiesSDC)&lt;=calcMaxDBperVolume)),IF(SRModel=INDEX(varSRModel,1),NOT((numDBCopies+numLagCopies)&lt;=calcMaxDBperVolume)),FALSE),
                VLOOKUP(40,strTable,2,FALSE),
                   IF(JBODCapAchDisk2=FALSE,
                      VLOOKUP(15,strTable,2,FALSE),
                         IF(JBODIOAchDisk2=FALSE,
                            VLOOKUP(16,strTable,2,FALSE),
                               IF(AND(VolArchitecture=INDEX(varVolumeArchitecture,1),NOT(funcAzureJBODCheck(DBDiskRPMPDC))),
                                  VLOOKUP(17,strTable,2,FALSE),
                                     ROUNDUP(TotNumDBCopiesServer/RecDBperVolume,0)))))))</f>
        <v>0</v>
      </c>
      <c r="E143" s="37" t="str">
        <f>IF(LaggedCopySvrPrefStorageArch&lt;&gt;INDEX(varStorageArchitecture,1),
    VLOOKUP(17,strTable,2,FALSE),
       IF(JBODCapAchDisk3=FALSE,
          VLOOKUP(15,strTable,2,FALSE),
             IF(JBODIOAchDisk3=TRUE,
                TotNumDBCopiesServer,
                   VLOOKUP(16,strTable,2,FALSE))))</f>
        <v>RAID Required</v>
      </c>
      <c r="F143" s="37"/>
      <c r="I143" s="26"/>
    </row>
    <row r="144" spans="1:9" hidden="1" outlineLevel="1" x14ac:dyDescent="0.3">
      <c r="A144" s="26"/>
      <c r="B144" s="35" t="s">
        <v>817</v>
      </c>
      <c r="C144" s="37" t="b">
        <f>IF(RestoreVol="Yes",RestoreVolSize&lt;=ResDiskForCap1,TRUE)</f>
        <v>1</v>
      </c>
      <c r="D144" s="37" t="b">
        <f>IF(RestoreVol="Yes",RestoreVolSize&lt;=ResDiskForCap2,TRUE)</f>
        <v>1</v>
      </c>
      <c r="E144" s="37" t="b">
        <f>IF(RestoreVol="Yes",RestoreVolSize&lt;=ResDiskForCap3,TRUE)</f>
        <v>1</v>
      </c>
      <c r="F144" s="37"/>
      <c r="I144" s="26"/>
    </row>
    <row r="145" spans="1:9" hidden="1" outlineLevel="1" x14ac:dyDescent="0.3">
      <c r="A145" s="26"/>
      <c r="B145" s="37"/>
      <c r="C145" s="37"/>
      <c r="D145" s="37"/>
      <c r="E145" s="37"/>
      <c r="F145" s="37"/>
      <c r="I145" s="26"/>
    </row>
    <row r="146" spans="1:9" ht="15" hidden="1" outlineLevel="1" thickBot="1" x14ac:dyDescent="0.35">
      <c r="A146" s="26"/>
      <c r="B146" s="196" t="s">
        <v>329</v>
      </c>
      <c r="C146" s="195" t="s">
        <v>814</v>
      </c>
      <c r="D146" s="301" t="s">
        <v>527</v>
      </c>
      <c r="E146" s="301" t="s">
        <v>818</v>
      </c>
      <c r="F146" s="197" t="s">
        <v>254</v>
      </c>
      <c r="I146" s="26"/>
    </row>
    <row r="147" spans="1:9" ht="15" hidden="1" outlineLevel="1" thickTop="1" x14ac:dyDescent="0.3">
      <c r="A147" s="26"/>
      <c r="B147" s="302">
        <f>OptJBODDisksConfigPDC</f>
        <v>0</v>
      </c>
      <c r="C147" s="333">
        <f>IF(PreferredStorageArch=INDEX(varStorageArchitecture,1),IF(JBODResVolAchConfig1&lt;&gt;FALSE,IF(RestoreVol="Yes",1,0)),0)</f>
        <v>1</v>
      </c>
      <c r="D147" s="333" t="str">
        <f>IF(DBDiskSizePDC&lt;&gt;strEmpty,DBDiskSizePDC &amp; " / " &amp; DBDiskRPMPDC,strEmpty)</f>
        <v>12000 GB / 7.2K RPM SAS 3.5"</v>
      </c>
      <c r="E147" s="303" t="str">
        <f>IF(AND(RestoreVol&lt;&gt;"No",DBDiskSizePDC&lt;&gt;strEmpty,ResDiskSizePDC&lt;&gt;strEmpty),ResDiskSizePDC &amp; " / " &amp; ResDiskRPMPDC,strEmpty)</f>
        <v>12000 GB / 7.2K RPM SAS 3.5"</v>
      </c>
      <c r="F147" s="304" t="s">
        <v>247</v>
      </c>
      <c r="I147" s="26"/>
    </row>
    <row r="148" spans="1:9" hidden="1" outlineLevel="1" x14ac:dyDescent="0.3">
      <c r="A148" s="26"/>
      <c r="B148" s="305">
        <f>OptJBODDisksConfigSDC</f>
        <v>0</v>
      </c>
      <c r="C148" s="305">
        <f>IF(PreferredStorageArchSDC=INDEX(varStorageArchitecture,1),IF(JBODResVolAchConfig2=FALSE,0,IF(RestoreVol="Yes",1,0)),0)</f>
        <v>1</v>
      </c>
      <c r="D148" s="334" t="str">
        <f>IF(DBDiskSizeSDC&lt;&gt;strEmpty,DBDiskSizeSDC &amp; " / " &amp; DBDiskRPMSDC,strEmpty)</f>
        <v>12000 GB / 7.2K RPM SAS 3.5"</v>
      </c>
      <c r="E148" s="306" t="str">
        <f>IF(AND(RestoreVol&lt;&gt;"No",DBDiskSizeSDC&lt;&gt;strEmpty,ResDiskSizeSDC&lt;&gt;strEmpty),ResDiskSizeSDC &amp; " / " &amp; ResDiskRPMSDC,strEmpty)</f>
        <v>12000 GB / 7.2K RPM SAS 3.5"</v>
      </c>
      <c r="F148" s="307" t="s">
        <v>250</v>
      </c>
      <c r="I148" s="26"/>
    </row>
    <row r="149" spans="1:9" hidden="1" outlineLevel="1" x14ac:dyDescent="0.3">
      <c r="A149" s="26"/>
      <c r="B149" s="308" t="str">
        <f>OptJBODDisksConfig3</f>
        <v>RAID Required</v>
      </c>
      <c r="C149" s="299" t="str">
        <f>strEmpty</f>
        <v>--</v>
      </c>
      <c r="D149" s="335" t="str">
        <f>D148</f>
        <v>12000 GB / 7.2K RPM SAS 3.5"</v>
      </c>
      <c r="E149" s="309" t="str">
        <f>strEmpty</f>
        <v>--</v>
      </c>
      <c r="F149" s="310" t="s">
        <v>251</v>
      </c>
      <c r="I149" s="26"/>
    </row>
    <row r="150" spans="1:9" hidden="1" outlineLevel="1" x14ac:dyDescent="0.3">
      <c r="A150" s="26"/>
      <c r="B150" s="332"/>
      <c r="C150" s="336"/>
      <c r="D150" s="332"/>
      <c r="E150" s="332"/>
      <c r="F150" s="37"/>
      <c r="I150" s="26"/>
    </row>
    <row r="151" spans="1:9" hidden="1" outlineLevel="1" x14ac:dyDescent="0.3">
      <c r="A151" s="26"/>
      <c r="B151" s="128" t="s">
        <v>481</v>
      </c>
      <c r="C151" s="128" t="s">
        <v>247</v>
      </c>
      <c r="D151" s="128" t="s">
        <v>250</v>
      </c>
      <c r="E151" s="128" t="s">
        <v>251</v>
      </c>
      <c r="F151" s="37"/>
      <c r="I151" s="26"/>
    </row>
    <row r="152" spans="1:9" hidden="1" outlineLevel="1" x14ac:dyDescent="0.3">
      <c r="A152" s="26"/>
      <c r="B152" s="21" t="s">
        <v>385</v>
      </c>
      <c r="C152" s="37">
        <f>IF(PreferredStorageArch=INDEX(varStorageArchitecture,1),OptJBODDisksConfigPDC,VLOOKUP(17,strTable,2,FALSE))</f>
        <v>0</v>
      </c>
      <c r="D152" s="37">
        <f>IF(PreferredStorageArchSDC=INDEX(varStorageArchitecture,1),OptJBODDisksConfigSDC,VLOOKUP(17,strTable,2,FALSE))</f>
        <v>0</v>
      </c>
      <c r="E152" s="37" t="str">
        <f>IF(LaggedCopySvrPrefStorageArch=INDEX(varStorageArchitecture,1),OptJBODDisksConfig3,VLOOKUP(17,strTable,2,FALSE))</f>
        <v>RAID Required</v>
      </c>
      <c r="F152" s="37"/>
      <c r="I152" s="26"/>
    </row>
    <row r="153" spans="1:9" hidden="1" outlineLevel="1" x14ac:dyDescent="0.3">
      <c r="A153" s="26"/>
      <c r="B153" s="21" t="s">
        <v>816</v>
      </c>
      <c r="C153" s="37">
        <f>IF(PreferredStorageArch=INDEX(varStorageArchitecture,1),OptJBODRLDisksConfigPDC,strEmpty)</f>
        <v>1</v>
      </c>
      <c r="D153" s="37">
        <f>IF(PreferredStorageArchSDC=INDEX(varStorageArchitecture,1),OptJBODRLDisksConfigSDC,strEmpty)</f>
        <v>1</v>
      </c>
      <c r="E153" s="37" t="str">
        <f>strEmpty</f>
        <v>--</v>
      </c>
      <c r="F153" s="37"/>
      <c r="I153" s="26"/>
    </row>
    <row r="154" spans="1:9" collapsed="1" x14ac:dyDescent="0.3">
      <c r="A154" s="26"/>
      <c r="B154" s="13"/>
      <c r="C154" s="11"/>
      <c r="D154" s="4"/>
      <c r="E154" s="4"/>
      <c r="F154" s="11"/>
      <c r="G154" s="11"/>
      <c r="H154" s="11"/>
      <c r="I154" s="12"/>
    </row>
    <row r="155" spans="1:9" x14ac:dyDescent="0.3">
      <c r="A155" s="26"/>
      <c r="B155" s="1125" t="s">
        <v>479</v>
      </c>
      <c r="C155" s="1094"/>
      <c r="D155" s="1094"/>
      <c r="E155" s="1094"/>
      <c r="F155" s="1094"/>
      <c r="G155" s="1094"/>
      <c r="H155" s="1094"/>
      <c r="I155" s="1112"/>
    </row>
    <row r="156" spans="1:9" customFormat="1" ht="15" customHeight="1" x14ac:dyDescent="0.3">
      <c r="A156" s="176"/>
      <c r="I156" s="176"/>
    </row>
    <row r="157" spans="1:9" customFormat="1" ht="15" customHeight="1" thickBot="1" x14ac:dyDescent="0.35">
      <c r="A157" s="176"/>
      <c r="B157" s="194" t="s">
        <v>594</v>
      </c>
      <c r="C157" s="194" t="str">
        <f>IF(SRModel=INDEX(varSRModel,1),"Datacenter 1","Primary Datacenter") &amp; " Servers"</f>
        <v>Datacenter 1 Servers</v>
      </c>
      <c r="D157" s="194" t="str">
        <f>IF(SRModel=INDEX(varSRModel,1),"Datacenter 2","Secondary Datacenter") &amp; " Servers"</f>
        <v>Datacenter 2 Servers</v>
      </c>
      <c r="E157" s="192" t="s">
        <v>478</v>
      </c>
      <c r="I157" s="176"/>
    </row>
    <row r="158" spans="1:9" customFormat="1" ht="15" customHeight="1" thickTop="1" x14ac:dyDescent="0.3">
      <c r="A158" s="176"/>
      <c r="B158" s="2" t="s">
        <v>587</v>
      </c>
      <c r="C158" s="114" t="str">
        <f>IF(tblJBODStorageArch[Primary Datacenter Servers]="No","Yes","No")</f>
        <v>Yes</v>
      </c>
      <c r="D158" s="114" t="str">
        <f>IF(calcSiteResilienceEnabled,IF(tblJBODStorageArch[Secondary Datacenter Servers]="No","Yes","No"),strEmpty)</f>
        <v>Yes</v>
      </c>
      <c r="E158" s="114" t="str">
        <f>IF(RestoreVol="Yes",IF(tblJBODStorageArch[Lagged Copy Servers]="No","Yes","No"),strEmpty)</f>
        <v>Yes</v>
      </c>
      <c r="I158" s="176"/>
    </row>
    <row r="159" spans="1:9" x14ac:dyDescent="0.3">
      <c r="A159" s="26"/>
      <c r="B159" s="20"/>
      <c r="C159" s="20"/>
      <c r="D159" s="20"/>
      <c r="E159" s="20"/>
      <c r="F159" s="20"/>
      <c r="I159" s="26"/>
    </row>
    <row r="160" spans="1:9" ht="15" thickBot="1" x14ac:dyDescent="0.35">
      <c r="A160" s="26"/>
      <c r="B160" s="194" t="s">
        <v>703</v>
      </c>
      <c r="C160" s="194" t="str">
        <f>IF(OR(VolArchitecture=INDEX(varVolumeArchitecture,1),VolArchitecture=INDEX(varVolumeArchitecture,4)),"Database+Log","Database")</f>
        <v>Database+Log</v>
      </c>
      <c r="D160" s="194" t="s">
        <v>199</v>
      </c>
      <c r="E160" s="192" t="s">
        <v>786</v>
      </c>
      <c r="F160" s="20"/>
      <c r="I160" s="26"/>
    </row>
    <row r="161" spans="1:9" ht="15" thickTop="1" x14ac:dyDescent="0.3">
      <c r="A161" s="26"/>
      <c r="B161" s="311" t="s">
        <v>491</v>
      </c>
      <c r="C161" s="199" t="e">
        <f>VLOOKUP(ConfigPDCTotDisks,tblRecRAIDPDCDiskLookup,5,FALSE)</f>
        <v>#VALUE!</v>
      </c>
      <c r="D161" s="199" t="e">
        <f>VLOOKUP(ConfigPDCTotDisks,tblRecRAIDPDCDiskLookup,6,FALSE)</f>
        <v>#VALUE!</v>
      </c>
      <c r="E161" s="200" t="e">
        <f>IF(RestoreVol="Yes",VLOOKUP(ConfigPDCTotDisks,tblRecRAIDPDCDiskLookup,7,FALSE),strEmpty)</f>
        <v>#VALUE!</v>
      </c>
      <c r="F161" s="20"/>
      <c r="I161" s="26"/>
    </row>
    <row r="162" spans="1:9" x14ac:dyDescent="0.3">
      <c r="A162" s="26"/>
      <c r="B162" s="201" t="s">
        <v>333</v>
      </c>
      <c r="C162" s="202" t="e">
        <f>VLOOKUP(RecDBDisksPDC,tblRecDBDisks,2,FALSE)</f>
        <v>#N/A</v>
      </c>
      <c r="D162" s="202" t="e">
        <f>VLOOKUP(RecLogDisksPDC,tblRecLogDisks,2,FALSE)</f>
        <v>#N/A</v>
      </c>
      <c r="E162" s="203" t="e">
        <f>IF(RestoreVol="Yes",VLOOKUP(RecRLDisksPDC,tblRecRLDisks,2,FALSE),strEmpty)</f>
        <v>#N/A</v>
      </c>
      <c r="F162" s="20"/>
      <c r="I162" s="26"/>
    </row>
    <row r="163" spans="1:9" x14ac:dyDescent="0.3">
      <c r="A163" s="26"/>
      <c r="B163" s="204" t="s">
        <v>331</v>
      </c>
      <c r="C163" s="205" t="str">
        <f>IFERROR(VLOOKUP(ConfigPDCTotDisks,tblRecRAIDPDCDiskLookup,2,FALSE),strEmpty)</f>
        <v>--</v>
      </c>
      <c r="D163" s="205" t="str">
        <f>IFERROR(VLOOKUP(ConfigPDCTotDisks,tblRecRAIDPDCDiskLookup,3,FALSE),strEmpty)</f>
        <v>--</v>
      </c>
      <c r="E163" s="206" t="str">
        <f>IFERROR(VLOOKUP(ConfigPDCTotDisks,tblRecRAIDPDCDiskLookup,4,FALSE),strEmpty)</f>
        <v>--</v>
      </c>
      <c r="F163" s="20"/>
      <c r="I163" s="26"/>
    </row>
    <row r="164" spans="1:9" x14ac:dyDescent="0.3">
      <c r="A164" s="26"/>
      <c r="B164" s="408"/>
      <c r="C164" s="409"/>
      <c r="D164" s="409"/>
      <c r="E164" s="409"/>
      <c r="F164" s="20"/>
      <c r="I164" s="26"/>
    </row>
    <row r="165" spans="1:9" ht="15" thickBot="1" x14ac:dyDescent="0.35">
      <c r="A165" s="26"/>
      <c r="B165" s="194" t="s">
        <v>704</v>
      </c>
      <c r="C165" s="194" t="str">
        <f>IF(OR(VolArchitecture=INDEX(varVolumeArchitecture,1),VolArchitecture=INDEX(varVolumeArchitecture,4)),"Database+Log","Database")</f>
        <v>Database+Log</v>
      </c>
      <c r="D165" s="194" t="s">
        <v>199</v>
      </c>
      <c r="E165" s="192" t="s">
        <v>786</v>
      </c>
      <c r="F165" s="20"/>
      <c r="I165" s="26"/>
    </row>
    <row r="166" spans="1:9" ht="15" thickTop="1" x14ac:dyDescent="0.3">
      <c r="A166" s="26"/>
      <c r="B166" s="311" t="s">
        <v>491</v>
      </c>
      <c r="C166" s="199" t="e">
        <f>IF(calcSiteResilienceEnabled,VLOOKUP(ConfigSDCTotDisks,tblRecRAIDSDCDiskLookup,5,FALSE),strEmpty)</f>
        <v>#VALUE!</v>
      </c>
      <c r="D166" s="199" t="e">
        <f>IF(calcSiteResilienceEnabled,VLOOKUP(ConfigSDCTotDisks,tblRecRAIDSDCDiskLookup,6,FALSE),strEmpty)</f>
        <v>#VALUE!</v>
      </c>
      <c r="E166" s="200" t="e">
        <f>IF(calcSiteResilienceEnabled,IF(RestoreVol="Yes",VLOOKUP(ConfigSDCTotDisks,tblRecRAIDSDCDiskLookup,7,FALSE),strEmpty),strEmpty)</f>
        <v>#VALUE!</v>
      </c>
      <c r="F166" s="20"/>
      <c r="I166" s="26"/>
    </row>
    <row r="167" spans="1:9" x14ac:dyDescent="0.3">
      <c r="A167" s="26"/>
      <c r="B167" s="201" t="s">
        <v>333</v>
      </c>
      <c r="C167" s="202" t="e">
        <f>IF(calcSiteResilienceEnabled,VLOOKUP(RecDBDisksSDC,tblRecDBDisks,2,FALSE),strEmpty)</f>
        <v>#VALUE!</v>
      </c>
      <c r="D167" s="202" t="e">
        <f>IF(calcSiteResilienceEnabled,VLOOKUP(RecLogDisksSDC,tblRecLogDisks,2,FALSE),strEmpty)</f>
        <v>#VALUE!</v>
      </c>
      <c r="E167" s="203" t="e">
        <f>IF(calcSiteResilienceEnabled,IF(RestoreVol="Yes",VLOOKUP(RecRLDisksSDC,tblRecRLDisks,2,FALSE),strEmpty),strEmpty)</f>
        <v>#VALUE!</v>
      </c>
      <c r="F167" s="20"/>
      <c r="I167" s="26"/>
    </row>
    <row r="168" spans="1:9" x14ac:dyDescent="0.3">
      <c r="A168" s="26"/>
      <c r="B168" s="204" t="s">
        <v>331</v>
      </c>
      <c r="C168" s="205" t="e">
        <f>IF(calcSiteResilienceEnabled,VLOOKUP(ConfigSDCTotDisks,tblRecRAIDSDCDiskLookup,2,FALSE),0)</f>
        <v>#VALUE!</v>
      </c>
      <c r="D168" s="205" t="e">
        <f>IF(calcSiteResilienceEnabled,VLOOKUP(ConfigSDCTotDisks,tblRecRAIDSDCDiskLookup,3,FALSE),0)</f>
        <v>#VALUE!</v>
      </c>
      <c r="E168" s="206" t="e">
        <f>IF(calcSiteResilienceEnabled,VLOOKUP(ConfigSDCTotDisks,tblRecRAIDSDCDiskLookup,4,FALSE),0)</f>
        <v>#VALUE!</v>
      </c>
      <c r="F168" s="20"/>
      <c r="I168" s="26"/>
    </row>
    <row r="169" spans="1:9" x14ac:dyDescent="0.3">
      <c r="A169" s="26"/>
      <c r="C169" s="129"/>
      <c r="D169" s="198"/>
      <c r="E169" s="129"/>
      <c r="F169" s="129"/>
      <c r="I169" s="26"/>
    </row>
    <row r="170" spans="1:9" ht="15" thickBot="1" x14ac:dyDescent="0.35">
      <c r="A170" s="26"/>
      <c r="B170" s="1252" t="s">
        <v>498</v>
      </c>
      <c r="C170" s="1253"/>
      <c r="D170" s="1253"/>
      <c r="E170" s="1253"/>
      <c r="F170" s="129"/>
      <c r="I170" s="26"/>
    </row>
    <row r="171" spans="1:9" ht="15" thickTop="1" x14ac:dyDescent="0.3">
      <c r="A171" s="26"/>
      <c r="B171" s="1254" t="s">
        <v>499</v>
      </c>
      <c r="C171" s="1255"/>
      <c r="D171" s="1255"/>
      <c r="E171" s="1255"/>
      <c r="F171" s="129"/>
      <c r="I171" s="26"/>
    </row>
    <row r="172" spans="1:9" x14ac:dyDescent="0.3">
      <c r="A172" s="26"/>
      <c r="B172" s="20"/>
      <c r="C172" s="20"/>
      <c r="D172" s="20"/>
      <c r="E172" s="20"/>
      <c r="F172" s="20"/>
      <c r="I172" s="26"/>
    </row>
    <row r="173" spans="1:9" x14ac:dyDescent="0.3">
      <c r="A173" s="26"/>
      <c r="B173" s="1125" t="s">
        <v>480</v>
      </c>
      <c r="C173" s="1094"/>
      <c r="D173" s="1094"/>
      <c r="E173" s="1094"/>
      <c r="F173" s="1094"/>
      <c r="G173" s="1094"/>
      <c r="H173" s="1094"/>
      <c r="I173" s="1112"/>
    </row>
    <row r="174" spans="1:9" x14ac:dyDescent="0.3">
      <c r="A174" s="26"/>
      <c r="B174" s="296"/>
      <c r="C174" s="296"/>
      <c r="D174" s="296"/>
      <c r="E174" s="296"/>
      <c r="F174" s="296"/>
      <c r="I174" s="26"/>
    </row>
    <row r="175" spans="1:9" ht="15" thickBot="1" x14ac:dyDescent="0.35">
      <c r="A175" s="26"/>
      <c r="B175" s="194" t="s">
        <v>595</v>
      </c>
      <c r="C175" s="194" t="str">
        <f>IF(SRModel=INDEX(varSRModel,1),"Datacenter 1","Primary Datacenter") &amp; " Servers"</f>
        <v>Datacenter 1 Servers</v>
      </c>
      <c r="D175" s="194" t="str">
        <f>IF(SRModel=INDEX(varSRModel,1),"Datacenter 2","Secondary Datacenter") &amp; " Servers"</f>
        <v>Datacenter 2 Servers</v>
      </c>
      <c r="E175" s="192" t="s">
        <v>478</v>
      </c>
      <c r="F175" s="296"/>
      <c r="I175" s="26"/>
    </row>
    <row r="176" spans="1:9" ht="15" thickTop="1" x14ac:dyDescent="0.3">
      <c r="A176" s="26"/>
      <c r="B176" s="2" t="s">
        <v>586</v>
      </c>
      <c r="C176" s="114" t="str">
        <f>IF(AND(JBODCapAchDisk1,JBODIOAchDisk1,IFERROR(VALUE(OptJBODDisksConfigPDC)&gt;0,FALSE)),"Yes","No")</f>
        <v>No</v>
      </c>
      <c r="D176" s="114" t="str">
        <f>IF(AND(JBODCapAchDisk2,JBODIOAchDisk2,IFERROR(VALUE(OptJBODDisksConfigSDC)&gt;0,FALSE)),"Yes","No")</f>
        <v>No</v>
      </c>
      <c r="E176" s="114" t="str">
        <f>IF(AND(JBODCapAchDisk3,JBODIOAchDisk3,IFERROR(VALUE(OptJBODDisksConfig3)&gt;0,FALSE)),"Yes","No")</f>
        <v>No</v>
      </c>
      <c r="F176" s="296"/>
      <c r="I176" s="26"/>
    </row>
    <row r="177" spans="1:9" x14ac:dyDescent="0.35">
      <c r="A177" s="26"/>
      <c r="B177" s="38"/>
      <c r="C177" s="38"/>
      <c r="D177" s="38"/>
      <c r="E177" s="38"/>
      <c r="I177" s="26"/>
    </row>
    <row r="178" spans="1:9" x14ac:dyDescent="0.3">
      <c r="A178" s="26"/>
      <c r="B178" s="128" t="s">
        <v>705</v>
      </c>
      <c r="C178" s="128" t="s">
        <v>332</v>
      </c>
      <c r="D178" s="128" t="s">
        <v>786</v>
      </c>
      <c r="E178" s="128" t="s">
        <v>1254</v>
      </c>
      <c r="F178" s="20"/>
      <c r="I178" s="337"/>
    </row>
    <row r="179" spans="1:9" x14ac:dyDescent="0.3">
      <c r="A179" s="26"/>
      <c r="B179" s="21" t="s">
        <v>491</v>
      </c>
      <c r="C179" s="37" t="str">
        <f>VLOOKUP(OptJBODDisksConfigPDC,tblRecJBODDiskLookup,3,FALSE)</f>
        <v>12000 GB / 7.2K RPM SAS 3.5"</v>
      </c>
      <c r="D179" s="37" t="str">
        <f>VLOOKUP(OptJBODDisksConfigPDC,tblRecJBODDiskLookupPDC,4,FALSE)</f>
        <v>12000 GB / 7.2K RPM SAS 3.5"</v>
      </c>
      <c r="E179" s="129" t="str">
        <f>RecJBODDiskTypePDC</f>
        <v>12000 GB / 7.2K RPM SAS 3.5"</v>
      </c>
      <c r="I179" s="26"/>
    </row>
    <row r="180" spans="1:9" x14ac:dyDescent="0.3">
      <c r="A180" s="26"/>
      <c r="B180" s="21" t="s">
        <v>331</v>
      </c>
      <c r="C180" s="37">
        <f>VLOOKUP(OptJBODDisksConfigPDC,tblRecJBODDiskLookupPDC,1,FALSE)</f>
        <v>0</v>
      </c>
      <c r="D180" s="37">
        <f>VLOOKUP(OptJBODDisksConfigPDC,tblRecJBODDiskLookupPDC,2,FALSE)</f>
        <v>1</v>
      </c>
      <c r="E180" s="129">
        <f>IF(AND(JBODCapAchDisk1,JBODIOAchDisk1),AutoReseedVols,RecJBODDisksPDC)</f>
        <v>1</v>
      </c>
      <c r="F180" s="20"/>
      <c r="I180" s="26"/>
    </row>
    <row r="181" spans="1:9" x14ac:dyDescent="0.3">
      <c r="A181" s="26"/>
      <c r="C181" s="37"/>
      <c r="D181" s="37"/>
      <c r="E181" s="34"/>
      <c r="F181" s="20"/>
      <c r="I181" s="26"/>
    </row>
    <row r="182" spans="1:9" x14ac:dyDescent="0.3">
      <c r="A182" s="26"/>
      <c r="B182" s="128" t="s">
        <v>706</v>
      </c>
      <c r="C182" s="128" t="s">
        <v>332</v>
      </c>
      <c r="D182" s="128" t="s">
        <v>786</v>
      </c>
      <c r="E182" s="480" t="s">
        <v>1209</v>
      </c>
      <c r="F182" s="20"/>
      <c r="I182" s="26"/>
    </row>
    <row r="183" spans="1:9" x14ac:dyDescent="0.3">
      <c r="A183" s="26"/>
      <c r="B183" s="21" t="s">
        <v>491</v>
      </c>
      <c r="C183" s="37" t="str">
        <f>VLOOKUP(OptJBODDisksConfigSDC,tblRecJBODDiskLookup,3,FALSE)</f>
        <v>12000 GB / 7.2K RPM SAS 3.5"</v>
      </c>
      <c r="D183" s="37" t="str">
        <f>VLOOKUP(OptJBODDisksConfigSDC,tblRecJBODDiskLookupSDC,4,FALSE)</f>
        <v>12000 GB / 7.2K RPM SAS 3.5"</v>
      </c>
      <c r="E183" s="129" t="str">
        <f>RecJBODDiskTypeSDC</f>
        <v>12000 GB / 7.2K RPM SAS 3.5"</v>
      </c>
      <c r="F183" s="20"/>
      <c r="I183" s="26"/>
    </row>
    <row r="184" spans="1:9" x14ac:dyDescent="0.3">
      <c r="A184" s="26"/>
      <c r="B184" s="21" t="s">
        <v>331</v>
      </c>
      <c r="C184" s="37">
        <f>VLOOKUP(OptJBODDisksConfigSDC,tblRecJBODDiskLookupSDC,1,FALSE)</f>
        <v>0</v>
      </c>
      <c r="D184" s="37">
        <f>VLOOKUP(OptJBODDisksConfigSDC,tblRecJBODDiskLookupSDC,2,FALSE)</f>
        <v>1</v>
      </c>
      <c r="E184" s="129">
        <f>IF(AND(JBODCapAchDisk2,JBODIOAchDisk2),AutoReseedVols,RecJBODDisksSDC)</f>
        <v>1</v>
      </c>
      <c r="F184" s="20"/>
      <c r="I184" s="26"/>
    </row>
    <row r="185" spans="1:9" x14ac:dyDescent="0.3">
      <c r="A185" s="26"/>
      <c r="C185" s="129"/>
      <c r="D185" s="198"/>
      <c r="E185" s="129"/>
      <c r="F185" s="65"/>
      <c r="I185" s="26"/>
    </row>
    <row r="186" spans="1:9" x14ac:dyDescent="0.3">
      <c r="A186" s="26"/>
      <c r="B186" s="1125" t="s">
        <v>496</v>
      </c>
      <c r="C186" s="1094"/>
      <c r="D186" s="1094"/>
      <c r="E186" s="1094"/>
      <c r="F186" s="1094"/>
      <c r="G186" s="1094"/>
      <c r="H186" s="1094"/>
      <c r="I186" s="1112"/>
    </row>
    <row r="187" spans="1:9" customFormat="1" ht="15" customHeight="1" x14ac:dyDescent="0.3">
      <c r="A187" s="176"/>
      <c r="I187" s="176"/>
    </row>
    <row r="188" spans="1:9" customFormat="1" ht="15" customHeight="1" x14ac:dyDescent="0.3">
      <c r="A188" s="176"/>
      <c r="B188" s="139" t="s">
        <v>290</v>
      </c>
      <c r="C188" s="139" t="s">
        <v>244</v>
      </c>
      <c r="E188" s="1089" t="e">
        <f>IF(AND(StorageArchChoice="As Calculated",calcSiteResilienceEnabled,PreferredStorageArchPDC&lt;&gt;PreferredStorageArchSDC),VLOOKUP(20,strTable,2,FALSE),IF(AND(StorageArchChoice="As Calculated",calcServerRAIDDisks=0,calcServerJBODDisks&gt;0),VLOOKUP(21,strTable,2,FALSE),IF(AND(StorageArchChoice="As Calculated",calcServerRAIDDisks&gt;0,calcServerJBODDisks=0),VLOOKUP(22,strTable,2,FALSE),IF(AND(StorageArchChoice="Entirely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Architecture")),VLOOKUP(23,strTable,2,FALSE),IF(AND(StorageArchChoice="Entirely on JBOD",OR(tblJBODStorageArch[Primary Datacenter Servers]="No",tblJBODStorageArch[Secondary Datacenter Servers]="No",tblJBODStorageArch[Lagged Copy Servers]="No")),VLOOKUP(45,strTable,2,FALSE) &amp; IF(OR(tblJBODStorageArch[Secondary Datacenter Servers]="No",tblJBODStorageArch[Lagged Copy Servers]="No")," (" &amp; IF(AND(tblJBODStorageArch[Secondary Datacenter Servers]="No",tblJBODStorageArch[Lagged Copy Servers]="No"),VLOOKUP(46,strTable,2,FALSE) &amp; ", " &amp; VLOOKUP(47,strTable,2,FALSE),IF(tblJBODStorageArch[Secondary Datacenter Servers]="No",VLOOKUP(46,strTable,2,FALSE),IF(tblJBODStorageArch[Lagged Copy Servers]="No",VLOOKUP(47,strTable,2,FALSE),""))) &amp; ")") &amp; ".","")))))</f>
        <v>#NAME?</v>
      </c>
      <c r="F188" s="1089"/>
      <c r="G188" s="1089"/>
      <c r="I188" s="176"/>
    </row>
    <row r="189" spans="1:9" x14ac:dyDescent="0.3">
      <c r="A189" s="26"/>
      <c r="B189" s="35" t="s">
        <v>585</v>
      </c>
      <c r="C189" s="37" t="s">
        <v>593</v>
      </c>
      <c r="D189" s="296"/>
      <c r="E189" s="1089"/>
      <c r="F189" s="1089"/>
      <c r="G189" s="1089"/>
      <c r="I189" s="26"/>
    </row>
    <row r="190" spans="1:9" x14ac:dyDescent="0.3">
      <c r="A190" s="26"/>
      <c r="D190" s="296"/>
      <c r="E190" s="296"/>
      <c r="F190" s="296"/>
      <c r="I190" s="26"/>
    </row>
    <row r="191" spans="1:9" ht="15" thickBot="1" x14ac:dyDescent="0.35">
      <c r="A191" s="26"/>
      <c r="B191" s="194" t="s">
        <v>588</v>
      </c>
      <c r="C191" s="257" t="str">
        <f>"/ Primary Datacenter Server"</f>
        <v>/ Primary Datacenter Server</v>
      </c>
      <c r="D191" s="257" t="str">
        <f>"/ Secondary Datacenter Server"</f>
        <v>/ Secondary Datacenter Server</v>
      </c>
      <c r="E191" s="369" t="str">
        <f>_xlfn.CONCAT("/ Primary Datacenter",  IF(calcHAOption, " DAG",""))</f>
        <v>/ Primary Datacenter DAG</v>
      </c>
      <c r="F191" s="370" t="str">
        <f>IF(calcSiteResilienceEnabled,"/ Secondary Datacenter DAG","")</f>
        <v>/ Secondary Datacenter DAG</v>
      </c>
      <c r="I191" s="26"/>
    </row>
    <row r="192" spans="1:9" ht="15" thickTop="1" x14ac:dyDescent="0.3">
      <c r="A192" s="26"/>
      <c r="B192" s="21" t="s">
        <v>260</v>
      </c>
      <c r="C192" s="129" t="e">
        <f>IF(NOT(ValidationCheck),IF(AND(StorageArchChoice="As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Architecture"),0,IF(calcHAOption,0,RecDBDisksPDC+RecLogDisksPDC+RecRLDisksPDC)))),0)</f>
        <v>#VALUE!</v>
      </c>
      <c r="D192" s="34" t="e">
        <f>IF(NOT(ValidationCheck),IF(AND(StorageArchChoice="As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Architecture"),0,IF(calcHAOption,0,RecDBDisksSDC+RecLogDisksSDC+RecRLDisksSDC)))),0)</f>
        <v>#VALUE!</v>
      </c>
      <c r="E192" s="129" t="e">
        <f>IF(NOT(ValidationCheck),IF(AND(StorageArchChoice="As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Servers]="Yes"),calcNumLagMBXServersPDC,0)+IF(AND(calcHAOption,calcSiteResilienceEnabled,SRModel=INDEX(varSRModel,1),calcSRAASDDRServers="Yes",OR(PreferredStorageArchSDC="RAID",tblRAIDStorageArch[Secondary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#VALUE!</v>
      </c>
      <c r="F192" s="129" t="e">
        <f>IF(NOT(ValidationCheck),IF(calcSiteResilienceEnabled,IF(AND(StorageArchChoice="As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Servers]="Yes"),calcNumLagMBXServersSDC,0)+IF(AND(calcHAOption,calcSiteResilienceEnabled,SRModel=INDEX(varSRModel,1),OR(PreferredStorageArch="RAID",tblRAIDStorageArch[Primary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Server]*(calcNumPMBXServersDC2+calcNumLagMBXServersSDC)))),strEmpty),0)</f>
        <v>#VALUE!</v>
      </c>
      <c r="I192" s="26"/>
    </row>
    <row r="193" spans="1:9" x14ac:dyDescent="0.3">
      <c r="A193" s="26"/>
      <c r="B193" s="296"/>
      <c r="C193" s="296"/>
      <c r="D193" s="296"/>
      <c r="E193" s="296"/>
      <c r="F193" s="296"/>
      <c r="I193" s="26"/>
    </row>
    <row r="194" spans="1:9" ht="15" thickBot="1" x14ac:dyDescent="0.35">
      <c r="A194" s="26"/>
      <c r="B194" s="194" t="s">
        <v>589</v>
      </c>
      <c r="C194" s="257" t="str">
        <f>"/ Primary Datacenter Server"</f>
        <v>/ Primary Datacenter Server</v>
      </c>
      <c r="D194" s="257" t="str">
        <f>"/ Secondary Datacenter Server"</f>
        <v>/ Secondary Datacenter Server</v>
      </c>
      <c r="E194" s="369" t="str">
        <f>_xlfn.CONCAT("/ Primary Datacenter",  IF(calcHAOption, " DAG",""))</f>
        <v>/ Primary Datacenter DAG</v>
      </c>
      <c r="F194" s="370" t="str">
        <f>IF(calcSiteResilienceEnabled,"/ Secondary Datacenter DAG","")</f>
        <v>/ Secondary Datacenter DAG</v>
      </c>
      <c r="G194" s="373"/>
      <c r="I194" s="26"/>
    </row>
    <row r="195" spans="1:9" ht="15" thickTop="1" x14ac:dyDescent="0.3">
      <c r="A195" s="26"/>
      <c r="B195" s="21" t="s">
        <v>260</v>
      </c>
      <c r="C195" s="129">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0</v>
      </c>
      <c r="D195" s="21">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0</v>
      </c>
      <c r="E195" s="129">
        <f>IF(AND(OR(StorageArchChoice="As Calculated",
           StorageArchChoice="Entirely on JBOD"
          ),
        tblJBODStorageArch[Primary Datacenter Servers]="Yes"
       ),
       tblJBODStgConfig[/ PDC Server]*(calcNumAMBXServersDC1+calcNumPMBXServersDC1+calcNumLagMBXServersPDC),
       0
   )</f>
        <v>0</v>
      </c>
      <c r="F195" s="129">
        <f>IF(AND(OR(StorageArchChoice="As Calculated",
           StorageArchChoice="Entirely on JBOD"
          ),
        tblJBODStorageArch[Secondary Datacenter Servers]="Yes"
       ),
       tblJBODStgConfig[/ SDC Server]*(calcNumAMBXServersDC2+calcNumPMBXServersDC2+calcNumLagMBXServersSDC),
       0
   )</f>
        <v>0</v>
      </c>
      <c r="I195" s="26"/>
    </row>
    <row r="196" spans="1:9" x14ac:dyDescent="0.3">
      <c r="A196" s="26"/>
      <c r="B196" s="296"/>
      <c r="C196" s="296"/>
      <c r="D196" s="296"/>
      <c r="E196" s="296"/>
      <c r="F196" s="296"/>
      <c r="I196" s="26"/>
    </row>
    <row r="197" spans="1:9" x14ac:dyDescent="0.3">
      <c r="A197" s="26"/>
      <c r="B197" s="128" t="s">
        <v>495</v>
      </c>
      <c r="C197" s="312" t="s">
        <v>316</v>
      </c>
      <c r="D197" s="139" t="s">
        <v>317</v>
      </c>
      <c r="E197" s="129"/>
      <c r="I197" s="26"/>
    </row>
    <row r="198" spans="1:9" x14ac:dyDescent="0.3">
      <c r="A198" s="26"/>
      <c r="B198" s="21" t="s">
        <v>493</v>
      </c>
      <c r="C198" s="129" t="e">
        <f>IF(calcHAOption,IF(OR(RecJBODDiskTypePDC="Insufficient Disk Capacity",RecJBODDiskTypePDC="Insufficient Disk IO Capacity"),(RecDBDisksPDC+RecLogDisksPDC+RecRLDisksPDC)*(calcNumAMBXServersDC1+calcNumLagMBXServersPDC+IF(calcSiteResilienceEnabled,calcNumPMBXServersDC2+calcNumLagMBXServersSDC,0)),SUM(tblRAIDStgConfig[[#All],[ / Primary Datacenter DAG]:[/ Secondary Datacenter DAG]])),strEmpty)</f>
        <v>#VALUE!</v>
      </c>
      <c r="D198" s="198" t="e">
        <f>IF(calcHAOption,Table44[[#This Row],[/ DAG]]*calcNumDAGs,calcServerRAIDDisks*numMBXServers)</f>
        <v>#VALUE!</v>
      </c>
      <c r="E198" s="129"/>
      <c r="I198" s="26"/>
    </row>
    <row r="199" spans="1:9" x14ac:dyDescent="0.3">
      <c r="A199" s="26"/>
      <c r="B199" s="21" t="s">
        <v>494</v>
      </c>
      <c r="C199" s="129">
        <f>IF(calcHAOption,SUM(tblJBODStgConfig[[#All],[ / Primary Datacenter DAG]:[/ Secondary Datacenter DAG]]),strEmpty)</f>
        <v>0</v>
      </c>
      <c r="D199" s="198">
        <f>IF(calcHAOption,Table44[[#This Row],[/ DAG]]*calcNumDAGs,strEmpty)</f>
        <v>0</v>
      </c>
      <c r="E199" s="129"/>
      <c r="I199" s="26"/>
    </row>
    <row r="200" spans="1:9" x14ac:dyDescent="0.3">
      <c r="A200" s="26"/>
      <c r="B200" s="939" t="s">
        <v>2094</v>
      </c>
      <c r="C200" s="940">
        <f>IF(ISNUMBER('Role Requirements'!E281),'Role Requirements'!E281,0)</f>
        <v>0</v>
      </c>
      <c r="D200" s="37">
        <f>IF(ISNUMBER('Role Requirements'!F281),'Role Requirements'!F281,0)</f>
        <v>0</v>
      </c>
      <c r="E200" s="129"/>
      <c r="F200" s="65"/>
      <c r="I200" s="26"/>
    </row>
    <row r="201" spans="1:9" x14ac:dyDescent="0.3">
      <c r="A201" s="26"/>
      <c r="B201" s="938" t="s">
        <v>470</v>
      </c>
      <c r="C201" s="129" t="e">
        <f>SUBTOTAL(9,Table44[/ DAG])</f>
        <v>#VALUE!</v>
      </c>
      <c r="D201" s="37" t="e">
        <f>SUBTOTAL(9,Table44[/ Environment])</f>
        <v>#VALUE!</v>
      </c>
      <c r="E201" s="1018"/>
      <c r="F201" s="1019"/>
      <c r="G201" s="1018"/>
      <c r="H201" s="1018"/>
      <c r="I201" s="1017"/>
    </row>
    <row r="202" spans="1:9" ht="15" thickBot="1" x14ac:dyDescent="0.35">
      <c r="B202" s="1022"/>
      <c r="C202" s="209"/>
      <c r="D202" s="313"/>
      <c r="E202" s="443"/>
      <c r="F202" s="1020"/>
      <c r="G202" s="443"/>
      <c r="H202" s="443"/>
      <c r="I202" s="1021"/>
    </row>
    <row r="203" spans="1:9" x14ac:dyDescent="0.3">
      <c r="B203" s="298"/>
      <c r="C203" s="37"/>
      <c r="D203" s="37"/>
      <c r="E203"/>
      <c r="F203"/>
    </row>
    <row r="204" spans="1:9" x14ac:dyDescent="0.3">
      <c r="B204"/>
      <c r="C204"/>
      <c r="D204"/>
    </row>
    <row r="207" spans="1:9" x14ac:dyDescent="0.3">
      <c r="E207"/>
      <c r="F207"/>
    </row>
    <row r="208" spans="1:9" x14ac:dyDescent="0.3">
      <c r="B208"/>
      <c r="C208"/>
      <c r="D208"/>
    </row>
  </sheetData>
  <dataConsolidate/>
  <mergeCells count="20">
    <mergeCell ref="B11:E11"/>
    <mergeCell ref="B14:I14"/>
    <mergeCell ref="E27:F28"/>
    <mergeCell ref="B170:E170"/>
    <mergeCell ref="B171:E171"/>
    <mergeCell ref="B13:I13"/>
    <mergeCell ref="B1:I1"/>
    <mergeCell ref="B3:I4"/>
    <mergeCell ref="B6:G7"/>
    <mergeCell ref="B9:G9"/>
    <mergeCell ref="B10:E10"/>
    <mergeCell ref="B8:E8"/>
    <mergeCell ref="B2:F2"/>
    <mergeCell ref="E188:G189"/>
    <mergeCell ref="B30:I30"/>
    <mergeCell ref="B69:I69"/>
    <mergeCell ref="B138:I138"/>
    <mergeCell ref="B155:I155"/>
    <mergeCell ref="B173:I173"/>
    <mergeCell ref="B186:I186"/>
  </mergeCells>
  <phoneticPr fontId="42" type="noConversion"/>
  <conditionalFormatting sqref="F71:F79 C123">
    <cfRule type="cellIs" dxfId="191" priority="135" stopIfTrue="1" operator="greaterThan">
      <formula>$C$75</formula>
    </cfRule>
  </conditionalFormatting>
  <conditionalFormatting sqref="C94:E94 C96:E96 C98:E98 C100:E100">
    <cfRule type="cellIs" dxfId="190" priority="60" operator="greaterThanOrEqual">
      <formula>C95</formula>
    </cfRule>
  </conditionalFormatting>
  <conditionalFormatting sqref="C95:E95 C97:E97 C99:E99 C101:E101">
    <cfRule type="cellIs" dxfId="189" priority="59" operator="greaterThan">
      <formula>C94</formula>
    </cfRule>
  </conditionalFormatting>
  <conditionalFormatting sqref="B28:C28">
    <cfRule type="expression" dxfId="188" priority="37">
      <formula>IF(OverrideRAID="No",TRUE,FALSE)</formula>
    </cfRule>
  </conditionalFormatting>
  <conditionalFormatting sqref="E27:F28">
    <cfRule type="expression" dxfId="187"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79">
    <cfRule type="expression" dxfId="186" priority="9">
      <formula>IF(OR(RecJBODDiskTypePDC="Insufficient Disk Capacity",RecJBODDiskTypePDC="Insufficient Disk IO Capacity"),TRUE,FALSE)</formula>
    </cfRule>
  </conditionalFormatting>
  <conditionalFormatting sqref="D179">
    <cfRule type="expression" dxfId="185" priority="8">
      <formula>RecJBODRLDiskTypePDC="Insufficient Disk Capacity"</formula>
    </cfRule>
  </conditionalFormatting>
  <conditionalFormatting sqref="E188:G189">
    <cfRule type="expression" dxfId="184" priority="7">
      <formula>IF(AND(ValidationCheck=FALSE,StorageArchChoice="As Calculated",SiteResilienceEnable="Yes",PreferredStorageArchPDC&lt;&gt;PreferredStorageArchSDC),TRUE,IF(AND(ValidationCheck=FALSE,StorageArchChoice="As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JBOD",OR($C$176="No",$D$176="No",$E$176="No")),TRUE,FALSE)))))</formula>
    </cfRule>
  </conditionalFormatting>
  <conditionalFormatting sqref="F195">
    <cfRule type="expression" dxfId="183"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Architecture",OR($C$176="No",$D$176="No",AND($E$176="No",calcNumLagCopyInSDC&gt;0))),TRUE,FALSE)</formula>
    </cfRule>
  </conditionalFormatting>
  <conditionalFormatting sqref="E195">
    <cfRule type="expression" dxfId="182"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DAGs)")),OR($C$176="No",$D$176="No",AND($E$176="No",calcNumLagCopyInPDC&gt;0)),OR($C$176="No",AND($E$176="No",calcNumLagCopyInPDC&gt;0)))),TRUE,FALSE)</formula>
    </cfRule>
  </conditionalFormatting>
  <conditionalFormatting sqref="D183">
    <cfRule type="expression" dxfId="181" priority="3">
      <formula>RecJBODRLDiskTypePDC="Insufficient Disk Capacity"</formula>
    </cfRule>
  </conditionalFormatting>
  <conditionalFormatting sqref="C183">
    <cfRule type="expression" dxfId="180" priority="4">
      <formula>IF(OR(RecJBODDiskTypePDC="Insufficient Disk Capacity",RecJBODDiskTypePDC="Insufficient Disk IO Capacity"),TRUE,FALSE)</formula>
    </cfRule>
  </conditionalFormatting>
  <conditionalFormatting sqref="C180">
    <cfRule type="expression" dxfId="179" priority="2">
      <formula>IF(RecJBODDisksPDC="Insufficient Disk Capacity",TRUE,FALSE)</formula>
    </cfRule>
  </conditionalFormatting>
  <conditionalFormatting sqref="C184">
    <cfRule type="expression" dxfId="178" priority="1">
      <formula>IF(RecJBODDisksSDC="Insufficient Disk Capacity",TRUE,FALSE)</formula>
    </cfRule>
  </conditionalFormatting>
  <dataValidations disablePrompts="1" count="7">
    <dataValidation type="list" allowBlank="1" showInputMessage="1" showErrorMessage="1" sqref="C189" xr:uid="{00000000-0002-0000-0A00-000000000000}">
      <formula1>varCalculationOverride</formula1>
    </dataValidation>
    <dataValidation type="list" allowBlank="1" showInputMessage="1" showErrorMessage="1" sqref="C27" xr:uid="{00000000-0002-0000-0A00-000001000000}">
      <formula1>varYNQuestion</formula1>
    </dataValidation>
    <dataValidation type="list" allowBlank="1" showInputMessage="1" showErrorMessage="1" sqref="F20 C28" xr:uid="{00000000-0002-0000-0A00-000002000000}">
      <formula1>varRAIDOptions</formula1>
    </dataValidation>
    <dataValidation type="list" allowBlank="1" showInputMessage="1" showErrorMessage="1" sqref="C18 F18" xr:uid="{00000000-0002-0000-0A00-000003000000}">
      <formula1>varRAID5Types</formula1>
    </dataValidation>
    <dataValidation type="list" allowBlank="1" showInputMessage="1" showErrorMessage="1" sqref="C19 F19" xr:uid="{00000000-0002-0000-0A00-000004000000}">
      <formula1>varRAID6Types</formula1>
    </dataValidation>
    <dataValidation type="list" allowBlank="1" showInputMessage="1" showErrorMessage="1" sqref="C17 F17" xr:uid="{00000000-0002-0000-0A00-000005000000}">
      <formula1>varRAID10Types</formula1>
    </dataValidation>
    <dataValidation type="decimal" allowBlank="1" showInputMessage="1" showErrorMessage="1" errorTitle="Rebuild Overhead" error="You must enter a value between 0 and 99%." sqref="C22:C25" xr:uid="{00000000-0002-0000-0A00-000006000000}">
      <formula1>0</formula1>
      <formula2>0.99</formula2>
    </dataValidation>
  </dataValidations>
  <pageMargins left="0.7" right="0.7" top="0.75" bottom="0.75" header="0.3" footer="0.3"/>
  <pageSetup scale="39" orientation="portrait" r:id="rId1"/>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E196"/>
  <sheetViews>
    <sheetView workbookViewId="0"/>
  </sheetViews>
  <sheetFormatPr defaultColWidth="9" defaultRowHeight="13" x14ac:dyDescent="0.3"/>
  <cols>
    <col min="1" max="1" width="20.3984375" customWidth="1"/>
    <col min="2" max="2" width="50.3984375" bestFit="1" customWidth="1"/>
    <col min="3" max="3" width="66" style="482" bestFit="1" customWidth="1"/>
    <col min="4" max="4" width="24" customWidth="1"/>
    <col min="5" max="5" width="21" customWidth="1"/>
  </cols>
  <sheetData>
    <row r="1" spans="1:5" x14ac:dyDescent="0.3">
      <c r="D1" s="1259" t="s">
        <v>247</v>
      </c>
      <c r="E1" s="1259"/>
    </row>
    <row r="2" spans="1:5" x14ac:dyDescent="0.3">
      <c r="C2" s="482" t="s">
        <v>1249</v>
      </c>
      <c r="D2" s="481" t="s">
        <v>1250</v>
      </c>
      <c r="E2" s="481"/>
    </row>
    <row r="3" spans="1:5" x14ac:dyDescent="0.3">
      <c r="C3" s="482" t="s">
        <v>1251</v>
      </c>
      <c r="D3" s="481" t="s">
        <v>1252</v>
      </c>
      <c r="E3" s="481"/>
    </row>
    <row r="4" spans="1:5" x14ac:dyDescent="0.3">
      <c r="A4" s="437" t="s">
        <v>1246</v>
      </c>
      <c r="B4" s="437" t="s">
        <v>1247</v>
      </c>
      <c r="C4" s="482" t="s">
        <v>1248</v>
      </c>
    </row>
    <row r="5" spans="1:5" x14ac:dyDescent="0.3">
      <c r="A5" t="s">
        <v>1245</v>
      </c>
      <c r="B5" t="s">
        <v>500</v>
      </c>
      <c r="C5" s="482" t="s">
        <v>557</v>
      </c>
    </row>
    <row r="6" spans="1:5" x14ac:dyDescent="0.3">
      <c r="C6" s="482" t="s">
        <v>749</v>
      </c>
    </row>
    <row r="7" spans="1:5" x14ac:dyDescent="0.3">
      <c r="C7" s="482" t="s">
        <v>724</v>
      </c>
    </row>
    <row r="8" spans="1:5" x14ac:dyDescent="0.3">
      <c r="C8" s="482" t="s">
        <v>303</v>
      </c>
    </row>
    <row r="9" spans="1:5" x14ac:dyDescent="0.3">
      <c r="C9" s="482" t="s">
        <v>1222</v>
      </c>
    </row>
    <row r="10" spans="1:5" x14ac:dyDescent="0.3">
      <c r="C10" s="482" t="s">
        <v>1223</v>
      </c>
    </row>
    <row r="11" spans="1:5" x14ac:dyDescent="0.3">
      <c r="C11" s="482" t="s">
        <v>426</v>
      </c>
    </row>
    <row r="12" spans="1:5" x14ac:dyDescent="0.3">
      <c r="C12" s="482" t="s">
        <v>591</v>
      </c>
    </row>
    <row r="13" spans="1:5" x14ac:dyDescent="0.3">
      <c r="C13" s="482" t="s">
        <v>592</v>
      </c>
    </row>
    <row r="14" spans="1:5" x14ac:dyDescent="0.3">
      <c r="C14" s="482" t="s">
        <v>552</v>
      </c>
    </row>
    <row r="15" spans="1:5" x14ac:dyDescent="0.3">
      <c r="C15" s="482" t="s">
        <v>553</v>
      </c>
    </row>
    <row r="16" spans="1:5" x14ac:dyDescent="0.3">
      <c r="C16" s="482" t="s">
        <v>5</v>
      </c>
    </row>
    <row r="17" spans="3:3" x14ac:dyDescent="0.3">
      <c r="C17" s="482" t="s">
        <v>44</v>
      </c>
    </row>
    <row r="18" spans="3:3" x14ac:dyDescent="0.3">
      <c r="C18" s="482" t="s">
        <v>32</v>
      </c>
    </row>
    <row r="19" spans="3:3" x14ac:dyDescent="0.3">
      <c r="C19" s="482" t="s">
        <v>787</v>
      </c>
    </row>
    <row r="20" spans="3:3" x14ac:dyDescent="0.3">
      <c r="C20" s="482" t="s">
        <v>788</v>
      </c>
    </row>
    <row r="21" spans="3:3" x14ac:dyDescent="0.3">
      <c r="C21" s="482" t="s">
        <v>439</v>
      </c>
    </row>
    <row r="22" spans="3:3" x14ac:dyDescent="0.3">
      <c r="C22" s="482" t="s">
        <v>526</v>
      </c>
    </row>
    <row r="23" spans="3:3" x14ac:dyDescent="0.3">
      <c r="C23" s="482" t="s">
        <v>274</v>
      </c>
    </row>
    <row r="24" spans="3:3" x14ac:dyDescent="0.3">
      <c r="C24" s="482" t="s">
        <v>43</v>
      </c>
    </row>
    <row r="25" spans="3:3" x14ac:dyDescent="0.3">
      <c r="C25" s="482" t="s">
        <v>257</v>
      </c>
    </row>
    <row r="26" spans="3:3" x14ac:dyDescent="0.3">
      <c r="C26" s="482" t="s">
        <v>671</v>
      </c>
    </row>
    <row r="27" spans="3:3" x14ac:dyDescent="0.3">
      <c r="C27" s="482" t="s">
        <v>497</v>
      </c>
    </row>
    <row r="28" spans="3:3" x14ac:dyDescent="0.3">
      <c r="C28" s="482" t="s">
        <v>404</v>
      </c>
    </row>
    <row r="29" spans="3:3" x14ac:dyDescent="0.3">
      <c r="C29" s="482" t="s">
        <v>611</v>
      </c>
    </row>
    <row r="30" spans="3:3" x14ac:dyDescent="0.3">
      <c r="C30" s="482" t="s">
        <v>669</v>
      </c>
    </row>
    <row r="31" spans="3:3" x14ac:dyDescent="0.3">
      <c r="C31" s="482" t="s">
        <v>515</v>
      </c>
    </row>
    <row r="32" spans="3:3" x14ac:dyDescent="0.3">
      <c r="C32" s="482" t="s">
        <v>386</v>
      </c>
    </row>
    <row r="33" spans="2:3" x14ac:dyDescent="0.3">
      <c r="C33" s="482" t="s">
        <v>421</v>
      </c>
    </row>
    <row r="34" spans="2:3" x14ac:dyDescent="0.3">
      <c r="C34" s="482" t="s">
        <v>422</v>
      </c>
    </row>
    <row r="35" spans="2:3" x14ac:dyDescent="0.3">
      <c r="C35" s="482" t="s">
        <v>28</v>
      </c>
    </row>
    <row r="36" spans="2:3" x14ac:dyDescent="0.3">
      <c r="C36" s="482" t="s">
        <v>292</v>
      </c>
    </row>
    <row r="37" spans="2:3" x14ac:dyDescent="0.3">
      <c r="C37" s="482" t="s">
        <v>98</v>
      </c>
    </row>
    <row r="38" spans="2:3" x14ac:dyDescent="0.3">
      <c r="C38" s="482" t="s">
        <v>1224</v>
      </c>
    </row>
    <row r="39" spans="2:3" x14ac:dyDescent="0.3">
      <c r="C39" s="482" t="s">
        <v>1225</v>
      </c>
    </row>
    <row r="40" spans="2:3" x14ac:dyDescent="0.3">
      <c r="C40" s="482" t="s">
        <v>707</v>
      </c>
    </row>
    <row r="41" spans="2:3" x14ac:dyDescent="0.3">
      <c r="C41" s="482" t="s">
        <v>1174</v>
      </c>
    </row>
    <row r="42" spans="2:3" x14ac:dyDescent="0.3">
      <c r="C42" s="482" t="s">
        <v>1173</v>
      </c>
    </row>
    <row r="43" spans="2:3" x14ac:dyDescent="0.3">
      <c r="C43" s="482" t="s">
        <v>775</v>
      </c>
    </row>
    <row r="44" spans="2:3" x14ac:dyDescent="0.3">
      <c r="C44" s="482" t="s">
        <v>776</v>
      </c>
    </row>
    <row r="45" spans="2:3" x14ac:dyDescent="0.3">
      <c r="B45" t="s">
        <v>516</v>
      </c>
      <c r="C45" s="482" t="s">
        <v>445</v>
      </c>
    </row>
    <row r="46" spans="2:3" x14ac:dyDescent="0.3">
      <c r="C46" s="482" t="s">
        <v>565</v>
      </c>
    </row>
    <row r="47" spans="2:3" x14ac:dyDescent="0.3">
      <c r="C47" s="482" t="s">
        <v>36</v>
      </c>
    </row>
    <row r="48" spans="2:3" x14ac:dyDescent="0.3">
      <c r="C48" s="482" t="s">
        <v>353</v>
      </c>
    </row>
    <row r="49" spans="3:3" x14ac:dyDescent="0.3">
      <c r="C49" s="482" t="s">
        <v>379</v>
      </c>
    </row>
    <row r="50" spans="3:3" x14ac:dyDescent="0.3">
      <c r="C50" s="482" t="s">
        <v>14</v>
      </c>
    </row>
    <row r="51" spans="3:3" x14ac:dyDescent="0.3">
      <c r="C51" s="482" t="s">
        <v>359</v>
      </c>
    </row>
    <row r="52" spans="3:3" x14ac:dyDescent="0.3">
      <c r="C52" s="482" t="s">
        <v>438</v>
      </c>
    </row>
    <row r="53" spans="3:3" x14ac:dyDescent="0.3">
      <c r="C53" s="482" t="s">
        <v>1162</v>
      </c>
    </row>
    <row r="54" spans="3:3" x14ac:dyDescent="0.3">
      <c r="C54" s="482" t="s">
        <v>261</v>
      </c>
    </row>
    <row r="55" spans="3:3" x14ac:dyDescent="0.3">
      <c r="C55" s="482" t="s">
        <v>612</v>
      </c>
    </row>
    <row r="56" spans="3:3" x14ac:dyDescent="0.3">
      <c r="C56" s="482" t="s">
        <v>354</v>
      </c>
    </row>
    <row r="57" spans="3:3" x14ac:dyDescent="0.3">
      <c r="C57" s="482" t="s">
        <v>70</v>
      </c>
    </row>
    <row r="58" spans="3:3" x14ac:dyDescent="0.3">
      <c r="C58" s="482" t="s">
        <v>104</v>
      </c>
    </row>
    <row r="59" spans="3:3" x14ac:dyDescent="0.3">
      <c r="C59" s="482" t="s">
        <v>134</v>
      </c>
    </row>
    <row r="60" spans="3:3" x14ac:dyDescent="0.3">
      <c r="C60" s="456" t="s">
        <v>650</v>
      </c>
    </row>
    <row r="61" spans="3:3" x14ac:dyDescent="0.3">
      <c r="C61" s="482" t="s">
        <v>445</v>
      </c>
    </row>
    <row r="62" spans="3:3" x14ac:dyDescent="0.3">
      <c r="C62" s="482" t="s">
        <v>565</v>
      </c>
    </row>
    <row r="63" spans="3:3" x14ac:dyDescent="0.3">
      <c r="C63" s="482" t="s">
        <v>36</v>
      </c>
    </row>
    <row r="64" spans="3:3" x14ac:dyDescent="0.3">
      <c r="C64" s="482" t="s">
        <v>353</v>
      </c>
    </row>
    <row r="65" spans="3:3" x14ac:dyDescent="0.3">
      <c r="C65" s="482" t="s">
        <v>379</v>
      </c>
    </row>
    <row r="66" spans="3:3" x14ac:dyDescent="0.3">
      <c r="C66" s="482" t="s">
        <v>14</v>
      </c>
    </row>
    <row r="67" spans="3:3" x14ac:dyDescent="0.3">
      <c r="C67" s="482" t="s">
        <v>359</v>
      </c>
    </row>
    <row r="68" spans="3:3" x14ac:dyDescent="0.3">
      <c r="C68" s="482" t="s">
        <v>438</v>
      </c>
    </row>
    <row r="69" spans="3:3" x14ac:dyDescent="0.3">
      <c r="C69" s="482" t="s">
        <v>1162</v>
      </c>
    </row>
    <row r="70" spans="3:3" x14ac:dyDescent="0.3">
      <c r="C70" s="482" t="s">
        <v>261</v>
      </c>
    </row>
    <row r="71" spans="3:3" x14ac:dyDescent="0.3">
      <c r="C71" s="482" t="s">
        <v>612</v>
      </c>
    </row>
    <row r="72" spans="3:3" x14ac:dyDescent="0.3">
      <c r="C72" s="482" t="s">
        <v>354</v>
      </c>
    </row>
    <row r="73" spans="3:3" x14ac:dyDescent="0.3">
      <c r="C73" s="482" t="s">
        <v>70</v>
      </c>
    </row>
    <row r="74" spans="3:3" x14ac:dyDescent="0.3">
      <c r="C74" s="456" t="s">
        <v>245</v>
      </c>
    </row>
    <row r="75" spans="3:3" x14ac:dyDescent="0.3">
      <c r="C75" s="456" t="s">
        <v>246</v>
      </c>
    </row>
    <row r="76" spans="3:3" x14ac:dyDescent="0.3">
      <c r="C76" s="482" t="s">
        <v>651</v>
      </c>
    </row>
    <row r="77" spans="3:3" x14ac:dyDescent="0.3">
      <c r="C77" s="482" t="s">
        <v>445</v>
      </c>
    </row>
    <row r="78" spans="3:3" x14ac:dyDescent="0.3">
      <c r="C78" s="482" t="s">
        <v>565</v>
      </c>
    </row>
    <row r="79" spans="3:3" x14ac:dyDescent="0.3">
      <c r="C79" s="482" t="s">
        <v>36</v>
      </c>
    </row>
    <row r="80" spans="3:3" x14ac:dyDescent="0.3">
      <c r="C80" s="482" t="s">
        <v>353</v>
      </c>
    </row>
    <row r="81" spans="3:3" x14ac:dyDescent="0.3">
      <c r="C81" s="482" t="s">
        <v>379</v>
      </c>
    </row>
    <row r="82" spans="3:3" x14ac:dyDescent="0.3">
      <c r="C82" s="482" t="s">
        <v>14</v>
      </c>
    </row>
    <row r="83" spans="3:3" x14ac:dyDescent="0.3">
      <c r="C83" s="482" t="s">
        <v>359</v>
      </c>
    </row>
    <row r="84" spans="3:3" x14ac:dyDescent="0.3">
      <c r="C84" s="482" t="s">
        <v>438</v>
      </c>
    </row>
    <row r="85" spans="3:3" x14ac:dyDescent="0.3">
      <c r="C85" s="482" t="s">
        <v>1162</v>
      </c>
    </row>
    <row r="86" spans="3:3" x14ac:dyDescent="0.3">
      <c r="C86" s="482" t="s">
        <v>261</v>
      </c>
    </row>
    <row r="87" spans="3:3" x14ac:dyDescent="0.3">
      <c r="C87" s="482" t="s">
        <v>612</v>
      </c>
    </row>
    <row r="88" spans="3:3" x14ac:dyDescent="0.3">
      <c r="C88" s="482" t="s">
        <v>354</v>
      </c>
    </row>
    <row r="89" spans="3:3" x14ac:dyDescent="0.3">
      <c r="C89" s="482" t="s">
        <v>70</v>
      </c>
    </row>
    <row r="90" spans="3:3" x14ac:dyDescent="0.3">
      <c r="C90" s="482" t="s">
        <v>107</v>
      </c>
    </row>
    <row r="91" spans="3:3" x14ac:dyDescent="0.3">
      <c r="C91" s="482" t="s">
        <v>135</v>
      </c>
    </row>
    <row r="92" spans="3:3" x14ac:dyDescent="0.3">
      <c r="C92" s="482" t="s">
        <v>652</v>
      </c>
    </row>
    <row r="93" spans="3:3" x14ac:dyDescent="0.3">
      <c r="C93" s="482" t="s">
        <v>445</v>
      </c>
    </row>
    <row r="94" spans="3:3" x14ac:dyDescent="0.3">
      <c r="C94" s="482" t="s">
        <v>565</v>
      </c>
    </row>
    <row r="95" spans="3:3" x14ac:dyDescent="0.3">
      <c r="C95" s="482" t="s">
        <v>36</v>
      </c>
    </row>
    <row r="96" spans="3:3" x14ac:dyDescent="0.3">
      <c r="C96" s="482" t="s">
        <v>353</v>
      </c>
    </row>
    <row r="97" spans="2:3" x14ac:dyDescent="0.3">
      <c r="C97" s="482" t="s">
        <v>379</v>
      </c>
    </row>
    <row r="98" spans="2:3" x14ac:dyDescent="0.3">
      <c r="C98" s="482" t="s">
        <v>14</v>
      </c>
    </row>
    <row r="99" spans="2:3" x14ac:dyDescent="0.3">
      <c r="C99" s="482" t="s">
        <v>359</v>
      </c>
    </row>
    <row r="100" spans="2:3" x14ac:dyDescent="0.3">
      <c r="C100" s="482" t="s">
        <v>438</v>
      </c>
    </row>
    <row r="101" spans="2:3" x14ac:dyDescent="0.3">
      <c r="C101" s="482" t="s">
        <v>1162</v>
      </c>
    </row>
    <row r="102" spans="2:3" x14ac:dyDescent="0.3">
      <c r="C102" s="482" t="s">
        <v>261</v>
      </c>
    </row>
    <row r="103" spans="2:3" x14ac:dyDescent="0.3">
      <c r="C103" s="482" t="s">
        <v>612</v>
      </c>
    </row>
    <row r="104" spans="2:3" x14ac:dyDescent="0.3">
      <c r="C104" s="482" t="s">
        <v>354</v>
      </c>
    </row>
    <row r="105" spans="2:3" x14ac:dyDescent="0.3">
      <c r="C105" s="482" t="s">
        <v>70</v>
      </c>
    </row>
    <row r="106" spans="2:3" x14ac:dyDescent="0.3">
      <c r="C106" s="456" t="s">
        <v>1226</v>
      </c>
    </row>
    <row r="107" spans="2:3" x14ac:dyDescent="0.3">
      <c r="C107" s="456" t="s">
        <v>1227</v>
      </c>
    </row>
    <row r="108" spans="2:3" x14ac:dyDescent="0.3">
      <c r="B108" t="s">
        <v>501</v>
      </c>
      <c r="C108" s="482" t="s">
        <v>23</v>
      </c>
    </row>
    <row r="109" spans="2:3" x14ac:dyDescent="0.3">
      <c r="C109" s="482" t="s">
        <v>468</v>
      </c>
    </row>
    <row r="110" spans="2:3" x14ac:dyDescent="0.3">
      <c r="C110" s="482" t="s">
        <v>299</v>
      </c>
    </row>
    <row r="111" spans="2:3" x14ac:dyDescent="0.3">
      <c r="C111" s="482" t="s">
        <v>204</v>
      </c>
    </row>
    <row r="112" spans="2:3" x14ac:dyDescent="0.3">
      <c r="B112" t="s">
        <v>507</v>
      </c>
      <c r="C112" s="482" t="s">
        <v>1198</v>
      </c>
    </row>
    <row r="113" spans="2:3" x14ac:dyDescent="0.3">
      <c r="C113" s="482" t="s">
        <v>1197</v>
      </c>
    </row>
    <row r="114" spans="2:3" x14ac:dyDescent="0.3">
      <c r="C114" s="482" t="s">
        <v>1220</v>
      </c>
    </row>
    <row r="115" spans="2:3" x14ac:dyDescent="0.3">
      <c r="C115" s="482" t="s">
        <v>1207</v>
      </c>
    </row>
    <row r="116" spans="2:3" x14ac:dyDescent="0.3">
      <c r="C116" s="482" t="s">
        <v>200</v>
      </c>
    </row>
    <row r="117" spans="2:3" x14ac:dyDescent="0.3">
      <c r="C117" s="482" t="s">
        <v>199</v>
      </c>
    </row>
    <row r="118" spans="2:3" x14ac:dyDescent="0.3">
      <c r="C118" s="482" t="s">
        <v>786</v>
      </c>
    </row>
    <row r="119" spans="2:3" x14ac:dyDescent="0.3">
      <c r="C119" s="482" t="s">
        <v>200</v>
      </c>
    </row>
    <row r="120" spans="2:3" x14ac:dyDescent="0.3">
      <c r="C120" s="482" t="s">
        <v>199</v>
      </c>
    </row>
    <row r="121" spans="2:3" x14ac:dyDescent="0.3">
      <c r="C121" s="482" t="s">
        <v>786</v>
      </c>
    </row>
    <row r="122" spans="2:3" x14ac:dyDescent="0.3">
      <c r="B122" t="s">
        <v>547</v>
      </c>
      <c r="C122" s="482" t="s">
        <v>1228</v>
      </c>
    </row>
    <row r="123" spans="2:3" x14ac:dyDescent="0.3">
      <c r="C123" s="482" t="s">
        <v>478</v>
      </c>
    </row>
    <row r="124" spans="2:3" x14ac:dyDescent="0.3">
      <c r="C124" s="482" t="s">
        <v>728</v>
      </c>
    </row>
    <row r="125" spans="2:3" x14ac:dyDescent="0.3">
      <c r="B125" t="s">
        <v>502</v>
      </c>
      <c r="C125" s="482">
        <v>1</v>
      </c>
    </row>
    <row r="126" spans="2:3" x14ac:dyDescent="0.3">
      <c r="C126" s="482">
        <v>2</v>
      </c>
    </row>
    <row r="127" spans="2:3" x14ac:dyDescent="0.3">
      <c r="C127" s="482">
        <v>3</v>
      </c>
    </row>
    <row r="128" spans="2:3" x14ac:dyDescent="0.3">
      <c r="C128" s="482">
        <v>4</v>
      </c>
    </row>
    <row r="129" spans="3:3" x14ac:dyDescent="0.3">
      <c r="C129" s="482">
        <v>5</v>
      </c>
    </row>
    <row r="130" spans="3:3" x14ac:dyDescent="0.3">
      <c r="C130" s="482">
        <v>6</v>
      </c>
    </row>
    <row r="131" spans="3:3" x14ac:dyDescent="0.3">
      <c r="C131" s="482">
        <v>7</v>
      </c>
    </row>
    <row r="132" spans="3:3" x14ac:dyDescent="0.3">
      <c r="C132" s="482">
        <v>8</v>
      </c>
    </row>
    <row r="133" spans="3:3" x14ac:dyDescent="0.3">
      <c r="C133" s="482">
        <v>9</v>
      </c>
    </row>
    <row r="134" spans="3:3" x14ac:dyDescent="0.3">
      <c r="C134" s="482">
        <v>10</v>
      </c>
    </row>
    <row r="135" spans="3:3" x14ac:dyDescent="0.3">
      <c r="C135" s="482">
        <v>11</v>
      </c>
    </row>
    <row r="136" spans="3:3" x14ac:dyDescent="0.3">
      <c r="C136" s="482">
        <v>12</v>
      </c>
    </row>
    <row r="137" spans="3:3" x14ac:dyDescent="0.3">
      <c r="C137" s="482">
        <v>13</v>
      </c>
    </row>
    <row r="138" spans="3:3" x14ac:dyDescent="0.3">
      <c r="C138" s="482">
        <v>14</v>
      </c>
    </row>
    <row r="139" spans="3:3" x14ac:dyDescent="0.3">
      <c r="C139" s="482">
        <v>15</v>
      </c>
    </row>
    <row r="140" spans="3:3" x14ac:dyDescent="0.3">
      <c r="C140" s="482">
        <v>16</v>
      </c>
    </row>
    <row r="141" spans="3:3" x14ac:dyDescent="0.3">
      <c r="C141" s="482">
        <v>17</v>
      </c>
    </row>
    <row r="142" spans="3:3" x14ac:dyDescent="0.3">
      <c r="C142" s="482">
        <v>18</v>
      </c>
    </row>
    <row r="143" spans="3:3" x14ac:dyDescent="0.3">
      <c r="C143" s="482">
        <v>19</v>
      </c>
    </row>
    <row r="144" spans="3:3" x14ac:dyDescent="0.3">
      <c r="C144" s="482">
        <v>20</v>
      </c>
    </row>
    <row r="145" spans="2:3" x14ac:dyDescent="0.3">
      <c r="C145" s="482">
        <v>21</v>
      </c>
    </row>
    <row r="146" spans="2:3" x14ac:dyDescent="0.3">
      <c r="C146" s="482">
        <v>22</v>
      </c>
    </row>
    <row r="147" spans="2:3" x14ac:dyDescent="0.3">
      <c r="C147" s="482">
        <v>23</v>
      </c>
    </row>
    <row r="148" spans="2:3" x14ac:dyDescent="0.3">
      <c r="C148" s="482">
        <v>24</v>
      </c>
    </row>
    <row r="149" spans="2:3" x14ac:dyDescent="0.3">
      <c r="C149" s="482" t="s">
        <v>154</v>
      </c>
    </row>
    <row r="150" spans="2:3" x14ac:dyDescent="0.3">
      <c r="C150" s="482" t="s">
        <v>155</v>
      </c>
    </row>
    <row r="151" spans="2:3" x14ac:dyDescent="0.3">
      <c r="B151" t="s">
        <v>758</v>
      </c>
      <c r="C151" s="482" t="s">
        <v>1229</v>
      </c>
    </row>
    <row r="152" spans="2:3" x14ac:dyDescent="0.3">
      <c r="C152" s="482" t="s">
        <v>1230</v>
      </c>
    </row>
    <row r="153" spans="2:3" x14ac:dyDescent="0.3">
      <c r="C153" s="482" t="s">
        <v>1231</v>
      </c>
    </row>
    <row r="154" spans="2:3" x14ac:dyDescent="0.3">
      <c r="C154" s="482" t="s">
        <v>1232</v>
      </c>
    </row>
    <row r="155" spans="2:3" x14ac:dyDescent="0.3">
      <c r="C155" s="482" t="s">
        <v>1233</v>
      </c>
    </row>
    <row r="156" spans="2:3" x14ac:dyDescent="0.3">
      <c r="C156" s="482" t="s">
        <v>1234</v>
      </c>
    </row>
    <row r="157" spans="2:3" x14ac:dyDescent="0.3">
      <c r="C157" s="482" t="s">
        <v>1235</v>
      </c>
    </row>
    <row r="158" spans="2:3" x14ac:dyDescent="0.3">
      <c r="C158" s="482" t="s">
        <v>1236</v>
      </c>
    </row>
    <row r="159" spans="2:3" x14ac:dyDescent="0.3">
      <c r="C159" s="482" t="s">
        <v>1237</v>
      </c>
    </row>
    <row r="160" spans="2:3" x14ac:dyDescent="0.3">
      <c r="C160" s="482" t="s">
        <v>1238</v>
      </c>
    </row>
    <row r="161" spans="3:3" x14ac:dyDescent="0.3">
      <c r="C161" s="482" t="s">
        <v>1239</v>
      </c>
    </row>
    <row r="162" spans="3:3" x14ac:dyDescent="0.3">
      <c r="C162" s="482" t="s">
        <v>1240</v>
      </c>
    </row>
    <row r="163" spans="3:3" x14ac:dyDescent="0.3">
      <c r="C163" s="482" t="s">
        <v>1241</v>
      </c>
    </row>
    <row r="164" spans="3:3" x14ac:dyDescent="0.3">
      <c r="C164" s="482" t="s">
        <v>1242</v>
      </c>
    </row>
    <row r="165" spans="3:3" x14ac:dyDescent="0.3">
      <c r="C165" s="482" t="s">
        <v>1243</v>
      </c>
    </row>
    <row r="166" spans="3:3" x14ac:dyDescent="0.3">
      <c r="C166" s="482" t="s">
        <v>1244</v>
      </c>
    </row>
    <row r="167" spans="3:3" x14ac:dyDescent="0.3">
      <c r="C167" s="482" t="s">
        <v>767</v>
      </c>
    </row>
    <row r="168" spans="3:3" x14ac:dyDescent="0.3">
      <c r="C168" s="482" t="s">
        <v>768</v>
      </c>
    </row>
    <row r="169" spans="3:3" x14ac:dyDescent="0.3">
      <c r="C169" s="482" t="s">
        <v>769</v>
      </c>
    </row>
    <row r="170" spans="3:3" x14ac:dyDescent="0.3">
      <c r="C170" s="482" t="s">
        <v>770</v>
      </c>
    </row>
    <row r="171" spans="3:3" x14ac:dyDescent="0.3">
      <c r="C171" s="482" t="s">
        <v>771</v>
      </c>
    </row>
    <row r="172" spans="3:3" x14ac:dyDescent="0.3">
      <c r="C172" s="482" t="s">
        <v>772</v>
      </c>
    </row>
    <row r="173" spans="3:3" x14ac:dyDescent="0.3">
      <c r="C173" s="482" t="s">
        <v>773</v>
      </c>
    </row>
    <row r="174" spans="3:3" x14ac:dyDescent="0.3">
      <c r="C174" s="482" t="s">
        <v>774</v>
      </c>
    </row>
    <row r="175" spans="3:3" x14ac:dyDescent="0.3">
      <c r="C175" s="482" t="s">
        <v>767</v>
      </c>
    </row>
    <row r="176" spans="3:3" x14ac:dyDescent="0.3">
      <c r="C176" s="482" t="s">
        <v>768</v>
      </c>
    </row>
    <row r="177" spans="1:3" x14ac:dyDescent="0.3">
      <c r="C177" s="482" t="s">
        <v>769</v>
      </c>
    </row>
    <row r="178" spans="1:3" x14ac:dyDescent="0.3">
      <c r="C178" s="482" t="s">
        <v>770</v>
      </c>
    </row>
    <row r="179" spans="1:3" x14ac:dyDescent="0.3">
      <c r="C179" s="482" t="s">
        <v>771</v>
      </c>
    </row>
    <row r="180" spans="1:3" x14ac:dyDescent="0.3">
      <c r="C180" s="482" t="s">
        <v>772</v>
      </c>
    </row>
    <row r="181" spans="1:3" x14ac:dyDescent="0.3">
      <c r="C181" s="482" t="s">
        <v>773</v>
      </c>
    </row>
    <row r="182" spans="1:3" x14ac:dyDescent="0.3">
      <c r="C182" s="482" t="s">
        <v>774</v>
      </c>
    </row>
    <row r="183" spans="1:3" x14ac:dyDescent="0.3">
      <c r="C183" s="482" t="s">
        <v>765</v>
      </c>
    </row>
    <row r="184" spans="1:3" x14ac:dyDescent="0.3">
      <c r="C184" s="482" t="s">
        <v>766</v>
      </c>
    </row>
    <row r="185" spans="1:3" x14ac:dyDescent="0.3">
      <c r="A185" t="s">
        <v>1253</v>
      </c>
      <c r="B185" t="s">
        <v>119</v>
      </c>
      <c r="C185" s="482" t="s">
        <v>57</v>
      </c>
    </row>
    <row r="186" spans="1:3" x14ac:dyDescent="0.3">
      <c r="C186" s="482" t="s">
        <v>53</v>
      </c>
    </row>
    <row r="187" spans="1:3" x14ac:dyDescent="0.3">
      <c r="C187" s="482" t="s">
        <v>54</v>
      </c>
    </row>
    <row r="188" spans="1:3" x14ac:dyDescent="0.3">
      <c r="C188" s="482" t="s">
        <v>50</v>
      </c>
    </row>
    <row r="189" spans="1:3" x14ac:dyDescent="0.3">
      <c r="C189" s="482" t="s">
        <v>51</v>
      </c>
    </row>
    <row r="190" spans="1:3" x14ac:dyDescent="0.3">
      <c r="C190" s="482" t="s">
        <v>52</v>
      </c>
    </row>
    <row r="191" spans="1:3" x14ac:dyDescent="0.3">
      <c r="C191" s="482" t="s">
        <v>213</v>
      </c>
    </row>
    <row r="192" spans="1:3" x14ac:dyDescent="0.3">
      <c r="C192" s="482" t="s">
        <v>214</v>
      </c>
    </row>
    <row r="193" spans="3:3" x14ac:dyDescent="0.3">
      <c r="C193" s="482" t="s">
        <v>57</v>
      </c>
    </row>
    <row r="194" spans="3:3" x14ac:dyDescent="0.3">
      <c r="C194" s="482" t="s">
        <v>53</v>
      </c>
    </row>
    <row r="195" spans="3:3" x14ac:dyDescent="0.3">
      <c r="C195" s="482" t="s">
        <v>54</v>
      </c>
    </row>
    <row r="196" spans="3:3" x14ac:dyDescent="0.3">
      <c r="C196" s="482" t="s">
        <v>807</v>
      </c>
    </row>
  </sheetData>
  <mergeCells count="1">
    <mergeCell ref="D1:E1"/>
  </mergeCells>
  <pageMargins left="0.7" right="0.7" top="0.75" bottom="0.75" header="0.3" footer="0.3"/>
  <pageSetup orientation="portrait" horizontalDpi="4294967293"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S113"/>
  <sheetViews>
    <sheetView topLeftCell="G7" zoomScale="85" workbookViewId="0">
      <selection activeCell="K44" sqref="K44"/>
    </sheetView>
  </sheetViews>
  <sheetFormatPr defaultColWidth="9" defaultRowHeight="14.5" x14ac:dyDescent="0.35"/>
  <cols>
    <col min="1" max="1" width="38.09765625" style="38" customWidth="1"/>
    <col min="2" max="2" width="15.3984375" style="38" bestFit="1" customWidth="1"/>
    <col min="3" max="3" width="30.59765625" style="38" customWidth="1"/>
    <col min="4" max="4" width="22.3984375" style="38" bestFit="1" customWidth="1"/>
    <col min="5" max="5" width="31.8984375" style="38" customWidth="1"/>
    <col min="6" max="6" width="27" style="38" customWidth="1"/>
    <col min="7" max="7" width="9" style="38"/>
    <col min="8" max="8" width="21" style="38" customWidth="1"/>
    <col min="9" max="9" width="22" style="38" bestFit="1" customWidth="1"/>
    <col min="10" max="10" width="36.09765625" style="38" bestFit="1" customWidth="1"/>
    <col min="11" max="11" width="23.59765625" style="38" customWidth="1"/>
    <col min="12" max="12" width="28.09765625" style="38" bestFit="1" customWidth="1"/>
    <col min="13" max="13" width="28.09765625" style="38" customWidth="1"/>
    <col min="14" max="14" width="35.59765625" style="38" bestFit="1" customWidth="1"/>
    <col min="15" max="15" width="13.3984375" style="38" bestFit="1" customWidth="1"/>
    <col min="16" max="16" width="14.3984375" style="38" bestFit="1" customWidth="1"/>
    <col min="17" max="17" width="16.296875" style="38" bestFit="1" customWidth="1"/>
    <col min="18" max="18" width="22.59765625" style="38" bestFit="1" customWidth="1"/>
    <col min="19" max="19" width="22.3984375" style="38" customWidth="1"/>
    <col min="20" max="16384" width="9" style="38"/>
  </cols>
  <sheetData>
    <row r="1" spans="1:19" x14ac:dyDescent="0.35">
      <c r="A1" s="1263" t="s">
        <v>264</v>
      </c>
      <c r="B1" s="1263"/>
      <c r="C1" s="1263"/>
      <c r="D1" s="1263"/>
      <c r="E1" s="1263"/>
      <c r="F1" s="1263"/>
      <c r="G1" s="40"/>
      <c r="H1" s="40"/>
      <c r="I1" s="57"/>
      <c r="J1" s="57"/>
      <c r="K1" s="57"/>
      <c r="L1" s="57"/>
      <c r="M1" s="57"/>
      <c r="N1" s="57"/>
      <c r="O1" s="77"/>
      <c r="P1" s="563"/>
      <c r="Q1" s="77"/>
      <c r="R1" s="93"/>
      <c r="S1" s="93"/>
    </row>
    <row r="2" spans="1:19" ht="15" thickBot="1" x14ac:dyDescent="0.4">
      <c r="A2" s="40"/>
      <c r="B2" s="40"/>
      <c r="C2" s="40"/>
      <c r="D2" s="40"/>
      <c r="E2" s="62"/>
      <c r="F2" s="273"/>
      <c r="G2" s="62"/>
      <c r="H2" s="62"/>
      <c r="I2" s="63"/>
      <c r="J2" s="63"/>
      <c r="K2" s="63"/>
      <c r="L2" s="63"/>
      <c r="M2" s="63"/>
      <c r="N2" s="63"/>
      <c r="O2" s="79"/>
      <c r="P2" s="61"/>
      <c r="Q2" s="469"/>
      <c r="R2" s="469"/>
      <c r="S2" s="469"/>
    </row>
    <row r="3" spans="1:19" ht="15" thickBot="1" x14ac:dyDescent="0.4">
      <c r="A3" s="275"/>
      <c r="B3" s="276"/>
      <c r="C3" s="276"/>
      <c r="D3" s="277"/>
      <c r="E3" s="62"/>
      <c r="F3" s="40"/>
      <c r="G3" s="40"/>
      <c r="H3" s="62"/>
      <c r="I3" s="279"/>
      <c r="J3" s="63"/>
      <c r="K3" s="63"/>
      <c r="L3" s="62"/>
      <c r="M3" s="329"/>
      <c r="N3" s="328"/>
      <c r="O3" s="93"/>
      <c r="P3" s="108"/>
      <c r="Q3" s="108"/>
      <c r="R3" s="108"/>
      <c r="S3" s="108"/>
    </row>
    <row r="4" spans="1:19" s="55" customFormat="1" ht="15" thickBot="1" x14ac:dyDescent="0.4">
      <c r="A4" s="274" t="s">
        <v>139</v>
      </c>
      <c r="B4" s="274" t="s">
        <v>6</v>
      </c>
      <c r="C4" s="274" t="s">
        <v>30</v>
      </c>
      <c r="D4" s="274" t="s">
        <v>290</v>
      </c>
      <c r="E4" s="80" t="s">
        <v>19</v>
      </c>
      <c r="F4" s="80" t="s">
        <v>64</v>
      </c>
      <c r="G4" s="278" t="s">
        <v>92</v>
      </c>
      <c r="H4" s="80" t="s">
        <v>273</v>
      </c>
      <c r="I4" s="278" t="s">
        <v>208</v>
      </c>
      <c r="J4" s="80" t="s">
        <v>275</v>
      </c>
      <c r="K4" s="80" t="s">
        <v>323</v>
      </c>
      <c r="L4" s="80" t="s">
        <v>420</v>
      </c>
      <c r="M4" s="256" t="s">
        <v>2037</v>
      </c>
      <c r="N4" s="80" t="s">
        <v>388</v>
      </c>
      <c r="O4" s="285" t="s">
        <v>506</v>
      </c>
      <c r="P4" s="80" t="s">
        <v>1194</v>
      </c>
      <c r="Q4" s="80" t="s">
        <v>509</v>
      </c>
      <c r="R4" s="80" t="s">
        <v>2025</v>
      </c>
      <c r="S4" s="80" t="s">
        <v>800</v>
      </c>
    </row>
    <row r="5" spans="1:19" x14ac:dyDescent="0.35">
      <c r="A5" s="76" t="s">
        <v>140</v>
      </c>
      <c r="B5" s="76" t="s">
        <v>7</v>
      </c>
      <c r="C5" s="76" t="s">
        <v>31</v>
      </c>
      <c r="D5" s="76" t="s">
        <v>286</v>
      </c>
      <c r="E5" s="76" t="s">
        <v>344</v>
      </c>
      <c r="F5" s="76" t="s">
        <v>66</v>
      </c>
      <c r="G5" s="69">
        <v>0</v>
      </c>
      <c r="H5" s="77">
        <v>1</v>
      </c>
      <c r="I5" s="38" t="s">
        <v>209</v>
      </c>
      <c r="J5" s="76" t="s">
        <v>31</v>
      </c>
      <c r="K5" s="92" t="s">
        <v>293</v>
      </c>
      <c r="L5" s="77">
        <v>0</v>
      </c>
      <c r="M5" s="77" t="s">
        <v>593</v>
      </c>
      <c r="N5" s="76" t="s">
        <v>2016</v>
      </c>
      <c r="O5" s="93" t="s">
        <v>503</v>
      </c>
      <c r="P5" s="77">
        <f>IF(GetDBperVolIndex(ROW()-ROW(P$5),1)=0,"",GetDBperVolIndex(ROW()-ROW(P$5),1))</f>
        <v>1</v>
      </c>
      <c r="Q5" s="563">
        <v>1</v>
      </c>
      <c r="R5" s="93" t="s">
        <v>2021</v>
      </c>
      <c r="S5" s="968" t="s">
        <v>2109</v>
      </c>
    </row>
    <row r="6" spans="1:19" x14ac:dyDescent="0.35">
      <c r="A6" s="76" t="s">
        <v>141</v>
      </c>
      <c r="B6" s="76" t="s">
        <v>8</v>
      </c>
      <c r="C6" s="76" t="s">
        <v>30</v>
      </c>
      <c r="D6" s="76" t="s">
        <v>287</v>
      </c>
      <c r="E6" s="76" t="s">
        <v>68</v>
      </c>
      <c r="F6" s="76" t="s">
        <v>65</v>
      </c>
      <c r="G6" s="27">
        <v>1</v>
      </c>
      <c r="H6" s="27">
        <v>2</v>
      </c>
      <c r="I6" s="38" t="s">
        <v>17</v>
      </c>
      <c r="J6" s="76" t="s">
        <v>30</v>
      </c>
      <c r="K6" s="76" t="s">
        <v>294</v>
      </c>
      <c r="L6" s="77">
        <v>1</v>
      </c>
      <c r="M6" s="77" t="s">
        <v>2036</v>
      </c>
      <c r="N6" s="88" t="s">
        <v>389</v>
      </c>
      <c r="O6" s="77" t="s">
        <v>504</v>
      </c>
      <c r="P6" s="77">
        <f>IF(GetDBperVolIndex(ROW()-ROW(P$5),1)=0,"",GetDBperVolIndex(ROW()-ROW(P$5),1))</f>
        <v>2</v>
      </c>
      <c r="Q6" s="61">
        <v>2</v>
      </c>
      <c r="R6" s="77" t="s">
        <v>2022</v>
      </c>
      <c r="S6" s="969" t="s">
        <v>116</v>
      </c>
    </row>
    <row r="7" spans="1:19" x14ac:dyDescent="0.35">
      <c r="A7" s="77"/>
      <c r="B7" s="77"/>
      <c r="C7" s="77"/>
      <c r="D7" s="76"/>
      <c r="E7" s="78" t="s">
        <v>69</v>
      </c>
      <c r="F7" s="77"/>
      <c r="G7" s="27">
        <v>2</v>
      </c>
      <c r="H7" s="27">
        <v>3</v>
      </c>
      <c r="I7" s="38" t="s">
        <v>210</v>
      </c>
      <c r="J7" s="76" t="s">
        <v>276</v>
      </c>
      <c r="K7" s="77"/>
      <c r="L7" s="77">
        <v>2</v>
      </c>
      <c r="M7" s="77" t="s">
        <v>2035</v>
      </c>
      <c r="N7" s="76"/>
      <c r="O7" s="77"/>
      <c r="P7" s="77">
        <f>IF(GetDBperVolIndex(ROW()-ROW(P$5),1)=0,"",GetDBperVolIndex(ROW()-ROW(P$5),1))</f>
        <v>4</v>
      </c>
      <c r="Q7" s="61">
        <v>4</v>
      </c>
      <c r="R7" s="77" t="s">
        <v>2023</v>
      </c>
      <c r="S7" s="77" t="s">
        <v>2110</v>
      </c>
    </row>
    <row r="8" spans="1:19" x14ac:dyDescent="0.35">
      <c r="A8" s="45"/>
      <c r="B8" s="77"/>
      <c r="C8" s="77"/>
      <c r="D8" s="76"/>
      <c r="E8" s="76"/>
      <c r="F8" s="77"/>
      <c r="G8" s="27">
        <v>3</v>
      </c>
      <c r="H8" s="27">
        <v>4</v>
      </c>
      <c r="I8" s="77" t="s">
        <v>211</v>
      </c>
      <c r="J8" s="76" t="s">
        <v>277</v>
      </c>
      <c r="K8" s="77"/>
      <c r="L8" s="27"/>
      <c r="N8" s="77"/>
      <c r="O8" s="77"/>
      <c r="P8" s="77" t="str">
        <f>IF(GetDBperVolIndex(ROW()-ROW(P$5),1)=0,"",GetDBperVolIndex(ROW()-ROW(P$5),1))</f>
        <v/>
      </c>
      <c r="Q8" s="61">
        <v>6</v>
      </c>
      <c r="R8" s="77" t="s">
        <v>2024</v>
      </c>
      <c r="S8" s="77"/>
    </row>
    <row r="9" spans="1:19" x14ac:dyDescent="0.35">
      <c r="A9" s="45"/>
      <c r="B9" s="77"/>
      <c r="C9" s="77"/>
      <c r="D9" s="76"/>
      <c r="E9" s="77"/>
      <c r="F9" s="77"/>
      <c r="G9" s="27">
        <v>4</v>
      </c>
      <c r="H9" s="27">
        <v>5</v>
      </c>
      <c r="J9" s="77"/>
      <c r="K9" s="77"/>
      <c r="L9" s="77"/>
      <c r="N9" s="77"/>
      <c r="O9" s="77"/>
      <c r="P9" s="77" t="str">
        <f>IF(GetDBperVolIndex(ROW()-ROW(P$5),1)=0,"",GetDBperVolIndex(ROW()-ROW(P$5),1))</f>
        <v/>
      </c>
      <c r="Q9" s="61">
        <v>8</v>
      </c>
      <c r="R9" s="77"/>
      <c r="S9" s="77"/>
    </row>
    <row r="10" spans="1:19" x14ac:dyDescent="0.35">
      <c r="A10" s="45"/>
      <c r="B10" s="77"/>
      <c r="C10" s="77"/>
      <c r="D10" s="76"/>
      <c r="E10" s="76"/>
      <c r="F10" s="77"/>
      <c r="G10" s="27">
        <v>5</v>
      </c>
      <c r="H10" s="27">
        <v>6</v>
      </c>
      <c r="I10" s="77"/>
      <c r="J10" s="77"/>
      <c r="K10" s="77"/>
      <c r="L10" s="77" t="str">
        <f>IF(L3&gt;=5,5,"")</f>
        <v/>
      </c>
      <c r="M10" s="77"/>
      <c r="N10" s="77"/>
      <c r="O10" s="77"/>
      <c r="P10" s="77" t="str">
        <f>IF(GetDBperVolIndex(ROW()-ROW(P$5),1)=0,"",GetDBperVolIndex(ROW()-ROW(P$5),1))</f>
        <v/>
      </c>
      <c r="Q10" s="61">
        <v>10</v>
      </c>
      <c r="R10" s="77"/>
      <c r="S10" s="77"/>
    </row>
    <row r="11" spans="1:19" x14ac:dyDescent="0.35">
      <c r="A11" s="45"/>
      <c r="B11" s="77"/>
      <c r="C11" s="77"/>
      <c r="D11" s="76"/>
      <c r="E11" s="78"/>
      <c r="F11" s="77"/>
      <c r="G11" s="27">
        <v>6</v>
      </c>
      <c r="H11" s="27">
        <v>7</v>
      </c>
      <c r="I11" s="77"/>
      <c r="J11" s="77"/>
      <c r="K11" s="77"/>
      <c r="L11" s="77" t="str">
        <f>IF(L3&gt;=6,6,"")</f>
        <v/>
      </c>
      <c r="M11" s="77"/>
      <c r="N11" s="77"/>
      <c r="O11" s="77"/>
      <c r="P11" s="77" t="str">
        <f>IF(GetDBperVolIndex(ROW()-ROW(P$5),1)=0,"",GetDBperVolIndex(ROW()-ROW(P$5),1))</f>
        <v/>
      </c>
      <c r="Q11" s="61">
        <v>12</v>
      </c>
      <c r="R11" s="77"/>
      <c r="S11" s="77"/>
    </row>
    <row r="12" spans="1:19" x14ac:dyDescent="0.35">
      <c r="A12" s="45"/>
      <c r="B12" s="77"/>
      <c r="C12" s="77"/>
      <c r="D12" s="77"/>
      <c r="E12" s="77"/>
      <c r="F12" s="77"/>
      <c r="G12" s="27">
        <v>7</v>
      </c>
      <c r="H12" s="27">
        <v>8</v>
      </c>
      <c r="I12" s="77"/>
      <c r="J12" s="77"/>
      <c r="K12" s="77"/>
      <c r="L12" s="77" t="str">
        <f>IF(L3&gt;=7,7,"")</f>
        <v/>
      </c>
      <c r="M12" s="77"/>
      <c r="N12" s="77"/>
      <c r="O12" s="77"/>
      <c r="P12" s="77" t="str">
        <f>IF(GetDBperVolIndex(ROW()-ROW(P$5),1)=0,"",GetDBperVolIndex(ROW()-ROW(P$5),1))</f>
        <v/>
      </c>
      <c r="Q12" s="61">
        <v>14</v>
      </c>
      <c r="R12" s="77"/>
      <c r="S12" s="77"/>
    </row>
    <row r="13" spans="1:19" x14ac:dyDescent="0.35">
      <c r="A13" s="45"/>
      <c r="B13" s="77"/>
      <c r="C13" s="77"/>
      <c r="D13" s="77"/>
      <c r="E13" s="77"/>
      <c r="F13" s="77"/>
      <c r="G13" s="27">
        <v>8</v>
      </c>
      <c r="H13" s="27">
        <v>9</v>
      </c>
      <c r="I13" s="77"/>
      <c r="J13" s="77"/>
      <c r="K13" s="77"/>
      <c r="L13" s="27" t="str">
        <f>IF(L3&gt;=8,8,"")</f>
        <v/>
      </c>
      <c r="M13" s="27"/>
      <c r="N13" s="77"/>
      <c r="O13" s="77"/>
      <c r="P13" s="77" t="str">
        <f>IF(GetDBperVolIndex(ROW()-ROW(P$5),1)=0,"",GetDBperVolIndex(ROW()-ROW(P$5),1))</f>
        <v/>
      </c>
      <c r="Q13" s="61">
        <v>16</v>
      </c>
      <c r="R13" s="77"/>
      <c r="S13" s="77"/>
    </row>
    <row r="14" spans="1:19" x14ac:dyDescent="0.35">
      <c r="A14" s="45"/>
      <c r="B14" s="77"/>
      <c r="C14" s="77"/>
      <c r="D14" s="77"/>
      <c r="E14" s="77"/>
      <c r="F14" s="77"/>
      <c r="G14" s="27">
        <v>9</v>
      </c>
      <c r="H14" s="27">
        <v>10</v>
      </c>
      <c r="I14" s="77"/>
      <c r="J14" s="77"/>
      <c r="K14" s="77"/>
      <c r="L14" s="27" t="str">
        <f>IF(L3&gt;=9,9,"")</f>
        <v/>
      </c>
      <c r="M14" s="27"/>
      <c r="N14" s="77"/>
      <c r="O14" s="77"/>
      <c r="P14" s="77" t="str">
        <f>IF(GetDBperVolIndex(ROW()-ROW(P$5),1)=0,"",GetDBperVolIndex(ROW()-ROW(P$5),1))</f>
        <v/>
      </c>
      <c r="Q14" s="61">
        <v>18</v>
      </c>
      <c r="R14" s="77"/>
      <c r="S14" s="77"/>
    </row>
    <row r="15" spans="1:19" x14ac:dyDescent="0.35">
      <c r="A15" s="45"/>
      <c r="B15" s="77"/>
      <c r="C15" s="77"/>
      <c r="D15" s="77"/>
      <c r="E15" s="45"/>
      <c r="F15" s="77"/>
      <c r="G15" s="27">
        <v>10</v>
      </c>
      <c r="H15" s="27">
        <v>11</v>
      </c>
      <c r="I15" s="77"/>
      <c r="J15" s="77"/>
      <c r="K15" s="77"/>
      <c r="L15" s="27" t="str">
        <f>IF(L3&gt;=10,10,"")</f>
        <v/>
      </c>
      <c r="M15" s="27"/>
      <c r="N15" s="77"/>
      <c r="O15" s="77"/>
      <c r="P15" s="77" t="str">
        <f>IF(GetDBperVolIndex(ROW()-ROW(P$5),1)=0,"",GetDBperVolIndex(ROW()-ROW(P$5),1))</f>
        <v/>
      </c>
      <c r="Q15" s="61">
        <v>20</v>
      </c>
      <c r="R15" s="77"/>
      <c r="S15" s="77"/>
    </row>
    <row r="16" spans="1:19" x14ac:dyDescent="0.35">
      <c r="A16" s="45"/>
      <c r="B16" s="77"/>
      <c r="C16" s="77"/>
      <c r="D16" s="77"/>
      <c r="E16" s="45"/>
      <c r="F16" s="77"/>
      <c r="G16" s="27">
        <v>11</v>
      </c>
      <c r="H16" s="27">
        <v>12</v>
      </c>
      <c r="I16" s="77"/>
      <c r="J16" s="77"/>
      <c r="K16" s="77"/>
      <c r="L16" s="27" t="str">
        <f>IF(L3&gt;=11,11,"")</f>
        <v/>
      </c>
      <c r="M16" s="27"/>
      <c r="N16" s="77"/>
      <c r="O16" s="77"/>
      <c r="P16" s="77" t="str">
        <f>IF(GetDBperVolIndex(ROW()-ROW(P$5),1)=0,"",GetDBperVolIndex(ROW()-ROW(P$5),1))</f>
        <v/>
      </c>
      <c r="Q16" s="61">
        <v>24</v>
      </c>
      <c r="R16" s="77"/>
      <c r="S16" s="77"/>
    </row>
    <row r="17" spans="1:19" x14ac:dyDescent="0.35">
      <c r="A17" s="45"/>
      <c r="B17" s="77"/>
      <c r="C17" s="77"/>
      <c r="D17" s="77"/>
      <c r="E17" s="77"/>
      <c r="G17" s="27">
        <v>12</v>
      </c>
      <c r="H17" s="27">
        <v>13</v>
      </c>
      <c r="I17" s="77"/>
      <c r="J17" s="77"/>
      <c r="K17" s="77"/>
      <c r="L17" s="27" t="str">
        <f>IF(L3&gt;=12,12,"")</f>
        <v/>
      </c>
      <c r="M17" s="27"/>
      <c r="N17" s="77"/>
      <c r="P17" s="77" t="str">
        <f>IF(GetDBperVolIndex(ROW()-ROW(P$5),1)=0,"",GetDBperVolIndex(ROW()-ROW(P$5),1))</f>
        <v/>
      </c>
      <c r="Q17" s="61">
        <v>32</v>
      </c>
      <c r="R17" s="77"/>
      <c r="S17" s="77"/>
    </row>
    <row r="18" spans="1:19" x14ac:dyDescent="0.35">
      <c r="A18" s="45"/>
      <c r="B18" s="77"/>
      <c r="C18" s="77"/>
      <c r="D18" s="77"/>
      <c r="E18" s="77"/>
      <c r="G18" s="27">
        <v>13</v>
      </c>
      <c r="H18" s="27">
        <v>14</v>
      </c>
      <c r="I18" s="77"/>
      <c r="J18" s="77"/>
      <c r="K18" s="77"/>
      <c r="L18" s="27" t="str">
        <f>IF(L3&gt;=13,13,"")</f>
        <v/>
      </c>
      <c r="M18" s="27"/>
      <c r="N18" s="77"/>
      <c r="P18" s="77" t="str">
        <f>IF(GetDBperVolIndex(ROW()-ROW(P$5),1)=0,"",GetDBperVolIndex(ROW()-ROW(P$5),1))</f>
        <v/>
      </c>
      <c r="Q18" s="38">
        <v>40</v>
      </c>
      <c r="R18" s="77"/>
      <c r="S18" s="77"/>
    </row>
    <row r="19" spans="1:19" x14ac:dyDescent="0.35">
      <c r="A19" s="45"/>
      <c r="B19" s="77"/>
      <c r="C19" s="77"/>
      <c r="D19" s="77"/>
      <c r="E19" s="77"/>
      <c r="G19" s="27">
        <v>14</v>
      </c>
      <c r="H19" s="27">
        <v>15</v>
      </c>
      <c r="I19" s="77"/>
      <c r="J19" s="77"/>
      <c r="K19" s="77"/>
      <c r="L19" s="27" t="str">
        <f>IF(L3&gt;=14,14,"")</f>
        <v/>
      </c>
      <c r="M19" s="27"/>
      <c r="N19" s="77"/>
      <c r="P19" s="77" t="str">
        <f>IF(GetDBperVolIndex(ROW()-ROW(P$5),1)=0,"",GetDBperVolIndex(ROW()-ROW(P$5),1))</f>
        <v/>
      </c>
      <c r="Q19" s="61">
        <v>48</v>
      </c>
      <c r="R19" s="77"/>
      <c r="S19" s="77"/>
    </row>
    <row r="20" spans="1:19" x14ac:dyDescent="0.35">
      <c r="A20" s="45"/>
      <c r="B20" s="77"/>
      <c r="C20" s="77"/>
      <c r="D20" s="77"/>
      <c r="E20" s="77"/>
      <c r="G20" s="27">
        <v>15</v>
      </c>
      <c r="H20" s="27">
        <v>16</v>
      </c>
      <c r="I20" s="77"/>
      <c r="J20" s="77"/>
      <c r="K20" s="77"/>
      <c r="L20" s="27" t="str">
        <f>IF(L3&gt;=15,15,"")</f>
        <v/>
      </c>
      <c r="M20" s="26"/>
      <c r="N20" s="45"/>
      <c r="O20" s="77"/>
      <c r="Q20" s="61">
        <v>60</v>
      </c>
      <c r="R20" s="77"/>
      <c r="S20" s="77"/>
    </row>
    <row r="21" spans="1:19" ht="15" thickBot="1" x14ac:dyDescent="0.4">
      <c r="A21" s="45"/>
      <c r="B21" s="77"/>
      <c r="C21" s="77"/>
      <c r="D21" s="77"/>
      <c r="E21" s="77"/>
      <c r="G21" s="27">
        <v>16</v>
      </c>
      <c r="H21" s="21"/>
      <c r="I21" s="77"/>
      <c r="J21" s="77"/>
      <c r="K21" s="77"/>
      <c r="L21" s="27"/>
      <c r="M21" s="26"/>
      <c r="N21" s="45"/>
      <c r="O21" s="469"/>
      <c r="P21" s="469" t="str">
        <f>IF(GetDBperVolIndex(ROW()-ROW(P$5),1)=0,"",GetDBperVolIndex(ROW()-ROW(P$5),1))</f>
        <v/>
      </c>
      <c r="Q21" s="445">
        <v>120</v>
      </c>
      <c r="R21" s="469"/>
      <c r="S21" s="469"/>
    </row>
    <row r="22" spans="1:19" x14ac:dyDescent="0.35">
      <c r="A22" s="45"/>
      <c r="B22" s="77"/>
      <c r="C22" s="77"/>
      <c r="D22" s="77"/>
      <c r="E22" s="77"/>
      <c r="G22" s="27">
        <v>17</v>
      </c>
      <c r="I22" s="77"/>
      <c r="J22" s="77"/>
      <c r="K22" s="77"/>
      <c r="L22" s="77"/>
      <c r="M22" s="45"/>
      <c r="N22" s="45"/>
      <c r="O22" s="61"/>
      <c r="P22" s="289"/>
      <c r="R22" s="289"/>
    </row>
    <row r="23" spans="1:19" ht="15" thickBot="1" x14ac:dyDescent="0.4">
      <c r="A23" s="45"/>
      <c r="B23" s="77"/>
      <c r="C23" s="77"/>
      <c r="D23" s="77"/>
      <c r="E23" s="77"/>
      <c r="G23" s="27">
        <v>18</v>
      </c>
      <c r="H23" s="77"/>
      <c r="I23" s="77"/>
      <c r="J23" s="77"/>
      <c r="K23" s="77"/>
      <c r="L23" s="77"/>
      <c r="M23" s="45"/>
      <c r="N23" s="45"/>
      <c r="O23" s="61"/>
    </row>
    <row r="24" spans="1:19" ht="15" thickBot="1" x14ac:dyDescent="0.4">
      <c r="A24" s="45"/>
      <c r="B24" s="77"/>
      <c r="C24" s="77"/>
      <c r="D24" s="77"/>
      <c r="E24" s="77"/>
      <c r="G24" s="27">
        <v>19</v>
      </c>
      <c r="H24" s="285" t="s">
        <v>423</v>
      </c>
      <c r="I24" s="77"/>
      <c r="J24" s="77"/>
      <c r="K24" s="77"/>
      <c r="L24" s="77"/>
      <c r="M24" s="45"/>
      <c r="N24" s="45"/>
      <c r="O24" s="61"/>
    </row>
    <row r="25" spans="1:19" x14ac:dyDescent="0.35">
      <c r="A25" s="45"/>
      <c r="B25" s="77"/>
      <c r="C25" s="77"/>
      <c r="D25" s="77"/>
      <c r="E25" s="77"/>
      <c r="G25" s="77">
        <v>20</v>
      </c>
      <c r="H25" s="93">
        <v>0</v>
      </c>
      <c r="I25" s="77"/>
      <c r="J25" s="77"/>
      <c r="K25" s="77"/>
      <c r="L25" s="77"/>
      <c r="M25" s="45"/>
      <c r="N25" s="45"/>
      <c r="O25" s="61"/>
    </row>
    <row r="26" spans="1:19" x14ac:dyDescent="0.35">
      <c r="A26" s="45"/>
      <c r="B26" s="77"/>
      <c r="C26" s="77"/>
      <c r="D26" s="77"/>
      <c r="E26" s="77"/>
      <c r="G26" s="77">
        <v>21</v>
      </c>
      <c r="H26" s="61">
        <v>1</v>
      </c>
      <c r="I26" s="77"/>
      <c r="J26" s="45"/>
      <c r="K26" s="77"/>
      <c r="L26" s="77"/>
      <c r="M26" s="45"/>
      <c r="N26" s="45"/>
      <c r="O26" s="61"/>
    </row>
    <row r="27" spans="1:19" x14ac:dyDescent="0.35">
      <c r="A27" s="45"/>
      <c r="B27" s="77"/>
      <c r="C27" s="77"/>
      <c r="D27" s="77"/>
      <c r="E27" s="77"/>
      <c r="G27" s="27">
        <v>22</v>
      </c>
      <c r="H27" s="61">
        <v>2</v>
      </c>
      <c r="I27" s="77"/>
      <c r="J27" s="45"/>
      <c r="K27" s="77"/>
      <c r="L27" s="77"/>
      <c r="M27" s="45"/>
      <c r="N27" s="45"/>
      <c r="O27" s="61"/>
    </row>
    <row r="28" spans="1:19" x14ac:dyDescent="0.35">
      <c r="A28" s="45"/>
      <c r="B28" s="77"/>
      <c r="C28" s="77"/>
      <c r="D28" s="77"/>
      <c r="E28" s="77"/>
      <c r="G28" s="27">
        <v>23</v>
      </c>
      <c r="H28" s="77"/>
      <c r="I28" s="77"/>
      <c r="J28" s="77"/>
      <c r="K28" s="77"/>
      <c r="L28" s="77"/>
      <c r="M28" s="45"/>
      <c r="N28" s="45"/>
      <c r="O28" s="61"/>
    </row>
    <row r="29" spans="1:19" ht="15" thickBot="1" x14ac:dyDescent="0.4">
      <c r="A29" s="81"/>
      <c r="B29" s="79"/>
      <c r="C29" s="79"/>
      <c r="D29" s="79"/>
      <c r="E29" s="79"/>
      <c r="F29" s="82"/>
      <c r="G29" s="67">
        <v>24</v>
      </c>
      <c r="H29" s="79"/>
      <c r="I29" s="79"/>
      <c r="J29" s="79"/>
      <c r="K29" s="79"/>
      <c r="L29" s="79"/>
      <c r="M29" s="79"/>
      <c r="N29" s="79"/>
      <c r="O29" s="61"/>
    </row>
    <row r="30" spans="1:19" x14ac:dyDescent="0.35">
      <c r="B30" s="289"/>
      <c r="G30" s="21"/>
      <c r="H30" s="289"/>
      <c r="I30" s="45"/>
      <c r="J30" s="61"/>
      <c r="M30" s="289"/>
      <c r="N30" s="289"/>
    </row>
    <row r="31" spans="1:19" ht="15" thickBot="1" x14ac:dyDescent="0.4">
      <c r="A31" s="442"/>
      <c r="B31" s="442"/>
      <c r="C31" s="442"/>
      <c r="D31" s="442"/>
      <c r="E31" s="442"/>
      <c r="F31" s="442"/>
      <c r="G31" s="443"/>
      <c r="H31" s="442"/>
      <c r="I31" s="444"/>
      <c r="J31" s="445"/>
      <c r="K31" s="442"/>
      <c r="L31" s="442"/>
      <c r="M31" s="442"/>
      <c r="N31" s="442"/>
      <c r="O31" s="442"/>
      <c r="P31" s="442"/>
    </row>
    <row r="32" spans="1:19" ht="15" thickBot="1" x14ac:dyDescent="0.4">
      <c r="J32" s="1260" t="s">
        <v>291</v>
      </c>
      <c r="K32" s="1261"/>
      <c r="L32" s="1261"/>
      <c r="M32" s="1261"/>
      <c r="N32" s="1262"/>
      <c r="O32" s="80" t="s">
        <v>560</v>
      </c>
      <c r="P32" s="80" t="s">
        <v>1785</v>
      </c>
      <c r="Q32" s="80" t="s">
        <v>1990</v>
      </c>
    </row>
    <row r="33" spans="9:17" ht="12.75" customHeight="1" thickBot="1" x14ac:dyDescent="0.4">
      <c r="J33" s="93" t="s">
        <v>314</v>
      </c>
      <c r="K33" s="93">
        <v>200</v>
      </c>
      <c r="L33" s="45"/>
      <c r="M33" s="45" t="s">
        <v>1494</v>
      </c>
      <c r="N33" s="45">
        <v>5</v>
      </c>
      <c r="O33" s="77" t="s">
        <v>558</v>
      </c>
      <c r="P33" s="445">
        <v>2019</v>
      </c>
      <c r="Q33" s="93">
        <v>2013</v>
      </c>
    </row>
    <row r="34" spans="9:17" ht="12.75" customHeight="1" x14ac:dyDescent="0.35">
      <c r="J34" s="77" t="s">
        <v>313</v>
      </c>
      <c r="K34" s="77">
        <v>2000</v>
      </c>
      <c r="L34" s="45"/>
      <c r="M34" s="45" t="s">
        <v>1495</v>
      </c>
      <c r="N34" s="45">
        <v>7</v>
      </c>
      <c r="O34" s="77" t="s">
        <v>559</v>
      </c>
      <c r="Q34" s="77">
        <v>2016</v>
      </c>
    </row>
    <row r="35" spans="9:17" ht="12.75" customHeight="1" thickBot="1" x14ac:dyDescent="0.4">
      <c r="J35" s="77" t="s">
        <v>288</v>
      </c>
      <c r="K35" s="76">
        <v>100</v>
      </c>
      <c r="L35" s="88"/>
      <c r="M35" s="45" t="s">
        <v>1983</v>
      </c>
      <c r="N35" s="45">
        <v>3</v>
      </c>
      <c r="O35" s="77"/>
      <c r="Q35" s="469">
        <v>2019</v>
      </c>
    </row>
    <row r="36" spans="9:17" ht="12.75" customHeight="1" x14ac:dyDescent="0.35">
      <c r="J36" s="77" t="s">
        <v>282</v>
      </c>
      <c r="K36" s="76">
        <v>98</v>
      </c>
      <c r="L36" s="88"/>
      <c r="M36" s="45" t="s">
        <v>1984</v>
      </c>
      <c r="N36" s="255">
        <v>0.06</v>
      </c>
      <c r="O36" s="77"/>
    </row>
    <row r="37" spans="9:17" ht="12.75" customHeight="1" x14ac:dyDescent="0.35">
      <c r="J37" s="77" t="s">
        <v>825</v>
      </c>
      <c r="K37" s="76">
        <f>calcTotNumHACopies+calcTotNumLagCopies</f>
        <v>4</v>
      </c>
      <c r="L37" s="88"/>
      <c r="M37" s="45" t="s">
        <v>1988</v>
      </c>
      <c r="N37" s="255">
        <v>0.25</v>
      </c>
      <c r="O37" s="77"/>
    </row>
    <row r="38" spans="9:17" ht="12.75" customHeight="1" x14ac:dyDescent="0.35">
      <c r="J38" s="221" t="s">
        <v>279</v>
      </c>
      <c r="K38" s="247" t="s">
        <v>30</v>
      </c>
      <c r="L38" s="254"/>
      <c r="M38" s="254" t="s">
        <v>2007</v>
      </c>
      <c r="N38" s="611">
        <v>2</v>
      </c>
      <c r="O38" s="77"/>
    </row>
    <row r="39" spans="9:17" ht="12.75" customHeight="1" x14ac:dyDescent="0.35">
      <c r="J39" s="271" t="s">
        <v>428</v>
      </c>
      <c r="K39" s="272" t="s">
        <v>429</v>
      </c>
      <c r="L39" s="170"/>
      <c r="M39" s="254" t="s">
        <v>2012</v>
      </c>
      <c r="N39" s="38">
        <v>3</v>
      </c>
      <c r="O39" s="77"/>
    </row>
    <row r="40" spans="9:17" ht="12.75" customHeight="1" x14ac:dyDescent="0.35">
      <c r="J40" s="77" t="s">
        <v>677</v>
      </c>
      <c r="K40" s="468">
        <v>0.5</v>
      </c>
      <c r="L40" s="255"/>
      <c r="M40" s="254" t="s">
        <v>2013</v>
      </c>
      <c r="N40" s="38">
        <v>3</v>
      </c>
      <c r="O40" s="77"/>
    </row>
    <row r="41" spans="9:17" ht="12.75" customHeight="1" x14ac:dyDescent="0.35">
      <c r="J41" s="77" t="s">
        <v>2049</v>
      </c>
      <c r="K41" s="662">
        <v>16</v>
      </c>
      <c r="L41" s="255"/>
      <c r="M41" s="254" t="s">
        <v>2085</v>
      </c>
      <c r="N41" s="38">
        <v>100000</v>
      </c>
      <c r="O41" s="77"/>
    </row>
    <row r="42" spans="9:17" ht="12.75" customHeight="1" x14ac:dyDescent="0.35">
      <c r="J42" s="77" t="s">
        <v>2000</v>
      </c>
      <c r="K42" s="77">
        <v>1</v>
      </c>
      <c r="L42" s="77"/>
      <c r="M42" s="77" t="s">
        <v>2008</v>
      </c>
      <c r="N42" s="76" t="s">
        <v>7</v>
      </c>
      <c r="O42" s="77"/>
    </row>
    <row r="43" spans="9:17" ht="13.5" customHeight="1" thickBot="1" x14ac:dyDescent="0.4">
      <c r="I43" s="45"/>
      <c r="J43" s="77" t="s">
        <v>2072</v>
      </c>
      <c r="K43" s="662">
        <v>4</v>
      </c>
      <c r="L43" s="468"/>
      <c r="M43" s="468" t="s">
        <v>2084</v>
      </c>
      <c r="N43" s="1003" t="s">
        <v>8</v>
      </c>
      <c r="O43" s="79"/>
    </row>
    <row r="44" spans="9:17" ht="15" thickBot="1" x14ac:dyDescent="0.4">
      <c r="I44" s="45"/>
      <c r="J44" s="469" t="s">
        <v>2156</v>
      </c>
      <c r="K44" s="469">
        <v>2000</v>
      </c>
      <c r="L44" s="469"/>
      <c r="M44" s="469"/>
      <c r="N44" s="469"/>
    </row>
    <row r="45" spans="9:17" ht="15" thickBot="1" x14ac:dyDescent="0.4">
      <c r="J45" s="445"/>
    </row>
    <row r="46" spans="9:17" x14ac:dyDescent="0.35">
      <c r="J46" s="93" t="s">
        <v>1168</v>
      </c>
      <c r="K46" s="87" t="s">
        <v>1171</v>
      </c>
    </row>
    <row r="47" spans="9:17" ht="15" thickBot="1" x14ac:dyDescent="0.4">
      <c r="J47" s="469" t="s">
        <v>1169</v>
      </c>
      <c r="K47" s="658" t="s">
        <v>1170</v>
      </c>
    </row>
    <row r="48" spans="9:17" ht="15" thickBot="1" x14ac:dyDescent="0.4">
      <c r="J48" s="469" t="s">
        <v>1310</v>
      </c>
      <c r="K48" s="658">
        <v>0</v>
      </c>
    </row>
    <row r="49" spans="1:12" ht="15" thickBot="1" x14ac:dyDescent="0.4">
      <c r="J49" s="108" t="s">
        <v>1202</v>
      </c>
      <c r="K49" s="659" t="s">
        <v>7</v>
      </c>
    </row>
    <row r="50" spans="1:12" ht="15" thickBot="1" x14ac:dyDescent="0.4">
      <c r="J50" s="108" t="s">
        <v>1256</v>
      </c>
      <c r="K50" s="660" t="s">
        <v>8</v>
      </c>
    </row>
    <row r="51" spans="1:12" ht="15" thickBot="1" x14ac:dyDescent="0.4">
      <c r="J51" s="108" t="s">
        <v>1203</v>
      </c>
      <c r="K51" s="660" t="s">
        <v>8</v>
      </c>
    </row>
    <row r="52" spans="1:12" ht="15" thickBot="1" x14ac:dyDescent="0.4">
      <c r="J52" s="108" t="s">
        <v>1781</v>
      </c>
      <c r="K52" s="660">
        <f>IF(calcDiskLimitOverride="Yes",9999,400)</f>
        <v>9999</v>
      </c>
    </row>
    <row r="53" spans="1:12" ht="15" thickBot="1" x14ac:dyDescent="0.4">
      <c r="J53" s="108" t="s">
        <v>1221</v>
      </c>
      <c r="K53" s="660">
        <f>IF(calcDiskLimitOverride="Yes",9999,NumDisksPerServer)</f>
        <v>9999</v>
      </c>
    </row>
    <row r="54" spans="1:12" ht="15" thickBot="1" x14ac:dyDescent="0.4">
      <c r="J54" s="108" t="s">
        <v>1210</v>
      </c>
      <c r="K54" s="660">
        <v>8</v>
      </c>
    </row>
    <row r="55" spans="1:12" ht="15" thickBot="1" x14ac:dyDescent="0.4">
      <c r="J55" s="108" t="s">
        <v>2070</v>
      </c>
      <c r="K55" s="908">
        <v>300</v>
      </c>
    </row>
    <row r="56" spans="1:12" ht="15" thickBot="1" x14ac:dyDescent="0.4">
      <c r="J56" s="498" t="s">
        <v>1282</v>
      </c>
      <c r="K56" s="661">
        <v>0.5</v>
      </c>
    </row>
    <row r="57" spans="1:12" ht="15" thickBot="1" x14ac:dyDescent="0.4">
      <c r="J57" s="498" t="s">
        <v>2006</v>
      </c>
      <c r="K57" s="661" t="str">
        <f>INDEX(varServerArch,2)</f>
        <v>64-bit</v>
      </c>
      <c r="L57" s="2"/>
    </row>
    <row r="58" spans="1:12" ht="15" thickBot="1" x14ac:dyDescent="0.4">
      <c r="I58" s="45"/>
      <c r="J58" s="108" t="s">
        <v>1312</v>
      </c>
      <c r="K58" s="659">
        <f>ServerVersion</f>
        <v>2019</v>
      </c>
      <c r="L58" s="2"/>
    </row>
    <row r="59" spans="1:12" x14ac:dyDescent="0.35">
      <c r="I59" s="45"/>
      <c r="L59" s="2"/>
    </row>
    <row r="60" spans="1:12" x14ac:dyDescent="0.35">
      <c r="I60" s="45"/>
      <c r="L60" s="2"/>
    </row>
    <row r="61" spans="1:12" x14ac:dyDescent="0.35">
      <c r="A61" s="1270"/>
      <c r="B61" s="1270"/>
      <c r="C61" s="1270"/>
      <c r="D61" s="1270"/>
      <c r="E61" s="1270"/>
      <c r="F61" s="1270"/>
      <c r="G61" s="1270"/>
      <c r="H61" s="1270"/>
      <c r="I61" s="1271"/>
    </row>
    <row r="62" spans="1:12" ht="15" thickBot="1" x14ac:dyDescent="0.4">
      <c r="A62" s="1268"/>
      <c r="B62" s="1268"/>
      <c r="C62" s="1268"/>
      <c r="D62" s="1268"/>
      <c r="E62" s="1268"/>
      <c r="F62" s="1268"/>
      <c r="G62" s="1268"/>
      <c r="H62" s="1268"/>
      <c r="I62" s="1269"/>
    </row>
    <row r="63" spans="1:12" x14ac:dyDescent="0.35">
      <c r="A63" s="1264" t="s">
        <v>820</v>
      </c>
      <c r="B63" s="1265"/>
      <c r="C63" s="1265"/>
      <c r="D63" s="1265"/>
      <c r="E63" s="1265"/>
      <c r="F63" s="1265"/>
      <c r="G63" s="1265"/>
      <c r="H63" s="1265"/>
      <c r="I63" s="1266"/>
    </row>
    <row r="64" spans="1:12" ht="15" thickBot="1" x14ac:dyDescent="0.4">
      <c r="A64" s="445" t="s">
        <v>821</v>
      </c>
      <c r="B64" s="442" t="s">
        <v>822</v>
      </c>
      <c r="C64" s="442"/>
      <c r="D64" s="442"/>
      <c r="E64" s="442"/>
      <c r="F64" s="442"/>
      <c r="G64" s="442"/>
      <c r="H64" s="442"/>
      <c r="I64" s="444"/>
    </row>
    <row r="65" spans="1:2" ht="15" thickBot="1" x14ac:dyDescent="0.4"/>
    <row r="66" spans="1:2" x14ac:dyDescent="0.35">
      <c r="A66" s="581" t="s">
        <v>1932</v>
      </c>
      <c r="B66" s="283"/>
    </row>
    <row r="67" spans="1:2" x14ac:dyDescent="0.35">
      <c r="A67" s="61" t="s">
        <v>1922</v>
      </c>
      <c r="B67" s="582">
        <v>0.8</v>
      </c>
    </row>
    <row r="68" spans="1:2" x14ac:dyDescent="0.35">
      <c r="A68" s="61" t="s">
        <v>1977</v>
      </c>
      <c r="B68" s="45">
        <v>256</v>
      </c>
    </row>
    <row r="69" spans="1:2" x14ac:dyDescent="0.35">
      <c r="A69" s="61" t="s">
        <v>1975</v>
      </c>
      <c r="B69" s="45">
        <v>192</v>
      </c>
    </row>
    <row r="70" spans="1:2" x14ac:dyDescent="0.35">
      <c r="A70" s="61" t="s">
        <v>2001</v>
      </c>
      <c r="B70" s="45">
        <v>96</v>
      </c>
    </row>
    <row r="71" spans="1:2" x14ac:dyDescent="0.35">
      <c r="A71" s="61" t="s">
        <v>1926</v>
      </c>
      <c r="B71" s="45">
        <v>100</v>
      </c>
    </row>
    <row r="72" spans="1:2" ht="15" thickBot="1" x14ac:dyDescent="0.4">
      <c r="A72" s="445" t="s">
        <v>1931</v>
      </c>
      <c r="B72" s="444">
        <v>32</v>
      </c>
    </row>
    <row r="73" spans="1:2" ht="15" thickBot="1" x14ac:dyDescent="0.4"/>
    <row r="74" spans="1:2" x14ac:dyDescent="0.35">
      <c r="A74" s="563" t="s">
        <v>337</v>
      </c>
      <c r="B74" s="568">
        <v>1.2E-2</v>
      </c>
    </row>
    <row r="75" spans="1:2" x14ac:dyDescent="0.35">
      <c r="A75" s="271" t="s">
        <v>435</v>
      </c>
      <c r="B75" s="569">
        <v>0.03</v>
      </c>
    </row>
    <row r="76" spans="1:2" x14ac:dyDescent="0.35">
      <c r="A76" s="271" t="s">
        <v>2139</v>
      </c>
      <c r="B76" s="986">
        <v>0.1</v>
      </c>
    </row>
    <row r="77" spans="1:2" x14ac:dyDescent="0.35">
      <c r="A77" s="271" t="s">
        <v>2138</v>
      </c>
      <c r="B77" s="986">
        <v>0.15</v>
      </c>
    </row>
    <row r="78" spans="1:2" x14ac:dyDescent="0.35">
      <c r="A78" s="77" t="s">
        <v>2137</v>
      </c>
      <c r="B78" s="207">
        <v>0.2</v>
      </c>
    </row>
    <row r="79" spans="1:2" x14ac:dyDescent="0.35">
      <c r="A79" s="77" t="s">
        <v>2097</v>
      </c>
      <c r="B79" s="254">
        <v>0.1</v>
      </c>
    </row>
    <row r="80" spans="1:2" x14ac:dyDescent="0.35">
      <c r="A80" s="77" t="s">
        <v>1435</v>
      </c>
      <c r="B80" s="570">
        <v>0.375</v>
      </c>
    </row>
    <row r="81" spans="1:8" x14ac:dyDescent="0.35">
      <c r="A81" s="77" t="s">
        <v>1894</v>
      </c>
      <c r="B81" s="572">
        <f>IF(ServerVersion=2013,0.0425,0.0597)</f>
        <v>5.9700000000000003E-2</v>
      </c>
    </row>
    <row r="82" spans="1:8" x14ac:dyDescent="0.35">
      <c r="A82" s="77" t="s">
        <v>1895</v>
      </c>
      <c r="B82" s="45">
        <f>IF(ServerVersion=2013,0.0137,0.014)</f>
        <v>1.4E-2</v>
      </c>
    </row>
    <row r="83" spans="1:8" ht="15" thickBot="1" x14ac:dyDescent="0.4">
      <c r="A83" s="469" t="s">
        <v>1896</v>
      </c>
      <c r="B83" s="444">
        <f>IF(ServerVersion=E2034,0.67,0.67)</f>
        <v>0.67</v>
      </c>
    </row>
    <row r="84" spans="1:8" ht="15" thickBot="1" x14ac:dyDescent="0.4"/>
    <row r="85" spans="1:8" ht="15" thickBot="1" x14ac:dyDescent="0.4">
      <c r="A85" s="1267" t="s">
        <v>1830</v>
      </c>
      <c r="B85" s="1267"/>
      <c r="C85" s="1267"/>
      <c r="D85" s="1267"/>
      <c r="E85" s="1267"/>
      <c r="F85" s="1267"/>
      <c r="G85" s="1267"/>
      <c r="H85" s="1267"/>
    </row>
    <row r="86" spans="1:8" ht="15" thickBot="1" x14ac:dyDescent="0.4">
      <c r="A86" s="1267" t="s">
        <v>1831</v>
      </c>
      <c r="B86" s="1267"/>
      <c r="C86" s="1267" t="s">
        <v>1832</v>
      </c>
      <c r="D86" s="1267"/>
      <c r="E86" s="1267" t="s">
        <v>1833</v>
      </c>
      <c r="F86" s="1267"/>
      <c r="G86" s="1267" t="s">
        <v>1834</v>
      </c>
      <c r="H86" s="1267"/>
    </row>
    <row r="87" spans="1:8" x14ac:dyDescent="0.35">
      <c r="A87" s="563" t="s">
        <v>1837</v>
      </c>
      <c r="B87" s="561" t="s">
        <v>1860</v>
      </c>
      <c r="C87" s="563" t="s">
        <v>1835</v>
      </c>
      <c r="D87" s="561" t="s">
        <v>1858</v>
      </c>
      <c r="E87" s="563" t="s">
        <v>1835</v>
      </c>
      <c r="F87" s="562" t="s">
        <v>1858</v>
      </c>
      <c r="G87" s="563" t="s">
        <v>1865</v>
      </c>
      <c r="H87" s="283" t="s">
        <v>1858</v>
      </c>
    </row>
    <row r="88" spans="1:8" x14ac:dyDescent="0.35">
      <c r="A88" s="61" t="s">
        <v>1838</v>
      </c>
      <c r="B88" s="566" t="s">
        <v>1861</v>
      </c>
      <c r="C88" s="61" t="s">
        <v>1836</v>
      </c>
      <c r="D88" s="566" t="s">
        <v>1859</v>
      </c>
      <c r="E88" s="61" t="s">
        <v>1836</v>
      </c>
      <c r="F88" s="564" t="s">
        <v>1859</v>
      </c>
      <c r="G88" s="61" t="s">
        <v>1864</v>
      </c>
      <c r="H88" s="45" t="s">
        <v>1859</v>
      </c>
    </row>
    <row r="89" spans="1:8" x14ac:dyDescent="0.35">
      <c r="A89" s="61" t="s">
        <v>1863</v>
      </c>
      <c r="B89" s="566">
        <v>0</v>
      </c>
      <c r="C89" s="61" t="s">
        <v>1866</v>
      </c>
      <c r="D89" s="566" t="s">
        <v>1860</v>
      </c>
      <c r="E89" s="61" t="s">
        <v>1837</v>
      </c>
      <c r="F89" s="564" t="s">
        <v>1860</v>
      </c>
      <c r="G89" s="61" t="s">
        <v>1863</v>
      </c>
      <c r="H89" s="564">
        <v>0</v>
      </c>
    </row>
    <row r="90" spans="1:8" x14ac:dyDescent="0.35">
      <c r="A90" s="61" t="s">
        <v>1863</v>
      </c>
      <c r="B90" s="566">
        <v>0</v>
      </c>
      <c r="C90" s="61" t="s">
        <v>1838</v>
      </c>
      <c r="D90" s="566" t="s">
        <v>1861</v>
      </c>
      <c r="E90" s="61" t="s">
        <v>1838</v>
      </c>
      <c r="F90" s="564" t="s">
        <v>1861</v>
      </c>
      <c r="G90" s="61" t="s">
        <v>1863</v>
      </c>
      <c r="H90" s="564">
        <v>0</v>
      </c>
    </row>
    <row r="91" spans="1:8" x14ac:dyDescent="0.35">
      <c r="A91" s="61" t="s">
        <v>1863</v>
      </c>
      <c r="B91" s="566">
        <v>0</v>
      </c>
      <c r="C91" s="61" t="s">
        <v>1882</v>
      </c>
      <c r="D91" s="566" t="str">
        <f>DAG1Name</f>
        <v>DAG1</v>
      </c>
      <c r="E91" s="61" t="s">
        <v>1839</v>
      </c>
      <c r="F91" s="564" t="s">
        <v>1862</v>
      </c>
      <c r="G91" s="61" t="s">
        <v>1863</v>
      </c>
      <c r="H91" s="564">
        <v>0</v>
      </c>
    </row>
    <row r="92" spans="1:8" x14ac:dyDescent="0.35">
      <c r="A92" s="61" t="s">
        <v>1863</v>
      </c>
      <c r="B92" s="566">
        <v>0</v>
      </c>
      <c r="C92" s="61" t="s">
        <v>1883</v>
      </c>
      <c r="D92" s="566"/>
      <c r="E92" s="61" t="s">
        <v>1840</v>
      </c>
      <c r="F92" s="564" t="s">
        <v>7</v>
      </c>
      <c r="G92" s="61" t="s">
        <v>1863</v>
      </c>
      <c r="H92" s="564">
        <v>0</v>
      </c>
    </row>
    <row r="93" spans="1:8" ht="15" thickBot="1" x14ac:dyDescent="0.4">
      <c r="A93" s="445" t="s">
        <v>1863</v>
      </c>
      <c r="B93" s="567">
        <v>0</v>
      </c>
      <c r="C93" s="61" t="s">
        <v>1867</v>
      </c>
      <c r="D93" s="566" t="s">
        <v>1868</v>
      </c>
      <c r="E93" s="61" t="s">
        <v>1841</v>
      </c>
      <c r="F93" s="564" t="s">
        <v>7</v>
      </c>
      <c r="G93" s="445" t="s">
        <v>1863</v>
      </c>
      <c r="H93" s="565">
        <v>0</v>
      </c>
    </row>
    <row r="94" spans="1:8" x14ac:dyDescent="0.35">
      <c r="C94" s="61" t="s">
        <v>1869</v>
      </c>
      <c r="D94" s="566" t="s">
        <v>1870</v>
      </c>
      <c r="E94" s="61" t="s">
        <v>1842</v>
      </c>
      <c r="F94" s="564">
        <v>0</v>
      </c>
    </row>
    <row r="95" spans="1:8" x14ac:dyDescent="0.35">
      <c r="C95" s="61" t="s">
        <v>1871</v>
      </c>
      <c r="D95" s="566" t="s">
        <v>1872</v>
      </c>
      <c r="E95" s="61" t="s">
        <v>1843</v>
      </c>
      <c r="F95" s="564">
        <v>0</v>
      </c>
    </row>
    <row r="96" spans="1:8" x14ac:dyDescent="0.35">
      <c r="C96" s="61" t="s">
        <v>1873</v>
      </c>
      <c r="D96" s="566" t="s">
        <v>1874</v>
      </c>
      <c r="E96" s="61" t="s">
        <v>1844</v>
      </c>
      <c r="F96" s="564">
        <v>0</v>
      </c>
    </row>
    <row r="97" spans="3:6" x14ac:dyDescent="0.35">
      <c r="C97" s="61" t="s">
        <v>1875</v>
      </c>
      <c r="D97" s="566" t="s">
        <v>1876</v>
      </c>
      <c r="E97" s="61" t="s">
        <v>1845</v>
      </c>
      <c r="F97" s="564" t="s">
        <v>7</v>
      </c>
    </row>
    <row r="98" spans="3:6" x14ac:dyDescent="0.35">
      <c r="C98" s="61" t="s">
        <v>1877</v>
      </c>
      <c r="D98" s="566" t="b">
        <v>0</v>
      </c>
      <c r="E98" s="61" t="s">
        <v>1846</v>
      </c>
      <c r="F98" s="564" t="s">
        <v>7</v>
      </c>
    </row>
    <row r="99" spans="3:6" x14ac:dyDescent="0.35">
      <c r="C99" s="61" t="s">
        <v>1878</v>
      </c>
      <c r="D99" s="566" t="b">
        <v>1</v>
      </c>
      <c r="E99" s="61" t="s">
        <v>1847</v>
      </c>
      <c r="F99" s="564" t="s">
        <v>8</v>
      </c>
    </row>
    <row r="100" spans="3:6" x14ac:dyDescent="0.35">
      <c r="C100" s="61" t="s">
        <v>1879</v>
      </c>
      <c r="D100" s="566" t="s">
        <v>276</v>
      </c>
      <c r="E100" s="61" t="s">
        <v>1848</v>
      </c>
      <c r="F100" s="564" t="s">
        <v>8</v>
      </c>
    </row>
    <row r="101" spans="3:6" x14ac:dyDescent="0.35">
      <c r="C101" s="61" t="s">
        <v>1880</v>
      </c>
      <c r="D101" s="566" t="s">
        <v>276</v>
      </c>
      <c r="E101" s="61" t="s">
        <v>1849</v>
      </c>
      <c r="F101" s="564">
        <v>30</v>
      </c>
    </row>
    <row r="102" spans="3:6" x14ac:dyDescent="0.35">
      <c r="C102" s="61" t="s">
        <v>1881</v>
      </c>
      <c r="D102" s="566">
        <v>64327</v>
      </c>
      <c r="E102" s="61" t="s">
        <v>1850</v>
      </c>
      <c r="F102" s="564" t="s">
        <v>7</v>
      </c>
    </row>
    <row r="103" spans="3:6" x14ac:dyDescent="0.35">
      <c r="C103" s="61" t="s">
        <v>1863</v>
      </c>
      <c r="D103" s="566">
        <v>0</v>
      </c>
      <c r="E103" s="61" t="s">
        <v>1851</v>
      </c>
      <c r="F103" s="564">
        <v>7</v>
      </c>
    </row>
    <row r="104" spans="3:6" x14ac:dyDescent="0.35">
      <c r="C104" s="61" t="s">
        <v>1863</v>
      </c>
      <c r="D104" s="566">
        <v>0</v>
      </c>
      <c r="E104" s="61" t="s">
        <v>1852</v>
      </c>
      <c r="F104" s="564" t="b">
        <v>0</v>
      </c>
    </row>
    <row r="105" spans="3:6" x14ac:dyDescent="0.35">
      <c r="C105" s="61" t="s">
        <v>1863</v>
      </c>
      <c r="D105" s="566">
        <v>0</v>
      </c>
      <c r="E105" s="61" t="s">
        <v>1853</v>
      </c>
      <c r="F105" s="564" t="s">
        <v>1854</v>
      </c>
    </row>
    <row r="106" spans="3:6" x14ac:dyDescent="0.35">
      <c r="C106" s="61" t="s">
        <v>1863</v>
      </c>
      <c r="D106" s="566">
        <v>0</v>
      </c>
      <c r="E106" s="61" t="s">
        <v>1855</v>
      </c>
      <c r="F106" s="564" t="b">
        <v>1</v>
      </c>
    </row>
    <row r="107" spans="3:6" ht="15" thickBot="1" x14ac:dyDescent="0.4">
      <c r="C107" s="445" t="s">
        <v>1863</v>
      </c>
      <c r="D107" s="567">
        <v>0</v>
      </c>
      <c r="E107" s="61" t="s">
        <v>1856</v>
      </c>
      <c r="F107" s="564">
        <v>20</v>
      </c>
    </row>
    <row r="108" spans="3:6" x14ac:dyDescent="0.35">
      <c r="E108" s="61" t="s">
        <v>1857</v>
      </c>
      <c r="F108" s="564">
        <v>30</v>
      </c>
    </row>
    <row r="109" spans="3:6" x14ac:dyDescent="0.35">
      <c r="E109" s="61" t="s">
        <v>1863</v>
      </c>
      <c r="F109" s="564">
        <v>0</v>
      </c>
    </row>
    <row r="110" spans="3:6" x14ac:dyDescent="0.35">
      <c r="E110" s="61" t="s">
        <v>1863</v>
      </c>
      <c r="F110" s="564">
        <v>0</v>
      </c>
    </row>
    <row r="111" spans="3:6" x14ac:dyDescent="0.35">
      <c r="E111" s="61" t="s">
        <v>1863</v>
      </c>
      <c r="F111" s="564">
        <v>0</v>
      </c>
    </row>
    <row r="112" spans="3:6" x14ac:dyDescent="0.35">
      <c r="E112" s="61" t="s">
        <v>1863</v>
      </c>
      <c r="F112" s="564">
        <v>0</v>
      </c>
    </row>
    <row r="113" spans="5:6" ht="15" thickBot="1" x14ac:dyDescent="0.4">
      <c r="E113" s="445" t="s">
        <v>1863</v>
      </c>
      <c r="F113" s="565">
        <v>0</v>
      </c>
    </row>
  </sheetData>
  <sortState xmlns:xlrd2="http://schemas.microsoft.com/office/spreadsheetml/2017/richdata2" ref="O6">
    <sortCondition ref="O6"/>
  </sortState>
  <dataConsolidate/>
  <mergeCells count="10">
    <mergeCell ref="J32:N32"/>
    <mergeCell ref="A1:F1"/>
    <mergeCell ref="A63:I63"/>
    <mergeCell ref="A86:B86"/>
    <mergeCell ref="C86:D86"/>
    <mergeCell ref="E86:F86"/>
    <mergeCell ref="G86:H86"/>
    <mergeCell ref="A85:H85"/>
    <mergeCell ref="A62:I62"/>
    <mergeCell ref="A61:I61"/>
  </mergeCells>
  <phoneticPr fontId="24" type="noConversion"/>
  <conditionalFormatting sqref="C8">
    <cfRule type="expression" dxfId="21" priority="1" stopIfTrue="1">
      <formula>IF(OR(ValidationCheck,FailureDomainCheck),1,0)</formula>
    </cfRule>
  </conditionalFormatting>
  <dataValidations count="3">
    <dataValidation type="list" allowBlank="1" showInputMessage="1" showErrorMessage="1" sqref="K39" xr:uid="{00000000-0002-0000-0C00-000000000000}">
      <formula1>"Y,N"</formula1>
    </dataValidation>
    <dataValidation type="list" allowBlank="1" showInputMessage="1" showErrorMessage="1" sqref="K38 L39" xr:uid="{00000000-0002-0000-0C00-000001000000}">
      <formula1>varEnabledQuestion</formula1>
    </dataValidation>
    <dataValidation type="list" allowBlank="1" showInputMessage="1" showErrorMessage="1" sqref="N42" xr:uid="{B34ABFE4-2E33-48C9-BFDF-B18F63B6F96E}">
      <formula1>"varYNQuestion"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J590"/>
  <sheetViews>
    <sheetView showGridLines="0" topLeftCell="A559" zoomScale="85" zoomScaleNormal="85" workbookViewId="0">
      <selection activeCell="A590" sqref="A590"/>
    </sheetView>
  </sheetViews>
  <sheetFormatPr defaultColWidth="9" defaultRowHeight="14.5" x14ac:dyDescent="0.35"/>
  <cols>
    <col min="1" max="1" width="36.59765625" style="38" bestFit="1" customWidth="1"/>
    <col min="2" max="2" width="44.09765625" style="38" customWidth="1"/>
    <col min="3" max="4" width="40.59765625" style="38" bestFit="1" customWidth="1"/>
    <col min="5" max="5" width="32.3984375" style="38" bestFit="1" customWidth="1"/>
    <col min="6" max="6" width="25" style="38" bestFit="1" customWidth="1"/>
    <col min="7" max="7" width="27.59765625" style="38" bestFit="1" customWidth="1"/>
    <col min="8" max="16384" width="9" style="38"/>
  </cols>
  <sheetData>
    <row r="1" spans="1:7" x14ac:dyDescent="0.35">
      <c r="A1" s="1272" t="s">
        <v>264</v>
      </c>
      <c r="B1" s="1272"/>
      <c r="C1" s="1272"/>
      <c r="D1" s="286"/>
      <c r="E1" s="40"/>
      <c r="F1" s="57"/>
    </row>
    <row r="2" spans="1:7" ht="15" thickBot="1" x14ac:dyDescent="0.4">
      <c r="A2" s="83"/>
      <c r="B2" s="83"/>
      <c r="C2" s="82"/>
      <c r="D2" s="83"/>
      <c r="E2" s="40"/>
      <c r="F2" s="57"/>
    </row>
    <row r="3" spans="1:7" ht="15" thickBot="1" x14ac:dyDescent="0.4">
      <c r="A3" s="84" t="s">
        <v>564</v>
      </c>
      <c r="B3" s="85" t="s">
        <v>63</v>
      </c>
      <c r="C3" s="84" t="s">
        <v>37</v>
      </c>
      <c r="D3" s="86" t="s">
        <v>338</v>
      </c>
      <c r="E3" s="86" t="s">
        <v>441</v>
      </c>
      <c r="F3" s="86" t="s">
        <v>442</v>
      </c>
    </row>
    <row r="4" spans="1:7" x14ac:dyDescent="0.35">
      <c r="A4" s="77" t="s">
        <v>566</v>
      </c>
      <c r="B4" s="87">
        <v>3</v>
      </c>
      <c r="C4" s="77">
        <v>50</v>
      </c>
      <c r="D4" s="1">
        <v>10</v>
      </c>
      <c r="E4" s="1">
        <v>2.1</v>
      </c>
      <c r="F4" s="1">
        <v>0.7</v>
      </c>
      <c r="G4" s="253"/>
    </row>
    <row r="5" spans="1:7" x14ac:dyDescent="0.35">
      <c r="A5" s="77" t="s">
        <v>567</v>
      </c>
      <c r="B5" s="88">
        <v>6</v>
      </c>
      <c r="C5" s="77">
        <v>100</v>
      </c>
      <c r="D5" s="1">
        <v>20</v>
      </c>
      <c r="E5" s="1">
        <v>4.3</v>
      </c>
      <c r="F5" s="1">
        <v>1.4</v>
      </c>
      <c r="G5" s="253"/>
    </row>
    <row r="6" spans="1:7" x14ac:dyDescent="0.35">
      <c r="A6" s="77" t="s">
        <v>568</v>
      </c>
      <c r="B6" s="88">
        <v>9</v>
      </c>
      <c r="C6" s="77">
        <v>150</v>
      </c>
      <c r="D6" s="1">
        <v>30</v>
      </c>
      <c r="E6" s="1">
        <v>6.4</v>
      </c>
      <c r="F6" s="1">
        <v>2.1</v>
      </c>
      <c r="G6" s="253"/>
    </row>
    <row r="7" spans="1:7" x14ac:dyDescent="0.35">
      <c r="A7" s="77" t="s">
        <v>569</v>
      </c>
      <c r="B7" s="88">
        <v>12</v>
      </c>
      <c r="C7" s="77">
        <v>200</v>
      </c>
      <c r="D7" s="1">
        <v>40</v>
      </c>
      <c r="E7" s="1">
        <v>8.5</v>
      </c>
      <c r="F7" s="1">
        <v>2.7</v>
      </c>
      <c r="G7" s="253"/>
    </row>
    <row r="8" spans="1:7" x14ac:dyDescent="0.35">
      <c r="A8" s="77" t="s">
        <v>570</v>
      </c>
      <c r="B8" s="76">
        <v>15</v>
      </c>
      <c r="C8" s="77">
        <v>250</v>
      </c>
      <c r="D8" s="210">
        <v>50</v>
      </c>
      <c r="E8" s="210">
        <v>10.6</v>
      </c>
      <c r="F8" s="210">
        <v>3.4</v>
      </c>
      <c r="G8" s="253"/>
    </row>
    <row r="9" spans="1:7" x14ac:dyDescent="0.35">
      <c r="A9" s="77" t="s">
        <v>571</v>
      </c>
      <c r="B9" s="76">
        <v>18</v>
      </c>
      <c r="C9" s="77">
        <v>300</v>
      </c>
      <c r="D9" s="1">
        <v>60</v>
      </c>
      <c r="E9" s="1">
        <v>12.8</v>
      </c>
      <c r="F9" s="1">
        <v>4.0999999999999996</v>
      </c>
      <c r="G9" s="253"/>
    </row>
    <row r="10" spans="1:7" x14ac:dyDescent="0.35">
      <c r="A10" s="77" t="s">
        <v>572</v>
      </c>
      <c r="B10" s="76">
        <v>21</v>
      </c>
      <c r="C10" s="77">
        <v>350</v>
      </c>
      <c r="D10" s="1">
        <v>70</v>
      </c>
      <c r="E10" s="1">
        <v>14.9</v>
      </c>
      <c r="F10" s="1">
        <v>4.8</v>
      </c>
      <c r="G10" s="253"/>
    </row>
    <row r="11" spans="1:7" x14ac:dyDescent="0.35">
      <c r="A11" s="77" t="s">
        <v>573</v>
      </c>
      <c r="B11" s="76">
        <v>24</v>
      </c>
      <c r="C11" s="77">
        <v>400</v>
      </c>
      <c r="D11" s="1">
        <v>80</v>
      </c>
      <c r="E11" s="1">
        <v>17</v>
      </c>
      <c r="F11" s="1">
        <v>5.5</v>
      </c>
      <c r="G11" s="253"/>
    </row>
    <row r="12" spans="1:7" x14ac:dyDescent="0.35">
      <c r="A12" s="77" t="s">
        <v>574</v>
      </c>
      <c r="B12" s="76">
        <v>27</v>
      </c>
      <c r="C12" s="77">
        <v>450</v>
      </c>
      <c r="D12" s="1">
        <v>90</v>
      </c>
      <c r="E12" s="1">
        <v>19.100000000000001</v>
      </c>
      <c r="F12" s="1">
        <v>6.2</v>
      </c>
      <c r="G12" s="253"/>
    </row>
    <row r="13" spans="1:7" ht="15" thickBot="1" x14ac:dyDescent="0.4">
      <c r="A13" s="79" t="s">
        <v>575</v>
      </c>
      <c r="B13" s="110">
        <v>30</v>
      </c>
      <c r="C13" s="79">
        <v>500</v>
      </c>
      <c r="D13" s="211">
        <v>100</v>
      </c>
      <c r="E13" s="211">
        <v>21.3</v>
      </c>
      <c r="F13" s="211">
        <v>6.9</v>
      </c>
      <c r="G13" s="253"/>
    </row>
    <row r="14" spans="1:7" ht="15" thickBot="1" x14ac:dyDescent="0.4">
      <c r="A14" s="219"/>
      <c r="B14" s="91"/>
      <c r="C14" s="40"/>
      <c r="D14" s="288"/>
      <c r="E14" s="40"/>
      <c r="F14" s="57"/>
    </row>
    <row r="15" spans="1:7" ht="15" thickBot="1" x14ac:dyDescent="0.4">
      <c r="A15" s="212" t="s">
        <v>289</v>
      </c>
      <c r="B15" s="218" t="s">
        <v>345</v>
      </c>
      <c r="C15" s="213" t="s">
        <v>346</v>
      </c>
      <c r="D15" s="225"/>
      <c r="E15" s="40"/>
      <c r="F15" s="57"/>
    </row>
    <row r="16" spans="1:7" x14ac:dyDescent="0.35">
      <c r="A16" s="1">
        <v>1</v>
      </c>
      <c r="B16" s="217" t="s">
        <v>350</v>
      </c>
      <c r="C16" s="214">
        <v>64</v>
      </c>
      <c r="D16" s="225"/>
      <c r="E16" s="40"/>
      <c r="F16" s="57"/>
    </row>
    <row r="17" spans="1:9" x14ac:dyDescent="0.35">
      <c r="A17" s="1">
        <v>11</v>
      </c>
      <c r="B17" s="217" t="s">
        <v>351</v>
      </c>
      <c r="C17" s="210">
        <v>80</v>
      </c>
      <c r="D17" s="225"/>
      <c r="E17" s="40"/>
      <c r="F17" s="57"/>
    </row>
    <row r="18" spans="1:9" x14ac:dyDescent="0.35">
      <c r="A18" s="1">
        <v>21</v>
      </c>
      <c r="B18" s="216" t="s">
        <v>347</v>
      </c>
      <c r="C18" s="210">
        <v>96</v>
      </c>
      <c r="D18" s="225"/>
      <c r="E18" s="40"/>
      <c r="F18" s="57"/>
    </row>
    <row r="19" spans="1:9" x14ac:dyDescent="0.35">
      <c r="A19" s="1">
        <v>31</v>
      </c>
      <c r="B19" s="216" t="s">
        <v>348</v>
      </c>
      <c r="C19" s="210">
        <v>112</v>
      </c>
      <c r="D19" s="225"/>
      <c r="E19" s="40"/>
      <c r="F19" s="57"/>
    </row>
    <row r="20" spans="1:9" x14ac:dyDescent="0.35">
      <c r="A20" s="1">
        <v>41</v>
      </c>
      <c r="B20" s="216" t="s">
        <v>349</v>
      </c>
      <c r="C20" s="210">
        <v>128</v>
      </c>
      <c r="D20" s="225"/>
      <c r="E20" s="40"/>
      <c r="F20" s="57"/>
    </row>
    <row r="21" spans="1:9" x14ac:dyDescent="0.35">
      <c r="A21" s="1">
        <v>51</v>
      </c>
      <c r="B21" s="216" t="s">
        <v>1993</v>
      </c>
      <c r="C21" s="210">
        <v>144</v>
      </c>
      <c r="D21" s="225"/>
      <c r="E21" s="40"/>
      <c r="F21" s="57"/>
    </row>
    <row r="22" spans="1:9" x14ac:dyDescent="0.35">
      <c r="A22" s="1">
        <v>61</v>
      </c>
      <c r="B22" s="216" t="s">
        <v>1994</v>
      </c>
      <c r="C22" s="210">
        <v>160</v>
      </c>
      <c r="D22" s="225"/>
      <c r="E22" s="40"/>
      <c r="F22" s="57"/>
    </row>
    <row r="23" spans="1:9" x14ac:dyDescent="0.35">
      <c r="A23" s="1">
        <v>71</v>
      </c>
      <c r="B23" s="216" t="s">
        <v>1995</v>
      </c>
      <c r="C23" s="210">
        <v>176</v>
      </c>
      <c r="D23" s="225"/>
      <c r="E23" s="40"/>
      <c r="F23" s="57"/>
    </row>
    <row r="24" spans="1:9" x14ac:dyDescent="0.35">
      <c r="A24" s="1">
        <v>81</v>
      </c>
      <c r="B24" s="216" t="s">
        <v>1996</v>
      </c>
      <c r="C24" s="210">
        <v>192</v>
      </c>
      <c r="D24" s="225"/>
      <c r="E24" s="40"/>
      <c r="F24" s="57"/>
    </row>
    <row r="25" spans="1:9" x14ac:dyDescent="0.35">
      <c r="A25" s="1">
        <v>91</v>
      </c>
      <c r="B25" s="216" t="s">
        <v>2010</v>
      </c>
      <c r="C25" s="210">
        <v>208</v>
      </c>
      <c r="D25" s="225"/>
      <c r="E25" s="40"/>
      <c r="F25" s="57"/>
    </row>
    <row r="26" spans="1:9" x14ac:dyDescent="0.35">
      <c r="A26" s="1">
        <v>100</v>
      </c>
      <c r="B26" s="216">
        <v>100</v>
      </c>
      <c r="C26" s="210">
        <v>224</v>
      </c>
      <c r="D26" s="225"/>
      <c r="E26" s="40"/>
      <c r="F26" s="57"/>
    </row>
    <row r="27" spans="1:9" ht="15" thickBot="1" x14ac:dyDescent="0.4">
      <c r="A27" s="211"/>
      <c r="B27" s="220"/>
      <c r="C27" s="215"/>
      <c r="D27" s="225"/>
      <c r="E27" s="40"/>
      <c r="F27" s="57"/>
    </row>
    <row r="28" spans="1:9" x14ac:dyDescent="0.35">
      <c r="A28" s="225"/>
      <c r="B28" s="226"/>
      <c r="C28" s="225"/>
      <c r="D28" s="225"/>
      <c r="E28" s="40"/>
      <c r="F28" s="57"/>
    </row>
    <row r="29" spans="1:9" ht="15" thickBot="1" x14ac:dyDescent="0.4">
      <c r="A29" s="40"/>
      <c r="B29" s="91"/>
      <c r="C29" s="91"/>
      <c r="D29" s="40"/>
      <c r="E29" s="40"/>
      <c r="F29" s="57"/>
    </row>
    <row r="30" spans="1:9" ht="15" thickBot="1" x14ac:dyDescent="0.4">
      <c r="A30" s="84" t="s">
        <v>23</v>
      </c>
      <c r="B30" s="90" t="s">
        <v>25</v>
      </c>
      <c r="C30" s="91"/>
      <c r="E30" s="473"/>
      <c r="F30" s="471"/>
      <c r="I30" s="472"/>
    </row>
    <row r="31" spans="1:9" x14ac:dyDescent="0.35">
      <c r="A31" s="88" t="s">
        <v>20</v>
      </c>
      <c r="B31" s="45">
        <v>1</v>
      </c>
      <c r="C31" s="91"/>
      <c r="E31" s="473"/>
      <c r="F31" s="471"/>
      <c r="I31" s="472"/>
    </row>
    <row r="32" spans="1:9" x14ac:dyDescent="0.35">
      <c r="A32" s="88" t="s">
        <v>21</v>
      </c>
      <c r="B32" s="95" t="s">
        <v>116</v>
      </c>
      <c r="C32" s="91"/>
      <c r="E32" s="473"/>
      <c r="F32" s="471"/>
      <c r="I32" s="472"/>
    </row>
    <row r="33" spans="1:9" x14ac:dyDescent="0.35">
      <c r="A33" s="88" t="s">
        <v>22</v>
      </c>
      <c r="B33" s="234" t="s">
        <v>116</v>
      </c>
      <c r="C33" s="91"/>
      <c r="E33" s="473"/>
      <c r="F33" s="471"/>
      <c r="I33" s="472"/>
    </row>
    <row r="34" spans="1:9" ht="15" thickBot="1" x14ac:dyDescent="0.4">
      <c r="A34" s="89" t="s">
        <v>358</v>
      </c>
      <c r="B34" s="96" t="s">
        <v>116</v>
      </c>
      <c r="C34" s="91"/>
      <c r="E34" s="473"/>
      <c r="F34" s="471"/>
      <c r="I34" s="472"/>
    </row>
    <row r="35" spans="1:9" x14ac:dyDescent="0.35">
      <c r="A35" s="97"/>
      <c r="B35" s="98"/>
      <c r="C35" s="91"/>
      <c r="E35" s="473"/>
      <c r="F35" s="471"/>
      <c r="I35" s="472"/>
    </row>
    <row r="36" spans="1:9" ht="15" thickBot="1" x14ac:dyDescent="0.4">
      <c r="A36" s="99"/>
      <c r="B36" s="73"/>
      <c r="C36" s="91"/>
      <c r="E36" s="473"/>
      <c r="F36" s="471"/>
      <c r="I36" s="472"/>
    </row>
    <row r="37" spans="1:9" ht="15" thickBot="1" x14ac:dyDescent="0.4">
      <c r="A37" s="84" t="s">
        <v>284</v>
      </c>
      <c r="B37" s="90" t="s">
        <v>67</v>
      </c>
      <c r="C37" s="91"/>
      <c r="E37" s="473"/>
      <c r="F37" s="471"/>
      <c r="I37" s="472"/>
    </row>
    <row r="38" spans="1:9" x14ac:dyDescent="0.35">
      <c r="A38" s="92">
        <v>1</v>
      </c>
      <c r="B38" s="87">
        <v>1</v>
      </c>
      <c r="C38" s="91"/>
      <c r="E38" s="473"/>
      <c r="F38" s="471"/>
      <c r="I38" s="472"/>
    </row>
    <row r="39" spans="1:9" x14ac:dyDescent="0.35">
      <c r="A39" s="88">
        <v>2</v>
      </c>
      <c r="B39" s="88">
        <v>1</v>
      </c>
      <c r="C39" s="91"/>
      <c r="E39" s="473"/>
      <c r="F39" s="471"/>
      <c r="I39" s="472"/>
    </row>
    <row r="40" spans="1:9" x14ac:dyDescent="0.35">
      <c r="A40" s="88">
        <v>3</v>
      </c>
      <c r="B40" s="88">
        <v>1</v>
      </c>
      <c r="C40" s="91"/>
      <c r="D40" s="40"/>
      <c r="E40" s="40"/>
      <c r="F40" s="57"/>
    </row>
    <row r="41" spans="1:9" x14ac:dyDescent="0.35">
      <c r="A41" s="88">
        <v>4</v>
      </c>
      <c r="B41" s="88">
        <v>1</v>
      </c>
      <c r="C41" s="91"/>
      <c r="D41" s="40"/>
      <c r="E41" s="40"/>
      <c r="F41" s="57"/>
    </row>
    <row r="42" spans="1:9" x14ac:dyDescent="0.35">
      <c r="A42" s="76">
        <v>5</v>
      </c>
      <c r="B42" s="76">
        <v>1</v>
      </c>
      <c r="C42" s="91"/>
      <c r="D42" s="40"/>
      <c r="E42" s="40"/>
      <c r="F42" s="57"/>
    </row>
    <row r="43" spans="1:9" x14ac:dyDescent="0.35">
      <c r="A43" s="76">
        <v>6</v>
      </c>
      <c r="B43" s="76">
        <v>1</v>
      </c>
      <c r="C43" s="91"/>
      <c r="D43" s="40"/>
      <c r="E43" s="40"/>
      <c r="F43" s="57"/>
    </row>
    <row r="44" spans="1:9" x14ac:dyDescent="0.35">
      <c r="A44" s="76">
        <v>7</v>
      </c>
      <c r="B44" s="45">
        <v>1</v>
      </c>
      <c r="C44" s="91"/>
      <c r="D44" s="40"/>
      <c r="E44" s="40"/>
      <c r="F44" s="57"/>
    </row>
    <row r="45" spans="1:9" x14ac:dyDescent="0.35">
      <c r="A45" s="76">
        <v>14</v>
      </c>
      <c r="B45" s="45">
        <v>2</v>
      </c>
      <c r="C45" s="91"/>
      <c r="D45" s="40"/>
      <c r="E45" s="40"/>
      <c r="F45" s="57"/>
    </row>
    <row r="46" spans="1:9" x14ac:dyDescent="0.35">
      <c r="A46" s="77">
        <v>21</v>
      </c>
      <c r="B46" s="45">
        <v>3</v>
      </c>
      <c r="C46" s="91"/>
      <c r="D46" s="40"/>
      <c r="E46" s="40"/>
      <c r="F46" s="57"/>
    </row>
    <row r="47" spans="1:9" x14ac:dyDescent="0.35">
      <c r="A47" s="77">
        <v>28</v>
      </c>
      <c r="B47" s="45">
        <v>4</v>
      </c>
      <c r="C47" s="91"/>
      <c r="D47" s="40"/>
      <c r="E47" s="40"/>
      <c r="F47" s="57"/>
    </row>
    <row r="48" spans="1:9" x14ac:dyDescent="0.35">
      <c r="A48" s="77">
        <v>35</v>
      </c>
      <c r="B48" s="45">
        <v>5</v>
      </c>
      <c r="C48" s="91"/>
      <c r="D48" s="40"/>
      <c r="E48" s="40"/>
      <c r="F48" s="57"/>
    </row>
    <row r="49" spans="1:6" x14ac:dyDescent="0.35">
      <c r="A49" s="77">
        <v>42</v>
      </c>
      <c r="B49" s="45">
        <v>6</v>
      </c>
      <c r="C49" s="91"/>
      <c r="D49" s="40"/>
      <c r="E49" s="40"/>
      <c r="F49" s="57"/>
    </row>
    <row r="50" spans="1:6" x14ac:dyDescent="0.35">
      <c r="A50" s="77">
        <v>49</v>
      </c>
      <c r="B50" s="45">
        <v>7</v>
      </c>
      <c r="C50" s="91"/>
      <c r="D50" s="40"/>
      <c r="E50" s="40"/>
      <c r="F50" s="57"/>
    </row>
    <row r="51" spans="1:6" x14ac:dyDescent="0.35">
      <c r="A51" s="77">
        <v>50</v>
      </c>
      <c r="B51" s="45">
        <v>7</v>
      </c>
      <c r="C51" s="91"/>
      <c r="D51" s="40"/>
      <c r="E51" s="40"/>
      <c r="F51" s="57"/>
    </row>
    <row r="52" spans="1:6" ht="15" thickBot="1" x14ac:dyDescent="0.4">
      <c r="A52" s="79">
        <v>100</v>
      </c>
      <c r="B52" s="81">
        <v>7</v>
      </c>
      <c r="C52" s="91"/>
      <c r="D52" s="40"/>
      <c r="E52" s="40"/>
      <c r="F52" s="57"/>
    </row>
    <row r="53" spans="1:6" x14ac:dyDescent="0.35">
      <c r="A53" s="40"/>
      <c r="B53" s="40"/>
      <c r="C53" s="91"/>
      <c r="D53" s="40"/>
      <c r="E53" s="40"/>
      <c r="F53" s="57"/>
    </row>
    <row r="54" spans="1:6" ht="15" thickBot="1" x14ac:dyDescent="0.4">
      <c r="A54" s="40"/>
      <c r="B54" s="91"/>
      <c r="C54" s="91"/>
      <c r="D54" s="40"/>
      <c r="E54" s="40"/>
      <c r="F54" s="57"/>
    </row>
    <row r="55" spans="1:6" ht="15" thickBot="1" x14ac:dyDescent="0.4">
      <c r="A55" s="101" t="s">
        <v>395</v>
      </c>
      <c r="B55" s="84" t="s">
        <v>117</v>
      </c>
      <c r="C55" s="91"/>
      <c r="D55" s="40"/>
      <c r="E55" s="40"/>
      <c r="F55" s="57"/>
    </row>
    <row r="56" spans="1:6" x14ac:dyDescent="0.35">
      <c r="A56" s="25">
        <v>1</v>
      </c>
      <c r="B56" s="69">
        <v>1</v>
      </c>
      <c r="C56" s="91"/>
      <c r="D56" s="40"/>
      <c r="E56" s="40"/>
      <c r="F56" s="57"/>
    </row>
    <row r="57" spans="1:6" x14ac:dyDescent="0.35">
      <c r="A57" s="25">
        <v>7</v>
      </c>
      <c r="B57" s="27">
        <v>1</v>
      </c>
      <c r="C57" s="91"/>
      <c r="D57" s="40"/>
      <c r="E57" s="40"/>
      <c r="F57" s="57"/>
    </row>
    <row r="58" spans="1:6" x14ac:dyDescent="0.35">
      <c r="A58" s="25">
        <v>8</v>
      </c>
      <c r="B58" s="27">
        <v>2</v>
      </c>
      <c r="C58" s="91"/>
      <c r="D58" s="40"/>
      <c r="E58" s="40"/>
      <c r="F58" s="57"/>
    </row>
    <row r="59" spans="1:6" x14ac:dyDescent="0.35">
      <c r="A59" s="25">
        <v>9</v>
      </c>
      <c r="B59" s="27">
        <v>3</v>
      </c>
      <c r="C59" s="91"/>
      <c r="D59" s="40"/>
      <c r="E59" s="40"/>
      <c r="F59" s="57"/>
    </row>
    <row r="60" spans="1:6" x14ac:dyDescent="0.35">
      <c r="A60" s="25">
        <v>10</v>
      </c>
      <c r="B60" s="27">
        <v>2</v>
      </c>
      <c r="C60" s="91"/>
      <c r="D60" s="40"/>
      <c r="E60" s="40"/>
      <c r="F60" s="57"/>
    </row>
    <row r="61" spans="1:6" x14ac:dyDescent="0.35">
      <c r="A61" s="25">
        <v>11</v>
      </c>
      <c r="B61" s="27">
        <v>3</v>
      </c>
      <c r="C61" s="91"/>
      <c r="D61" s="40"/>
      <c r="E61" s="40"/>
      <c r="F61" s="57"/>
    </row>
    <row r="62" spans="1:6" x14ac:dyDescent="0.35">
      <c r="A62" s="25">
        <v>12</v>
      </c>
      <c r="B62" s="27">
        <v>3</v>
      </c>
      <c r="C62" s="91"/>
      <c r="D62" s="40"/>
      <c r="E62" s="40"/>
      <c r="F62" s="57"/>
    </row>
    <row r="63" spans="1:6" x14ac:dyDescent="0.35">
      <c r="A63" s="25">
        <v>13</v>
      </c>
      <c r="B63" s="27">
        <v>3</v>
      </c>
      <c r="C63" s="91"/>
      <c r="D63" s="40"/>
      <c r="E63" s="40"/>
      <c r="F63" s="57"/>
    </row>
    <row r="64" spans="1:6" x14ac:dyDescent="0.35">
      <c r="A64" s="25">
        <v>14</v>
      </c>
      <c r="B64" s="27">
        <v>2</v>
      </c>
      <c r="C64" s="91"/>
      <c r="D64" s="40"/>
      <c r="E64" s="40"/>
      <c r="F64" s="57"/>
    </row>
    <row r="65" spans="1:6" x14ac:dyDescent="0.35">
      <c r="A65" s="25">
        <v>15</v>
      </c>
      <c r="B65" s="27">
        <v>3</v>
      </c>
      <c r="C65" s="91"/>
      <c r="D65" s="40"/>
      <c r="E65" s="40"/>
      <c r="F65" s="57"/>
    </row>
    <row r="66" spans="1:6" x14ac:dyDescent="0.35">
      <c r="A66" s="25">
        <v>16</v>
      </c>
      <c r="B66" s="27">
        <v>4</v>
      </c>
      <c r="C66" s="91"/>
      <c r="D66" s="40"/>
      <c r="E66" s="40"/>
      <c r="F66" s="57"/>
    </row>
    <row r="67" spans="1:6" x14ac:dyDescent="0.35">
      <c r="A67" s="25">
        <v>17</v>
      </c>
      <c r="B67" s="27">
        <v>4</v>
      </c>
      <c r="C67" s="91"/>
      <c r="D67" s="40"/>
      <c r="E67" s="40"/>
      <c r="F67" s="57"/>
    </row>
    <row r="68" spans="1:6" x14ac:dyDescent="0.35">
      <c r="A68" s="25">
        <v>18</v>
      </c>
      <c r="B68" s="27">
        <v>3</v>
      </c>
      <c r="C68" s="91"/>
      <c r="D68" s="40"/>
      <c r="E68" s="40"/>
      <c r="F68" s="57"/>
    </row>
    <row r="69" spans="1:6" x14ac:dyDescent="0.35">
      <c r="A69" s="25">
        <v>19</v>
      </c>
      <c r="B69" s="27">
        <v>3</v>
      </c>
      <c r="C69" s="91"/>
      <c r="D69" s="40"/>
      <c r="E69" s="40"/>
      <c r="F69" s="57"/>
    </row>
    <row r="70" spans="1:6" x14ac:dyDescent="0.35">
      <c r="A70" s="25">
        <v>20</v>
      </c>
      <c r="B70" s="27">
        <v>4</v>
      </c>
      <c r="C70" s="91"/>
      <c r="D70" s="40"/>
      <c r="E70" s="40"/>
      <c r="F70" s="57"/>
    </row>
    <row r="71" spans="1:6" x14ac:dyDescent="0.35">
      <c r="A71" s="25">
        <v>21</v>
      </c>
      <c r="B71" s="27">
        <v>3</v>
      </c>
      <c r="C71" s="91"/>
      <c r="D71" s="40"/>
      <c r="E71" s="40"/>
      <c r="F71" s="57"/>
    </row>
    <row r="72" spans="1:6" x14ac:dyDescent="0.35">
      <c r="A72" s="25">
        <v>22</v>
      </c>
      <c r="B72" s="27">
        <v>4</v>
      </c>
      <c r="C72" s="91"/>
      <c r="D72" s="40"/>
      <c r="E72" s="40"/>
      <c r="F72" s="57"/>
    </row>
    <row r="73" spans="1:6" x14ac:dyDescent="0.35">
      <c r="A73" s="25">
        <v>23</v>
      </c>
      <c r="B73" s="27">
        <v>4</v>
      </c>
      <c r="C73" s="91"/>
      <c r="D73" s="40"/>
      <c r="E73" s="40"/>
      <c r="F73" s="57"/>
    </row>
    <row r="74" spans="1:6" x14ac:dyDescent="0.35">
      <c r="A74" s="25">
        <v>24</v>
      </c>
      <c r="B74" s="27">
        <v>4</v>
      </c>
      <c r="C74" s="91"/>
      <c r="D74" s="40"/>
      <c r="E74" s="40"/>
      <c r="F74" s="57"/>
    </row>
    <row r="75" spans="1:6" x14ac:dyDescent="0.35">
      <c r="A75" s="25">
        <v>25</v>
      </c>
      <c r="B75" s="27">
        <v>5</v>
      </c>
      <c r="C75" s="91"/>
      <c r="D75" s="40"/>
      <c r="E75" s="40"/>
      <c r="F75" s="57"/>
    </row>
    <row r="76" spans="1:6" x14ac:dyDescent="0.35">
      <c r="A76" s="25">
        <v>26</v>
      </c>
      <c r="B76" s="27">
        <v>4</v>
      </c>
      <c r="C76" s="91"/>
      <c r="D76" s="40"/>
      <c r="E76" s="40"/>
      <c r="F76" s="57"/>
    </row>
    <row r="77" spans="1:6" x14ac:dyDescent="0.35">
      <c r="A77" s="25">
        <v>27</v>
      </c>
      <c r="B77" s="27">
        <v>4</v>
      </c>
      <c r="C77" s="91"/>
      <c r="D77" s="40"/>
      <c r="E77" s="40"/>
      <c r="F77" s="57"/>
    </row>
    <row r="78" spans="1:6" x14ac:dyDescent="0.35">
      <c r="A78" s="25">
        <v>28</v>
      </c>
      <c r="B78" s="27">
        <v>4</v>
      </c>
      <c r="C78" s="91"/>
      <c r="D78" s="40"/>
      <c r="E78" s="40"/>
      <c r="F78" s="57"/>
    </row>
    <row r="79" spans="1:6" x14ac:dyDescent="0.35">
      <c r="A79" s="25">
        <v>29</v>
      </c>
      <c r="B79" s="27">
        <v>5</v>
      </c>
      <c r="C79" s="91"/>
      <c r="D79" s="40"/>
      <c r="E79" s="40"/>
      <c r="F79" s="57"/>
    </row>
    <row r="80" spans="1:6" x14ac:dyDescent="0.35">
      <c r="A80" s="25">
        <v>35</v>
      </c>
      <c r="B80" s="27">
        <v>5</v>
      </c>
      <c r="C80" s="91"/>
      <c r="D80" s="40"/>
      <c r="E80" s="40"/>
      <c r="F80" s="57"/>
    </row>
    <row r="81" spans="1:6" x14ac:dyDescent="0.35">
      <c r="A81" s="25">
        <v>36</v>
      </c>
      <c r="B81" s="27">
        <v>6</v>
      </c>
      <c r="C81" s="91"/>
      <c r="D81" s="40"/>
      <c r="E81" s="40"/>
      <c r="F81" s="57"/>
    </row>
    <row r="82" spans="1:6" x14ac:dyDescent="0.35">
      <c r="A82" s="25">
        <v>42</v>
      </c>
      <c r="B82" s="27">
        <v>6</v>
      </c>
      <c r="C82" s="91"/>
      <c r="D82" s="40"/>
      <c r="E82" s="40"/>
      <c r="F82" s="57"/>
    </row>
    <row r="83" spans="1:6" x14ac:dyDescent="0.35">
      <c r="A83" s="25">
        <v>45</v>
      </c>
      <c r="B83" s="27">
        <v>9</v>
      </c>
      <c r="C83" s="91"/>
      <c r="D83" s="40"/>
      <c r="E83" s="40"/>
      <c r="F83" s="57"/>
    </row>
    <row r="84" spans="1:6" x14ac:dyDescent="0.35">
      <c r="A84" s="25">
        <v>48</v>
      </c>
      <c r="B84" s="27">
        <v>8</v>
      </c>
      <c r="C84" s="91"/>
      <c r="D84" s="40"/>
      <c r="E84" s="40"/>
      <c r="F84" s="57"/>
    </row>
    <row r="85" spans="1:6" x14ac:dyDescent="0.35">
      <c r="A85" s="27">
        <v>49</v>
      </c>
      <c r="B85" s="26">
        <v>7</v>
      </c>
      <c r="C85" s="91"/>
      <c r="D85" s="40"/>
      <c r="E85" s="40"/>
      <c r="F85" s="57"/>
    </row>
    <row r="86" spans="1:6" x14ac:dyDescent="0.35">
      <c r="A86" s="77">
        <v>50</v>
      </c>
      <c r="B86" s="45">
        <v>10</v>
      </c>
      <c r="C86" s="91"/>
      <c r="D86" s="40"/>
      <c r="E86" s="40"/>
      <c r="F86" s="57"/>
    </row>
    <row r="87" spans="1:6" x14ac:dyDescent="0.35">
      <c r="A87" s="77">
        <v>56</v>
      </c>
      <c r="B87" s="45">
        <v>8</v>
      </c>
      <c r="C87" s="91"/>
      <c r="D87" s="40"/>
      <c r="E87" s="40"/>
      <c r="F87" s="57"/>
    </row>
    <row r="88" spans="1:6" x14ac:dyDescent="0.35">
      <c r="A88" s="77">
        <v>60</v>
      </c>
      <c r="B88" s="45">
        <v>10</v>
      </c>
      <c r="C88" s="91"/>
      <c r="D88" s="40"/>
      <c r="E88" s="40"/>
      <c r="F88" s="57"/>
    </row>
    <row r="89" spans="1:6" x14ac:dyDescent="0.35">
      <c r="A89" s="77">
        <v>63</v>
      </c>
      <c r="B89" s="45">
        <v>9</v>
      </c>
      <c r="C89" s="91"/>
      <c r="D89" s="40"/>
      <c r="E89" s="40"/>
      <c r="F89" s="57"/>
    </row>
    <row r="90" spans="1:6" x14ac:dyDescent="0.35">
      <c r="A90" s="77">
        <v>66</v>
      </c>
      <c r="B90" s="45">
        <v>11</v>
      </c>
      <c r="C90" s="91"/>
      <c r="D90" s="40"/>
      <c r="E90" s="40"/>
      <c r="F90" s="57"/>
    </row>
    <row r="91" spans="1:6" x14ac:dyDescent="0.35">
      <c r="A91" s="77">
        <v>70</v>
      </c>
      <c r="B91" s="45">
        <v>10</v>
      </c>
      <c r="C91" s="91"/>
      <c r="D91" s="40"/>
      <c r="E91" s="40"/>
      <c r="F91" s="57"/>
    </row>
    <row r="92" spans="1:6" x14ac:dyDescent="0.35">
      <c r="A92" s="77">
        <v>72</v>
      </c>
      <c r="B92" s="45">
        <v>12</v>
      </c>
      <c r="C92" s="91"/>
      <c r="D92" s="40"/>
      <c r="E92" s="40"/>
      <c r="F92" s="57"/>
    </row>
    <row r="93" spans="1:6" x14ac:dyDescent="0.35">
      <c r="A93" s="77">
        <v>75</v>
      </c>
      <c r="B93" s="45">
        <v>15</v>
      </c>
      <c r="C93" s="91"/>
      <c r="D93" s="40"/>
      <c r="E93" s="40"/>
      <c r="F93" s="57"/>
    </row>
    <row r="94" spans="1:6" x14ac:dyDescent="0.35">
      <c r="A94" s="77">
        <v>77</v>
      </c>
      <c r="B94" s="45">
        <v>11</v>
      </c>
      <c r="C94" s="91"/>
      <c r="D94" s="40"/>
      <c r="E94" s="40"/>
      <c r="F94" s="57"/>
    </row>
    <row r="95" spans="1:6" x14ac:dyDescent="0.35">
      <c r="A95" s="77">
        <v>84</v>
      </c>
      <c r="B95" s="45">
        <v>12</v>
      </c>
      <c r="C95" s="91"/>
      <c r="D95" s="40"/>
      <c r="E95" s="40"/>
      <c r="F95" s="57"/>
    </row>
    <row r="96" spans="1:6" x14ac:dyDescent="0.35">
      <c r="A96" s="77">
        <v>91</v>
      </c>
      <c r="B96" s="45">
        <v>13</v>
      </c>
      <c r="C96" s="91"/>
      <c r="D96" s="40"/>
      <c r="E96" s="40"/>
      <c r="F96" s="57"/>
    </row>
    <row r="97" spans="1:6" ht="15" thickBot="1" x14ac:dyDescent="0.4">
      <c r="A97" s="79">
        <v>98</v>
      </c>
      <c r="B97" s="81">
        <v>14</v>
      </c>
      <c r="C97" s="91"/>
      <c r="D97" s="40"/>
      <c r="E97" s="40"/>
      <c r="F97" s="57"/>
    </row>
    <row r="98" spans="1:6" x14ac:dyDescent="0.35">
      <c r="A98" s="40"/>
      <c r="B98" s="40"/>
      <c r="C98" s="40"/>
      <c r="D98" s="40"/>
      <c r="E98" s="40"/>
      <c r="F98" s="57"/>
    </row>
    <row r="99" spans="1:6" ht="15" thickBot="1" x14ac:dyDescent="0.4">
      <c r="A99" s="40"/>
      <c r="B99" s="40"/>
      <c r="C99" s="40"/>
      <c r="D99" s="40"/>
      <c r="E99" s="40"/>
      <c r="F99" s="57"/>
    </row>
    <row r="100" spans="1:6" ht="15" thickBot="1" x14ac:dyDescent="0.4">
      <c r="A100" s="101" t="s">
        <v>151</v>
      </c>
      <c r="B100" s="84" t="s">
        <v>152</v>
      </c>
      <c r="C100" s="40"/>
      <c r="D100" s="40"/>
      <c r="E100" s="40"/>
      <c r="F100" s="57"/>
    </row>
    <row r="101" spans="1:6" x14ac:dyDescent="0.35">
      <c r="A101" s="103" t="s">
        <v>142</v>
      </c>
      <c r="B101" s="69">
        <v>64000</v>
      </c>
      <c r="C101" s="40"/>
      <c r="D101" s="40"/>
      <c r="E101" s="40"/>
      <c r="F101" s="57"/>
    </row>
    <row r="102" spans="1:6" x14ac:dyDescent="0.35">
      <c r="A102" s="25" t="s">
        <v>143</v>
      </c>
      <c r="B102" s="27">
        <v>128000</v>
      </c>
      <c r="C102" s="40"/>
      <c r="D102" s="40"/>
      <c r="E102" s="40"/>
      <c r="F102" s="57"/>
    </row>
    <row r="103" spans="1:6" x14ac:dyDescent="0.35">
      <c r="A103" s="25" t="s">
        <v>144</v>
      </c>
      <c r="B103" s="27">
        <v>192000</v>
      </c>
      <c r="C103" s="40"/>
      <c r="D103" s="40"/>
      <c r="E103" s="40"/>
      <c r="F103" s="57"/>
    </row>
    <row r="104" spans="1:6" x14ac:dyDescent="0.35">
      <c r="A104" s="25" t="s">
        <v>145</v>
      </c>
      <c r="B104" s="27">
        <v>256000</v>
      </c>
      <c r="C104" s="40"/>
      <c r="D104" s="40"/>
      <c r="E104" s="40"/>
      <c r="F104" s="57"/>
    </row>
    <row r="105" spans="1:6" x14ac:dyDescent="0.35">
      <c r="A105" s="25" t="s">
        <v>146</v>
      </c>
      <c r="B105" s="27">
        <v>384000</v>
      </c>
      <c r="C105" s="40"/>
      <c r="D105" s="40"/>
      <c r="E105" s="40"/>
      <c r="F105" s="57"/>
    </row>
    <row r="106" spans="1:6" x14ac:dyDescent="0.35">
      <c r="A106" s="25" t="s">
        <v>169</v>
      </c>
      <c r="B106" s="27">
        <v>768000</v>
      </c>
      <c r="C106" s="40"/>
      <c r="D106" s="40"/>
      <c r="E106" s="40"/>
      <c r="F106" s="57"/>
    </row>
    <row r="107" spans="1:6" x14ac:dyDescent="0.35">
      <c r="A107" s="25" t="s">
        <v>177</v>
      </c>
      <c r="B107" s="27">
        <v>1544000</v>
      </c>
      <c r="C107" s="40"/>
      <c r="D107" s="40"/>
      <c r="E107" s="40"/>
      <c r="F107" s="57"/>
    </row>
    <row r="108" spans="1:6" x14ac:dyDescent="0.35">
      <c r="A108" s="25" t="s">
        <v>178</v>
      </c>
      <c r="B108" s="27">
        <v>2048000</v>
      </c>
      <c r="C108" s="40"/>
      <c r="D108" s="40"/>
      <c r="E108" s="40"/>
      <c r="F108" s="57"/>
    </row>
    <row r="109" spans="1:6" x14ac:dyDescent="0.35">
      <c r="A109" s="25" t="s">
        <v>179</v>
      </c>
      <c r="B109" s="27">
        <v>6312000</v>
      </c>
      <c r="C109" s="40"/>
      <c r="D109" s="40"/>
      <c r="E109" s="40"/>
      <c r="F109" s="57"/>
    </row>
    <row r="110" spans="1:6" x14ac:dyDescent="0.35">
      <c r="A110" s="25" t="s">
        <v>180</v>
      </c>
      <c r="B110" s="27">
        <v>8448000</v>
      </c>
      <c r="C110" s="40"/>
      <c r="D110" s="40"/>
      <c r="E110" s="40"/>
      <c r="F110" s="57"/>
    </row>
    <row r="111" spans="1:6" x14ac:dyDescent="0.35">
      <c r="A111" s="25" t="s">
        <v>147</v>
      </c>
      <c r="B111" s="27">
        <v>10000000</v>
      </c>
      <c r="E111" s="40"/>
      <c r="F111" s="57"/>
    </row>
    <row r="112" spans="1:6" x14ac:dyDescent="0.35">
      <c r="A112" s="25" t="s">
        <v>157</v>
      </c>
      <c r="B112" s="27">
        <v>16000000</v>
      </c>
      <c r="C112" s="40"/>
      <c r="D112" s="40"/>
      <c r="E112" s="40"/>
      <c r="F112" s="57"/>
    </row>
    <row r="113" spans="1:6" x14ac:dyDescent="0.35">
      <c r="A113" s="25" t="s">
        <v>181</v>
      </c>
      <c r="B113" s="27">
        <v>34368000</v>
      </c>
      <c r="C113" s="40"/>
      <c r="D113" s="40"/>
      <c r="E113" s="40"/>
      <c r="F113" s="57"/>
    </row>
    <row r="114" spans="1:6" x14ac:dyDescent="0.35">
      <c r="A114" s="25" t="s">
        <v>182</v>
      </c>
      <c r="B114" s="27">
        <v>44736000</v>
      </c>
      <c r="C114" s="40"/>
      <c r="D114" s="40"/>
      <c r="E114" s="40"/>
      <c r="F114" s="57"/>
    </row>
    <row r="115" spans="1:6" x14ac:dyDescent="0.35">
      <c r="A115" s="25" t="s">
        <v>446</v>
      </c>
      <c r="B115" s="77">
        <v>50000000</v>
      </c>
      <c r="C115" s="40"/>
      <c r="D115" s="40"/>
      <c r="E115" s="40"/>
      <c r="F115" s="57"/>
    </row>
    <row r="116" spans="1:6" x14ac:dyDescent="0.35">
      <c r="A116" s="27" t="s">
        <v>183</v>
      </c>
      <c r="B116" s="45">
        <v>51840000</v>
      </c>
      <c r="C116" s="40"/>
      <c r="D116" s="40"/>
      <c r="E116" s="40"/>
      <c r="F116" s="57"/>
    </row>
    <row r="117" spans="1:6" x14ac:dyDescent="0.35">
      <c r="A117" s="27" t="s">
        <v>149</v>
      </c>
      <c r="B117" s="26">
        <v>100000000</v>
      </c>
      <c r="C117" s="40"/>
      <c r="D117" s="40"/>
      <c r="E117" s="40"/>
      <c r="F117" s="57"/>
    </row>
    <row r="118" spans="1:6" x14ac:dyDescent="0.35">
      <c r="A118" s="27" t="s">
        <v>447</v>
      </c>
      <c r="B118" s="26">
        <v>150000000</v>
      </c>
      <c r="C118" s="40"/>
      <c r="D118" s="40"/>
      <c r="E118" s="40"/>
      <c r="F118" s="57"/>
    </row>
    <row r="119" spans="1:6" x14ac:dyDescent="0.35">
      <c r="A119" s="27" t="s">
        <v>184</v>
      </c>
      <c r="B119" s="26">
        <v>155520000</v>
      </c>
      <c r="C119" s="40"/>
      <c r="D119" s="40"/>
      <c r="E119" s="40"/>
      <c r="F119" s="57"/>
    </row>
    <row r="120" spans="1:6" x14ac:dyDescent="0.35">
      <c r="A120" s="27" t="s">
        <v>448</v>
      </c>
      <c r="B120" s="26">
        <v>300000000</v>
      </c>
      <c r="C120" s="40"/>
      <c r="D120" s="40"/>
      <c r="E120" s="40"/>
      <c r="F120" s="57"/>
    </row>
    <row r="121" spans="1:6" x14ac:dyDescent="0.35">
      <c r="A121" s="27" t="s">
        <v>449</v>
      </c>
      <c r="B121" s="26">
        <v>450000000</v>
      </c>
      <c r="C121" s="40"/>
      <c r="D121" s="40"/>
      <c r="E121" s="40"/>
      <c r="F121" s="57"/>
    </row>
    <row r="122" spans="1:6" x14ac:dyDescent="0.35">
      <c r="A122" s="27" t="s">
        <v>450</v>
      </c>
      <c r="B122" s="26">
        <v>600000000</v>
      </c>
      <c r="C122" s="40"/>
      <c r="D122" s="40"/>
      <c r="E122" s="40"/>
      <c r="F122" s="57"/>
    </row>
    <row r="123" spans="1:6" x14ac:dyDescent="0.35">
      <c r="A123" s="26" t="s">
        <v>185</v>
      </c>
      <c r="B123" s="26">
        <v>622080000</v>
      </c>
      <c r="C123" s="40"/>
      <c r="D123" s="40"/>
      <c r="E123" s="40"/>
      <c r="F123" s="57"/>
    </row>
    <row r="124" spans="1:6" x14ac:dyDescent="0.35">
      <c r="A124" s="27" t="s">
        <v>150</v>
      </c>
      <c r="B124" s="27">
        <v>1000000000</v>
      </c>
      <c r="C124" s="40"/>
      <c r="D124" s="40"/>
      <c r="E124" s="40"/>
      <c r="F124" s="57"/>
    </row>
    <row r="125" spans="1:6" x14ac:dyDescent="0.35">
      <c r="A125" s="26" t="s">
        <v>187</v>
      </c>
      <c r="B125" s="26">
        <v>1243680000</v>
      </c>
      <c r="C125" s="40"/>
      <c r="D125" s="40"/>
      <c r="E125" s="40"/>
      <c r="F125" s="57"/>
    </row>
    <row r="126" spans="1:6" x14ac:dyDescent="0.35">
      <c r="A126" s="26" t="s">
        <v>186</v>
      </c>
      <c r="B126" s="45">
        <v>2488320000</v>
      </c>
      <c r="C126" s="40"/>
      <c r="D126" s="40"/>
      <c r="E126" s="40"/>
      <c r="F126" s="57"/>
    </row>
    <row r="127" spans="1:6" x14ac:dyDescent="0.35">
      <c r="A127" s="26" t="s">
        <v>188</v>
      </c>
      <c r="B127" s="45">
        <v>4976640000</v>
      </c>
      <c r="C127" s="40"/>
      <c r="D127" s="40"/>
      <c r="E127" s="40"/>
      <c r="F127" s="57"/>
    </row>
    <row r="128" spans="1:6" ht="15" thickBot="1" x14ac:dyDescent="0.4">
      <c r="A128" s="81" t="s">
        <v>163</v>
      </c>
      <c r="B128" s="81">
        <v>10000000000</v>
      </c>
      <c r="C128" s="40"/>
      <c r="D128" s="40"/>
      <c r="E128" s="40"/>
      <c r="F128" s="57"/>
    </row>
    <row r="129" spans="1:6" x14ac:dyDescent="0.35">
      <c r="A129" s="40"/>
      <c r="B129" s="40"/>
      <c r="C129" s="40"/>
      <c r="D129" s="40"/>
      <c r="E129" s="40"/>
      <c r="F129" s="57"/>
    </row>
    <row r="130" spans="1:6" ht="15" thickBot="1" x14ac:dyDescent="0.4">
      <c r="A130" s="40"/>
      <c r="B130" s="40"/>
      <c r="C130" s="40"/>
      <c r="D130" s="40"/>
      <c r="E130" s="40"/>
      <c r="F130" s="57"/>
    </row>
    <row r="131" spans="1:6" ht="15" thickBot="1" x14ac:dyDescent="0.4">
      <c r="A131" s="101" t="s">
        <v>175</v>
      </c>
      <c r="B131" s="84" t="s">
        <v>171</v>
      </c>
      <c r="C131" s="40"/>
      <c r="D131" s="40"/>
      <c r="E131" s="40"/>
      <c r="F131" s="57"/>
    </row>
    <row r="132" spans="1:6" x14ac:dyDescent="0.35">
      <c r="A132" s="104" t="e">
        <f>VLOOKUP(0,strTable,2,FALSE)</f>
        <v>#N/A</v>
      </c>
      <c r="B132" s="54" t="s">
        <v>156</v>
      </c>
      <c r="C132" s="40"/>
      <c r="D132" s="40"/>
      <c r="E132" s="40"/>
      <c r="F132" s="57"/>
    </row>
    <row r="133" spans="1:6" x14ac:dyDescent="0.35">
      <c r="A133" s="75">
        <v>0</v>
      </c>
      <c r="B133" s="74" t="s">
        <v>156</v>
      </c>
      <c r="C133" s="40"/>
      <c r="D133" s="40"/>
      <c r="E133" s="40"/>
      <c r="F133" s="57"/>
    </row>
    <row r="134" spans="1:6" x14ac:dyDescent="0.35">
      <c r="A134" s="75">
        <v>65535</v>
      </c>
      <c r="B134" s="74" t="s">
        <v>156</v>
      </c>
      <c r="C134" s="40"/>
      <c r="D134" s="40"/>
      <c r="E134" s="40"/>
      <c r="F134" s="57"/>
    </row>
    <row r="135" spans="1:6" x14ac:dyDescent="0.35">
      <c r="A135" s="75">
        <v>65536</v>
      </c>
      <c r="B135" s="74">
        <v>131070</v>
      </c>
      <c r="C135" s="40"/>
      <c r="D135" s="40"/>
      <c r="E135" s="40"/>
      <c r="F135" s="57"/>
    </row>
    <row r="136" spans="1:6" x14ac:dyDescent="0.35">
      <c r="A136" s="74">
        <v>131070</v>
      </c>
      <c r="B136" s="74">
        <v>131070</v>
      </c>
      <c r="C136" s="40"/>
      <c r="D136" s="40"/>
      <c r="E136" s="40"/>
      <c r="F136" s="57"/>
    </row>
    <row r="137" spans="1:6" x14ac:dyDescent="0.35">
      <c r="A137" s="74">
        <v>131071</v>
      </c>
      <c r="B137" s="74">
        <v>262140</v>
      </c>
      <c r="C137" s="40"/>
      <c r="D137" s="40"/>
      <c r="E137" s="40"/>
      <c r="F137" s="57"/>
    </row>
    <row r="138" spans="1:6" x14ac:dyDescent="0.35">
      <c r="A138" s="75">
        <v>262140</v>
      </c>
      <c r="B138" s="74">
        <v>262140</v>
      </c>
      <c r="C138" s="40"/>
      <c r="D138" s="40"/>
      <c r="E138" s="40"/>
      <c r="F138" s="57"/>
    </row>
    <row r="139" spans="1:6" x14ac:dyDescent="0.35">
      <c r="A139" s="75">
        <v>262141</v>
      </c>
      <c r="B139" s="74">
        <v>524280</v>
      </c>
      <c r="C139" s="40"/>
      <c r="D139" s="40"/>
      <c r="E139" s="40"/>
      <c r="F139" s="57"/>
    </row>
    <row r="140" spans="1:6" x14ac:dyDescent="0.35">
      <c r="A140" s="75">
        <v>524280</v>
      </c>
      <c r="B140" s="74">
        <v>524280</v>
      </c>
      <c r="C140" s="40"/>
      <c r="D140" s="40"/>
      <c r="E140" s="40"/>
      <c r="F140" s="57"/>
    </row>
    <row r="141" spans="1:6" x14ac:dyDescent="0.35">
      <c r="A141" s="75">
        <v>524281</v>
      </c>
      <c r="B141" s="74">
        <v>1048560</v>
      </c>
      <c r="C141" s="40"/>
      <c r="D141" s="40"/>
      <c r="E141" s="40"/>
      <c r="F141" s="57"/>
    </row>
    <row r="142" spans="1:6" x14ac:dyDescent="0.35">
      <c r="A142" s="75">
        <v>1048560</v>
      </c>
      <c r="B142" s="74">
        <v>1048560</v>
      </c>
      <c r="C142" s="40"/>
      <c r="D142" s="40"/>
      <c r="E142" s="40"/>
      <c r="F142" s="57"/>
    </row>
    <row r="143" spans="1:6" x14ac:dyDescent="0.35">
      <c r="A143" s="75">
        <v>1048561</v>
      </c>
      <c r="B143" s="74">
        <v>2097120</v>
      </c>
      <c r="C143" s="40"/>
      <c r="D143" s="40"/>
      <c r="E143" s="40"/>
      <c r="F143" s="57"/>
    </row>
    <row r="144" spans="1:6" x14ac:dyDescent="0.35">
      <c r="A144" s="75">
        <v>2097120</v>
      </c>
      <c r="B144" s="74">
        <v>2097120</v>
      </c>
      <c r="C144" s="40"/>
      <c r="D144" s="40"/>
      <c r="E144" s="40"/>
      <c r="F144" s="57"/>
    </row>
    <row r="145" spans="1:6" x14ac:dyDescent="0.35">
      <c r="A145" s="75">
        <v>2097121</v>
      </c>
      <c r="B145" s="74">
        <v>4194240</v>
      </c>
      <c r="C145" s="40"/>
      <c r="D145" s="40"/>
      <c r="E145" s="40"/>
      <c r="F145" s="57"/>
    </row>
    <row r="146" spans="1:6" x14ac:dyDescent="0.35">
      <c r="A146" s="74">
        <v>4194240</v>
      </c>
      <c r="B146" s="74">
        <v>4194240</v>
      </c>
      <c r="C146" s="40"/>
      <c r="D146" s="40"/>
      <c r="E146" s="40"/>
      <c r="F146" s="57"/>
    </row>
    <row r="147" spans="1:6" x14ac:dyDescent="0.35">
      <c r="A147" s="74">
        <v>4194241</v>
      </c>
      <c r="B147" s="74">
        <v>8388480</v>
      </c>
      <c r="C147" s="40"/>
      <c r="D147" s="40"/>
      <c r="E147" s="40"/>
      <c r="F147" s="57"/>
    </row>
    <row r="148" spans="1:6" x14ac:dyDescent="0.35">
      <c r="A148" s="74">
        <v>8388480</v>
      </c>
      <c r="B148" s="74">
        <v>8388480</v>
      </c>
      <c r="C148" s="40"/>
      <c r="D148" s="40"/>
      <c r="E148" s="40"/>
      <c r="F148" s="57"/>
    </row>
    <row r="149" spans="1:6" x14ac:dyDescent="0.35">
      <c r="A149" s="74">
        <v>8388481</v>
      </c>
      <c r="B149" s="74">
        <v>16776960</v>
      </c>
      <c r="C149" s="40"/>
      <c r="D149" s="40"/>
      <c r="E149" s="40"/>
      <c r="F149" s="57"/>
    </row>
    <row r="150" spans="1:6" x14ac:dyDescent="0.35">
      <c r="A150" s="74">
        <v>16776960</v>
      </c>
      <c r="B150" s="74">
        <v>16776960</v>
      </c>
      <c r="C150" s="40"/>
      <c r="D150" s="40"/>
      <c r="E150" s="40"/>
      <c r="F150" s="57"/>
    </row>
    <row r="151" spans="1:6" x14ac:dyDescent="0.35">
      <c r="A151" s="74">
        <v>16776961</v>
      </c>
      <c r="B151" s="74">
        <v>33553920</v>
      </c>
      <c r="C151" s="40"/>
      <c r="D151" s="40"/>
      <c r="E151" s="40"/>
      <c r="F151" s="57"/>
    </row>
    <row r="152" spans="1:6" x14ac:dyDescent="0.35">
      <c r="A152" s="74">
        <v>33553920</v>
      </c>
      <c r="B152" s="74">
        <v>33553920</v>
      </c>
      <c r="C152" s="40"/>
      <c r="D152" s="40"/>
      <c r="E152" s="40"/>
      <c r="F152" s="57"/>
    </row>
    <row r="153" spans="1:6" x14ac:dyDescent="0.35">
      <c r="A153" s="74">
        <v>33553921</v>
      </c>
      <c r="B153" s="74">
        <v>67107840</v>
      </c>
      <c r="C153" s="40"/>
      <c r="D153" s="40"/>
      <c r="E153" s="40"/>
      <c r="F153" s="57"/>
    </row>
    <row r="154" spans="1:6" x14ac:dyDescent="0.35">
      <c r="A154" s="74">
        <v>67107840</v>
      </c>
      <c r="B154" s="74">
        <v>67107840</v>
      </c>
      <c r="C154" s="40"/>
      <c r="D154" s="40"/>
      <c r="E154" s="40"/>
      <c r="F154" s="57"/>
    </row>
    <row r="155" spans="1:6" x14ac:dyDescent="0.35">
      <c r="A155" s="74">
        <v>67107841</v>
      </c>
      <c r="B155" s="74">
        <v>134215680</v>
      </c>
      <c r="C155" s="40"/>
      <c r="D155" s="40"/>
      <c r="E155" s="40"/>
      <c r="F155" s="57"/>
    </row>
    <row r="156" spans="1:6" x14ac:dyDescent="0.35">
      <c r="A156" s="74">
        <v>134215680</v>
      </c>
      <c r="B156" s="74">
        <v>134215680</v>
      </c>
      <c r="C156" s="40"/>
      <c r="D156" s="40"/>
      <c r="E156" s="40"/>
      <c r="F156" s="57"/>
    </row>
    <row r="157" spans="1:6" x14ac:dyDescent="0.35">
      <c r="A157" s="74">
        <v>134215681</v>
      </c>
      <c r="B157" s="74">
        <v>268431360</v>
      </c>
      <c r="C157" s="40"/>
      <c r="D157" s="40"/>
      <c r="E157" s="40"/>
      <c r="F157" s="57"/>
    </row>
    <row r="158" spans="1:6" x14ac:dyDescent="0.35">
      <c r="A158" s="74">
        <v>268431360</v>
      </c>
      <c r="B158" s="74">
        <v>268431360</v>
      </c>
      <c r="C158" s="40"/>
      <c r="D158" s="40"/>
      <c r="E158" s="40"/>
      <c r="F158" s="57"/>
    </row>
    <row r="159" spans="1:6" x14ac:dyDescent="0.35">
      <c r="A159" s="74">
        <v>268431361</v>
      </c>
      <c r="B159" s="74">
        <v>536862720</v>
      </c>
      <c r="C159" s="40"/>
      <c r="D159" s="40"/>
      <c r="E159" s="40"/>
      <c r="F159" s="57"/>
    </row>
    <row r="160" spans="1:6" x14ac:dyDescent="0.35">
      <c r="A160" s="74">
        <v>536862720</v>
      </c>
      <c r="B160" s="74">
        <v>536862720</v>
      </c>
      <c r="C160" s="40"/>
      <c r="D160" s="40"/>
      <c r="E160" s="40"/>
      <c r="F160" s="57"/>
    </row>
    <row r="161" spans="1:6" x14ac:dyDescent="0.35">
      <c r="A161" s="74">
        <v>536862721</v>
      </c>
      <c r="B161" s="74">
        <v>1073725440</v>
      </c>
      <c r="C161" s="40"/>
      <c r="D161" s="40"/>
      <c r="E161" s="40"/>
      <c r="F161" s="57"/>
    </row>
    <row r="162" spans="1:6" ht="15" thickBot="1" x14ac:dyDescent="0.4">
      <c r="A162" s="32">
        <v>1073725440</v>
      </c>
      <c r="B162" s="32">
        <v>1073725440</v>
      </c>
      <c r="C162" s="40"/>
      <c r="D162" s="40"/>
      <c r="E162" s="40"/>
      <c r="F162" s="57"/>
    </row>
    <row r="163" spans="1:6" ht="15" thickBot="1" x14ac:dyDescent="0.4">
      <c r="A163" s="37"/>
      <c r="B163" s="37"/>
      <c r="C163" s="40"/>
      <c r="D163" s="40"/>
      <c r="E163" s="40"/>
      <c r="F163" s="57"/>
    </row>
    <row r="164" spans="1:6" ht="15" thickBot="1" x14ac:dyDescent="0.4">
      <c r="A164" s="84" t="s">
        <v>1981</v>
      </c>
      <c r="B164" s="90" t="s">
        <v>1982</v>
      </c>
      <c r="C164" s="40"/>
      <c r="D164" s="40"/>
      <c r="E164" s="40"/>
      <c r="F164" s="57"/>
    </row>
    <row r="165" spans="1:6" x14ac:dyDescent="0.35">
      <c r="A165" s="597" t="s">
        <v>366</v>
      </c>
      <c r="B165" s="92">
        <v>1</v>
      </c>
      <c r="C165" s="40"/>
      <c r="D165" s="40"/>
      <c r="E165" s="40"/>
      <c r="F165" s="57"/>
    </row>
    <row r="166" spans="1:6" ht="15" thickBot="1" x14ac:dyDescent="0.4">
      <c r="A166" s="612" t="s">
        <v>368</v>
      </c>
      <c r="B166" s="613">
        <v>2</v>
      </c>
      <c r="C166" s="40"/>
      <c r="D166" s="40"/>
      <c r="E166" s="40"/>
      <c r="F166" s="57"/>
    </row>
    <row r="167" spans="1:6" ht="15" thickBot="1" x14ac:dyDescent="0.4">
      <c r="A167" s="40"/>
      <c r="B167" s="40"/>
      <c r="C167" s="40"/>
      <c r="D167" s="62"/>
      <c r="E167" s="40"/>
      <c r="F167" s="57"/>
    </row>
    <row r="168" spans="1:6" ht="15" thickBot="1" x14ac:dyDescent="0.4">
      <c r="A168" s="84" t="s">
        <v>60</v>
      </c>
      <c r="B168" s="90" t="s">
        <v>48</v>
      </c>
      <c r="C168" s="86" t="s">
        <v>49</v>
      </c>
      <c r="D168" s="105" t="s">
        <v>55</v>
      </c>
      <c r="E168" s="40"/>
      <c r="F168" s="57"/>
    </row>
    <row r="169" spans="1:6" x14ac:dyDescent="0.35">
      <c r="A169" s="92" t="s">
        <v>62</v>
      </c>
      <c r="B169" s="92">
        <v>1</v>
      </c>
      <c r="C169" s="92">
        <v>1</v>
      </c>
      <c r="D169" s="92">
        <v>2</v>
      </c>
      <c r="E169" s="40"/>
      <c r="F169" s="57"/>
    </row>
    <row r="170" spans="1:6" x14ac:dyDescent="0.35">
      <c r="A170" s="76" t="s">
        <v>59</v>
      </c>
      <c r="B170" s="77">
        <v>2</v>
      </c>
      <c r="C170" s="77">
        <v>2</v>
      </c>
      <c r="D170" s="77">
        <v>4</v>
      </c>
      <c r="E170" s="40"/>
      <c r="F170" s="57"/>
    </row>
    <row r="171" spans="1:6" x14ac:dyDescent="0.35">
      <c r="A171" s="76" t="s">
        <v>256</v>
      </c>
      <c r="B171" s="77">
        <v>3</v>
      </c>
      <c r="C171" s="77">
        <v>3</v>
      </c>
      <c r="D171" s="77">
        <v>6</v>
      </c>
      <c r="E171" s="40"/>
      <c r="F171" s="57"/>
    </row>
    <row r="172" spans="1:6" ht="15" thickBot="1" x14ac:dyDescent="0.4">
      <c r="A172" s="613" t="s">
        <v>58</v>
      </c>
      <c r="B172" s="469">
        <v>4</v>
      </c>
      <c r="C172" s="469">
        <v>4</v>
      </c>
      <c r="D172" s="469">
        <v>8</v>
      </c>
      <c r="E172" s="40"/>
      <c r="F172" s="57"/>
    </row>
    <row r="173" spans="1:6" x14ac:dyDescent="0.35">
      <c r="A173" s="106"/>
      <c r="B173" s="40"/>
      <c r="C173" s="98"/>
      <c r="D173" s="98"/>
      <c r="E173" s="40"/>
      <c r="F173" s="57"/>
    </row>
    <row r="174" spans="1:6" ht="15" thickBot="1" x14ac:dyDescent="0.4">
      <c r="A174" s="111"/>
      <c r="B174" s="40"/>
      <c r="C174" s="62"/>
      <c r="D174" s="62"/>
      <c r="E174" s="40"/>
      <c r="F174" s="57"/>
    </row>
    <row r="175" spans="1:6" ht="15" thickBot="1" x14ac:dyDescent="0.4">
      <c r="A175" s="84" t="s">
        <v>40</v>
      </c>
      <c r="B175" s="90" t="s">
        <v>48</v>
      </c>
      <c r="C175" s="86" t="s">
        <v>49</v>
      </c>
      <c r="D175" s="105" t="s">
        <v>55</v>
      </c>
      <c r="E175" s="40"/>
      <c r="F175" s="57"/>
    </row>
    <row r="176" spans="1:6" x14ac:dyDescent="0.35">
      <c r="A176" s="614" t="s">
        <v>100</v>
      </c>
      <c r="B176" s="614">
        <v>2</v>
      </c>
      <c r="C176" s="614">
        <v>1</v>
      </c>
      <c r="D176" s="614">
        <v>3</v>
      </c>
      <c r="E176" s="40"/>
      <c r="F176" s="57"/>
    </row>
    <row r="177" spans="1:6" x14ac:dyDescent="0.35">
      <c r="A177" s="76" t="s">
        <v>38</v>
      </c>
      <c r="B177" s="77">
        <v>3</v>
      </c>
      <c r="C177" s="77">
        <v>1</v>
      </c>
      <c r="D177" s="77">
        <v>4</v>
      </c>
      <c r="E177" s="40"/>
      <c r="F177" s="57"/>
    </row>
    <row r="178" spans="1:6" x14ac:dyDescent="0.35">
      <c r="A178" s="76" t="s">
        <v>45</v>
      </c>
      <c r="B178" s="77">
        <v>4</v>
      </c>
      <c r="C178" s="77">
        <v>1</v>
      </c>
      <c r="D178" s="77">
        <v>5</v>
      </c>
      <c r="E178" s="40"/>
      <c r="F178" s="57"/>
    </row>
    <row r="179" spans="1:6" x14ac:dyDescent="0.35">
      <c r="A179" s="76" t="s">
        <v>99</v>
      </c>
      <c r="B179" s="77">
        <v>5</v>
      </c>
      <c r="C179" s="77">
        <v>1</v>
      </c>
      <c r="D179" s="77">
        <v>6</v>
      </c>
      <c r="E179" s="40"/>
      <c r="F179" s="57"/>
    </row>
    <row r="180" spans="1:6" x14ac:dyDescent="0.35">
      <c r="A180" s="76" t="s">
        <v>46</v>
      </c>
      <c r="B180" s="77">
        <v>6</v>
      </c>
      <c r="C180" s="77">
        <v>1</v>
      </c>
      <c r="D180" s="77">
        <v>7</v>
      </c>
      <c r="E180" s="40"/>
      <c r="F180" s="57"/>
    </row>
    <row r="181" spans="1:6" x14ac:dyDescent="0.35">
      <c r="A181" s="76" t="s">
        <v>39</v>
      </c>
      <c r="B181" s="77">
        <v>7</v>
      </c>
      <c r="C181" s="77">
        <v>1</v>
      </c>
      <c r="D181" s="77">
        <v>8</v>
      </c>
      <c r="E181" s="40"/>
      <c r="F181" s="57"/>
    </row>
    <row r="182" spans="1:6" x14ac:dyDescent="0.35">
      <c r="A182" s="76" t="s">
        <v>47</v>
      </c>
      <c r="B182" s="77">
        <v>8</v>
      </c>
      <c r="C182" s="77">
        <v>1</v>
      </c>
      <c r="D182" s="77">
        <v>9</v>
      </c>
      <c r="E182" s="40"/>
      <c r="F182" s="57"/>
    </row>
    <row r="183" spans="1:6" x14ac:dyDescent="0.35">
      <c r="A183" s="76" t="s">
        <v>231</v>
      </c>
      <c r="B183" s="77">
        <v>9</v>
      </c>
      <c r="C183" s="77">
        <v>1</v>
      </c>
      <c r="D183" s="77">
        <v>10</v>
      </c>
      <c r="E183" s="40"/>
      <c r="F183" s="57"/>
    </row>
    <row r="184" spans="1:6" x14ac:dyDescent="0.35">
      <c r="A184" s="76" t="s">
        <v>232</v>
      </c>
      <c r="B184" s="77">
        <v>10</v>
      </c>
      <c r="C184" s="77">
        <v>1</v>
      </c>
      <c r="D184" s="77">
        <v>11</v>
      </c>
      <c r="E184" s="40"/>
      <c r="F184" s="57"/>
    </row>
    <row r="185" spans="1:6" x14ac:dyDescent="0.35">
      <c r="A185" s="76" t="s">
        <v>233</v>
      </c>
      <c r="B185" s="77">
        <v>11</v>
      </c>
      <c r="C185" s="77">
        <v>1</v>
      </c>
      <c r="D185" s="77">
        <v>12</v>
      </c>
      <c r="E185" s="40"/>
      <c r="F185" s="57"/>
    </row>
    <row r="186" spans="1:6" x14ac:dyDescent="0.35">
      <c r="A186" s="76" t="s">
        <v>234</v>
      </c>
      <c r="B186" s="77">
        <v>12</v>
      </c>
      <c r="C186" s="77">
        <v>1</v>
      </c>
      <c r="D186" s="77">
        <v>13</v>
      </c>
      <c r="E186" s="40"/>
      <c r="F186" s="57"/>
    </row>
    <row r="187" spans="1:6" x14ac:dyDescent="0.35">
      <c r="A187" s="76" t="s">
        <v>235</v>
      </c>
      <c r="B187" s="77">
        <v>13</v>
      </c>
      <c r="C187" s="77">
        <v>1</v>
      </c>
      <c r="D187" s="77">
        <v>14</v>
      </c>
      <c r="E187" s="40"/>
      <c r="F187" s="57"/>
    </row>
    <row r="188" spans="1:6" x14ac:dyDescent="0.35">
      <c r="A188" s="76" t="s">
        <v>236</v>
      </c>
      <c r="B188" s="77">
        <v>14</v>
      </c>
      <c r="C188" s="77">
        <v>1</v>
      </c>
      <c r="D188" s="77">
        <v>15</v>
      </c>
      <c r="E188" s="40"/>
      <c r="F188" s="57"/>
    </row>
    <row r="189" spans="1:6" x14ac:dyDescent="0.35">
      <c r="A189" s="76" t="s">
        <v>237</v>
      </c>
      <c r="B189" s="77">
        <v>15</v>
      </c>
      <c r="C189" s="77">
        <v>1</v>
      </c>
      <c r="D189" s="77">
        <v>16</v>
      </c>
      <c r="E189" s="40"/>
      <c r="F189" s="57"/>
    </row>
    <row r="190" spans="1:6" x14ac:dyDescent="0.35">
      <c r="A190" s="76" t="s">
        <v>238</v>
      </c>
      <c r="B190" s="77">
        <v>16</v>
      </c>
      <c r="C190" s="77">
        <v>1</v>
      </c>
      <c r="D190" s="77">
        <v>17</v>
      </c>
      <c r="E190" s="40"/>
      <c r="F190" s="57"/>
    </row>
    <row r="191" spans="1:6" x14ac:dyDescent="0.35">
      <c r="A191" s="76" t="s">
        <v>239</v>
      </c>
      <c r="B191" s="77">
        <v>17</v>
      </c>
      <c r="C191" s="77">
        <v>1</v>
      </c>
      <c r="D191" s="77">
        <v>18</v>
      </c>
      <c r="E191" s="40"/>
      <c r="F191" s="57"/>
    </row>
    <row r="192" spans="1:6" x14ac:dyDescent="0.35">
      <c r="A192" s="76" t="s">
        <v>240</v>
      </c>
      <c r="B192" s="77">
        <v>18</v>
      </c>
      <c r="C192" s="77">
        <v>1</v>
      </c>
      <c r="D192" s="77">
        <v>19</v>
      </c>
      <c r="E192" s="40"/>
      <c r="F192" s="57"/>
    </row>
    <row r="193" spans="1:6" x14ac:dyDescent="0.35">
      <c r="A193" s="76" t="s">
        <v>241</v>
      </c>
      <c r="B193" s="77">
        <v>19</v>
      </c>
      <c r="C193" s="77">
        <v>1</v>
      </c>
      <c r="D193" s="77">
        <v>20</v>
      </c>
      <c r="E193" s="40"/>
      <c r="F193" s="57"/>
    </row>
    <row r="194" spans="1:6" ht="15" thickBot="1" x14ac:dyDescent="0.4">
      <c r="A194" s="613" t="s">
        <v>242</v>
      </c>
      <c r="B194" s="469">
        <v>20</v>
      </c>
      <c r="C194" s="469">
        <v>1</v>
      </c>
      <c r="D194" s="469">
        <v>21</v>
      </c>
      <c r="E194" s="40"/>
      <c r="F194" s="57"/>
    </row>
    <row r="195" spans="1:6" x14ac:dyDescent="0.35">
      <c r="A195" s="109"/>
      <c r="B195" s="73"/>
      <c r="C195" s="94"/>
      <c r="D195" s="94"/>
      <c r="E195" s="40"/>
      <c r="F195" s="57"/>
    </row>
    <row r="196" spans="1:6" ht="15" thickBot="1" x14ac:dyDescent="0.4">
      <c r="A196" s="109"/>
      <c r="B196" s="73"/>
      <c r="C196" s="73"/>
      <c r="D196" s="83"/>
      <c r="E196" s="40"/>
      <c r="F196" s="57"/>
    </row>
    <row r="197" spans="1:6" ht="15" thickBot="1" x14ac:dyDescent="0.4">
      <c r="A197" s="84" t="s">
        <v>41</v>
      </c>
      <c r="B197" s="90" t="s">
        <v>48</v>
      </c>
      <c r="C197" s="86" t="s">
        <v>49</v>
      </c>
      <c r="D197" s="105" t="s">
        <v>55</v>
      </c>
      <c r="E197" s="40"/>
      <c r="F197" s="57"/>
    </row>
    <row r="198" spans="1:6" x14ac:dyDescent="0.35">
      <c r="A198" s="92" t="s">
        <v>734</v>
      </c>
      <c r="B198" s="92">
        <v>4</v>
      </c>
      <c r="C198" s="614">
        <v>2</v>
      </c>
      <c r="D198" s="614">
        <v>6</v>
      </c>
      <c r="E198" s="40"/>
      <c r="F198" s="57"/>
    </row>
    <row r="199" spans="1:6" x14ac:dyDescent="0.35">
      <c r="A199" s="76" t="s">
        <v>42</v>
      </c>
      <c r="B199" s="76">
        <v>6</v>
      </c>
      <c r="C199" s="100">
        <v>2</v>
      </c>
      <c r="D199" s="100">
        <v>8</v>
      </c>
      <c r="E199" s="40"/>
      <c r="F199" s="57"/>
    </row>
    <row r="200" spans="1:6" ht="15" thickBot="1" x14ac:dyDescent="0.4">
      <c r="A200" s="613" t="s">
        <v>735</v>
      </c>
      <c r="B200" s="469">
        <v>8</v>
      </c>
      <c r="C200" s="602">
        <v>2</v>
      </c>
      <c r="D200" s="469">
        <v>10</v>
      </c>
      <c r="E200" s="40"/>
      <c r="F200" s="57"/>
    </row>
    <row r="201" spans="1:6" x14ac:dyDescent="0.35">
      <c r="A201" s="68"/>
      <c r="B201" s="19"/>
      <c r="C201" s="19"/>
      <c r="D201" s="287"/>
      <c r="E201" s="40"/>
      <c r="F201" s="57"/>
    </row>
    <row r="202" spans="1:6" ht="15" thickBot="1" x14ac:dyDescent="0.4">
      <c r="A202" s="68"/>
      <c r="B202" s="19"/>
      <c r="C202" s="19"/>
      <c r="D202" s="19"/>
      <c r="E202" s="40"/>
      <c r="F202" s="57"/>
    </row>
    <row r="203" spans="1:6" ht="15" thickBot="1" x14ac:dyDescent="0.4">
      <c r="A203" s="84" t="s">
        <v>76</v>
      </c>
      <c r="B203" s="84" t="s">
        <v>130</v>
      </c>
      <c r="C203" s="73"/>
      <c r="D203" s="73"/>
      <c r="E203" s="40"/>
      <c r="F203" s="57"/>
    </row>
    <row r="204" spans="1:6" x14ac:dyDescent="0.35">
      <c r="A204" s="597" t="e">
        <f>VLOOKUP(0,strTable,2,FALSE)</f>
        <v>#N/A</v>
      </c>
      <c r="B204" s="597" t="e">
        <f>VLOOKUP(0,strTable,2,FALSE)</f>
        <v>#N/A</v>
      </c>
      <c r="C204" s="73"/>
      <c r="D204" s="73"/>
      <c r="E204" s="40"/>
      <c r="F204" s="57"/>
    </row>
    <row r="205" spans="1:6" x14ac:dyDescent="0.35">
      <c r="A205" s="76" t="s">
        <v>123</v>
      </c>
      <c r="B205" s="77">
        <v>36</v>
      </c>
      <c r="C205" s="73"/>
      <c r="D205" s="73"/>
      <c r="E205" s="40"/>
      <c r="F205" s="57"/>
    </row>
    <row r="206" spans="1:6" x14ac:dyDescent="0.35">
      <c r="A206" s="76" t="s">
        <v>124</v>
      </c>
      <c r="B206" s="77">
        <v>72</v>
      </c>
      <c r="C206" s="73"/>
      <c r="D206" s="73"/>
      <c r="E206" s="40"/>
      <c r="F206" s="57"/>
    </row>
    <row r="207" spans="1:6" x14ac:dyDescent="0.35">
      <c r="A207" s="76" t="s">
        <v>452</v>
      </c>
      <c r="B207" s="77">
        <v>120</v>
      </c>
      <c r="C207" s="73"/>
      <c r="D207" s="73"/>
      <c r="E207" s="40"/>
      <c r="F207" s="57"/>
    </row>
    <row r="208" spans="1:6" x14ac:dyDescent="0.35">
      <c r="A208" s="76" t="s">
        <v>125</v>
      </c>
      <c r="B208" s="77">
        <v>146</v>
      </c>
      <c r="C208" s="73"/>
      <c r="D208" s="73"/>
      <c r="E208" s="40"/>
      <c r="F208" s="57"/>
    </row>
    <row r="209" spans="1:6" x14ac:dyDescent="0.35">
      <c r="A209" s="76" t="s">
        <v>453</v>
      </c>
      <c r="B209" s="77">
        <v>160</v>
      </c>
      <c r="C209" s="73"/>
      <c r="D209" s="73"/>
      <c r="E209" s="40"/>
      <c r="F209" s="57"/>
    </row>
    <row r="210" spans="1:6" x14ac:dyDescent="0.35">
      <c r="A210" s="76" t="s">
        <v>126</v>
      </c>
      <c r="B210" s="77">
        <v>250</v>
      </c>
      <c r="C210" s="73"/>
      <c r="D210" s="73"/>
      <c r="E210" s="40"/>
      <c r="F210" s="57"/>
    </row>
    <row r="211" spans="1:6" x14ac:dyDescent="0.35">
      <c r="A211" s="76" t="s">
        <v>127</v>
      </c>
      <c r="B211" s="77">
        <v>300</v>
      </c>
      <c r="C211" s="73"/>
      <c r="D211" s="73"/>
      <c r="E211" s="40"/>
      <c r="F211" s="57"/>
    </row>
    <row r="212" spans="1:6" x14ac:dyDescent="0.35">
      <c r="A212" s="76" t="s">
        <v>454</v>
      </c>
      <c r="B212" s="77">
        <v>320</v>
      </c>
      <c r="C212" s="73"/>
      <c r="D212" s="73"/>
      <c r="E212" s="40"/>
      <c r="F212" s="57"/>
    </row>
    <row r="213" spans="1:6" x14ac:dyDescent="0.35">
      <c r="A213" s="76" t="s">
        <v>191</v>
      </c>
      <c r="B213" s="77">
        <v>400</v>
      </c>
      <c r="C213" s="73"/>
      <c r="D213" s="73"/>
      <c r="E213" s="40"/>
      <c r="F213" s="57"/>
    </row>
    <row r="214" spans="1:6" x14ac:dyDescent="0.35">
      <c r="A214" s="76" t="s">
        <v>255</v>
      </c>
      <c r="B214" s="77">
        <v>450</v>
      </c>
      <c r="C214" s="73"/>
      <c r="D214" s="73"/>
      <c r="E214" s="40"/>
      <c r="F214" s="57"/>
    </row>
    <row r="215" spans="1:6" x14ac:dyDescent="0.35">
      <c r="A215" s="76" t="s">
        <v>128</v>
      </c>
      <c r="B215" s="77">
        <v>500</v>
      </c>
      <c r="C215" s="73"/>
      <c r="D215" s="73"/>
      <c r="E215" s="40"/>
      <c r="F215" s="57"/>
    </row>
    <row r="216" spans="1:6" x14ac:dyDescent="0.35">
      <c r="A216" s="76" t="s">
        <v>419</v>
      </c>
      <c r="B216" s="77">
        <v>600</v>
      </c>
      <c r="C216" s="73"/>
      <c r="D216" s="73"/>
      <c r="E216" s="40"/>
      <c r="F216" s="57"/>
    </row>
    <row r="217" spans="1:6" x14ac:dyDescent="0.35">
      <c r="A217" s="76" t="s">
        <v>455</v>
      </c>
      <c r="B217" s="77">
        <v>640</v>
      </c>
      <c r="C217" s="73"/>
      <c r="D217" s="73"/>
      <c r="E217" s="40"/>
      <c r="F217" s="57"/>
    </row>
    <row r="218" spans="1:6" x14ac:dyDescent="0.35">
      <c r="A218" s="76" t="s">
        <v>129</v>
      </c>
      <c r="B218" s="77">
        <v>750</v>
      </c>
      <c r="C218" s="73"/>
      <c r="D218" s="73"/>
      <c r="E218" s="40"/>
      <c r="F218" s="57"/>
    </row>
    <row r="219" spans="1:6" x14ac:dyDescent="0.35">
      <c r="A219" s="76" t="s">
        <v>733</v>
      </c>
      <c r="B219" s="77">
        <v>900</v>
      </c>
      <c r="C219" s="73"/>
      <c r="D219" s="73"/>
      <c r="E219" s="40"/>
      <c r="F219" s="57"/>
    </row>
    <row r="220" spans="1:6" x14ac:dyDescent="0.35">
      <c r="A220" s="76" t="s">
        <v>207</v>
      </c>
      <c r="B220" s="77">
        <v>1000</v>
      </c>
      <c r="C220" s="73"/>
      <c r="D220" s="73"/>
      <c r="E220" s="40"/>
      <c r="F220" s="57"/>
    </row>
    <row r="221" spans="1:6" x14ac:dyDescent="0.35">
      <c r="A221" s="76" t="s">
        <v>1433</v>
      </c>
      <c r="B221" s="77">
        <v>1200</v>
      </c>
      <c r="C221" s="73"/>
      <c r="D221" s="73"/>
      <c r="E221" s="40"/>
      <c r="F221" s="57"/>
    </row>
    <row r="222" spans="1:6" x14ac:dyDescent="0.35">
      <c r="A222" s="76" t="s">
        <v>456</v>
      </c>
      <c r="B222" s="77">
        <v>1500</v>
      </c>
      <c r="C222" s="73"/>
      <c r="D222" s="73"/>
      <c r="E222" s="40"/>
      <c r="F222" s="57"/>
    </row>
    <row r="223" spans="1:6" x14ac:dyDescent="0.35">
      <c r="A223" s="76" t="s">
        <v>1920</v>
      </c>
      <c r="B223" s="77">
        <v>1800</v>
      </c>
      <c r="C223" s="73"/>
      <c r="D223" s="73"/>
      <c r="E223" s="40"/>
      <c r="F223" s="57"/>
    </row>
    <row r="224" spans="1:6" x14ac:dyDescent="0.35">
      <c r="A224" s="76" t="s">
        <v>271</v>
      </c>
      <c r="B224" s="77">
        <v>2000</v>
      </c>
      <c r="C224" s="73"/>
      <c r="D224" s="73"/>
      <c r="E224" s="40"/>
      <c r="F224" s="57"/>
    </row>
    <row r="225" spans="1:6" x14ac:dyDescent="0.35">
      <c r="A225" s="76" t="s">
        <v>736</v>
      </c>
      <c r="B225" s="77">
        <v>3000</v>
      </c>
      <c r="C225" s="73"/>
      <c r="D225" s="73"/>
      <c r="E225" s="40"/>
      <c r="F225" s="57"/>
    </row>
    <row r="226" spans="1:6" x14ac:dyDescent="0.35">
      <c r="A226" s="76" t="s">
        <v>747</v>
      </c>
      <c r="B226" s="77">
        <v>4000</v>
      </c>
      <c r="C226" s="73"/>
      <c r="D226" s="73"/>
      <c r="E226" s="40"/>
      <c r="F226" s="57"/>
    </row>
    <row r="227" spans="1:6" x14ac:dyDescent="0.35">
      <c r="A227" s="76" t="s">
        <v>1430</v>
      </c>
      <c r="B227" s="77">
        <v>6000</v>
      </c>
      <c r="C227" s="73"/>
      <c r="D227" s="73"/>
      <c r="E227" s="40"/>
      <c r="F227" s="57"/>
    </row>
    <row r="228" spans="1:6" x14ac:dyDescent="0.35">
      <c r="A228" s="76" t="s">
        <v>1431</v>
      </c>
      <c r="B228" s="77">
        <v>8000</v>
      </c>
      <c r="C228" s="73"/>
      <c r="D228" s="73"/>
      <c r="E228" s="40"/>
      <c r="F228" s="57"/>
    </row>
    <row r="229" spans="1:6" x14ac:dyDescent="0.35">
      <c r="A229" s="76" t="s">
        <v>1582</v>
      </c>
      <c r="B229" s="77">
        <v>10000</v>
      </c>
      <c r="C229" s="73"/>
      <c r="D229" s="73"/>
      <c r="E229" s="40"/>
      <c r="F229" s="57"/>
    </row>
    <row r="230" spans="1:6" x14ac:dyDescent="0.35">
      <c r="A230" s="76" t="s">
        <v>1581</v>
      </c>
      <c r="B230" s="77">
        <v>12000</v>
      </c>
      <c r="C230" s="73"/>
      <c r="D230" s="73"/>
      <c r="E230" s="40"/>
      <c r="F230" s="57"/>
    </row>
    <row r="231" spans="1:6" x14ac:dyDescent="0.35">
      <c r="A231" s="76" t="s">
        <v>1989</v>
      </c>
      <c r="B231" s="77">
        <v>14000</v>
      </c>
      <c r="C231" s="73"/>
      <c r="D231" s="73"/>
      <c r="E231" s="40"/>
      <c r="F231" s="57"/>
    </row>
    <row r="232" spans="1:6" ht="15" thickBot="1" x14ac:dyDescent="0.4">
      <c r="A232" s="613" t="s">
        <v>2154</v>
      </c>
      <c r="B232" s="469">
        <v>16000</v>
      </c>
      <c r="C232" s="73"/>
      <c r="D232" s="73"/>
      <c r="E232" s="40"/>
      <c r="F232" s="57"/>
    </row>
    <row r="233" spans="1:6" x14ac:dyDescent="0.35">
      <c r="A233" s="109"/>
      <c r="B233" s="73"/>
      <c r="C233" s="73"/>
      <c r="D233" s="73"/>
      <c r="E233" s="40"/>
      <c r="F233" s="57"/>
    </row>
    <row r="234" spans="1:6" ht="15" thickBot="1" x14ac:dyDescent="0.4">
      <c r="A234" s="109"/>
      <c r="B234" s="73"/>
      <c r="C234" s="73"/>
      <c r="D234" s="73"/>
      <c r="E234" s="40"/>
      <c r="F234" s="57"/>
    </row>
    <row r="235" spans="1:6" ht="15" thickBot="1" x14ac:dyDescent="0.4">
      <c r="A235" s="84" t="s">
        <v>10</v>
      </c>
      <c r="B235" s="84" t="s">
        <v>272</v>
      </c>
      <c r="C235" s="90" t="s">
        <v>325</v>
      </c>
      <c r="D235" s="73"/>
      <c r="E235" s="40"/>
      <c r="F235" s="57"/>
    </row>
    <row r="236" spans="1:6" x14ac:dyDescent="0.35">
      <c r="A236" s="87" t="s">
        <v>459</v>
      </c>
      <c r="B236" s="45">
        <v>55</v>
      </c>
      <c r="C236" s="283">
        <v>300</v>
      </c>
      <c r="D236" s="73"/>
      <c r="E236" s="40"/>
      <c r="F236" s="57"/>
    </row>
    <row r="237" spans="1:6" x14ac:dyDescent="0.35">
      <c r="A237" s="88" t="s">
        <v>460</v>
      </c>
      <c r="B237" s="45">
        <v>55</v>
      </c>
      <c r="C237" s="45">
        <v>300</v>
      </c>
      <c r="D237" s="73"/>
      <c r="E237" s="40"/>
      <c r="F237" s="57"/>
    </row>
    <row r="238" spans="1:6" x14ac:dyDescent="0.35">
      <c r="A238" s="88" t="s">
        <v>461</v>
      </c>
      <c r="B238" s="45">
        <v>55</v>
      </c>
      <c r="C238" s="45">
        <v>300</v>
      </c>
      <c r="D238" s="73"/>
      <c r="E238" s="40"/>
      <c r="F238" s="57"/>
    </row>
    <row r="239" spans="1:6" x14ac:dyDescent="0.35">
      <c r="A239" s="88" t="s">
        <v>462</v>
      </c>
      <c r="B239" s="45">
        <v>50</v>
      </c>
      <c r="C239" s="45">
        <v>300</v>
      </c>
      <c r="D239" s="73"/>
      <c r="E239" s="40"/>
      <c r="F239" s="57"/>
    </row>
    <row r="240" spans="1:6" x14ac:dyDescent="0.35">
      <c r="A240" s="88" t="s">
        <v>463</v>
      </c>
      <c r="B240" s="45">
        <v>50</v>
      </c>
      <c r="C240" s="45">
        <v>300</v>
      </c>
      <c r="D240" s="73"/>
      <c r="E240" s="40"/>
      <c r="F240" s="57"/>
    </row>
    <row r="241" spans="1:6" x14ac:dyDescent="0.35">
      <c r="A241" s="88" t="s">
        <v>464</v>
      </c>
      <c r="B241" s="45">
        <v>50</v>
      </c>
      <c r="C241" s="45">
        <v>300</v>
      </c>
      <c r="D241" s="73"/>
      <c r="E241" s="40"/>
      <c r="F241" s="57"/>
    </row>
    <row r="242" spans="1:6" x14ac:dyDescent="0.35">
      <c r="A242" s="88" t="s">
        <v>465</v>
      </c>
      <c r="B242" s="45">
        <v>52.5</v>
      </c>
      <c r="C242" s="45">
        <v>300</v>
      </c>
      <c r="D242" s="73"/>
      <c r="E242" s="40"/>
      <c r="F242" s="57"/>
    </row>
    <row r="243" spans="1:6" x14ac:dyDescent="0.35">
      <c r="A243" s="88" t="s">
        <v>466</v>
      </c>
      <c r="B243" s="45">
        <v>52.5</v>
      </c>
      <c r="C243" s="45">
        <v>300</v>
      </c>
      <c r="D243" s="73"/>
      <c r="E243" s="40"/>
      <c r="F243" s="57"/>
    </row>
    <row r="244" spans="1:6" x14ac:dyDescent="0.35">
      <c r="A244" s="88" t="s">
        <v>467</v>
      </c>
      <c r="B244" s="45">
        <v>52.5</v>
      </c>
      <c r="C244" s="45">
        <v>300</v>
      </c>
      <c r="D244" s="73"/>
      <c r="E244" s="40"/>
      <c r="F244" s="57"/>
    </row>
    <row r="245" spans="1:6" x14ac:dyDescent="0.35">
      <c r="A245" s="88" t="s">
        <v>458</v>
      </c>
      <c r="B245" s="45">
        <v>60</v>
      </c>
      <c r="C245" s="45">
        <v>300</v>
      </c>
      <c r="D245" s="73"/>
      <c r="E245" s="40"/>
      <c r="F245" s="57"/>
    </row>
    <row r="246" spans="1:6" x14ac:dyDescent="0.35">
      <c r="A246" s="88" t="s">
        <v>263</v>
      </c>
      <c r="B246" s="45">
        <v>100</v>
      </c>
      <c r="C246" s="45">
        <v>300</v>
      </c>
      <c r="D246" s="73"/>
      <c r="E246" s="40"/>
      <c r="F246" s="57"/>
    </row>
    <row r="247" spans="1:6" x14ac:dyDescent="0.35">
      <c r="A247" s="88" t="s">
        <v>457</v>
      </c>
      <c r="B247" s="45">
        <v>62.5</v>
      </c>
      <c r="C247" s="45">
        <v>300</v>
      </c>
      <c r="D247" s="73"/>
      <c r="E247" s="40"/>
      <c r="F247" s="12"/>
    </row>
    <row r="248" spans="1:6" x14ac:dyDescent="0.35">
      <c r="A248" s="88" t="s">
        <v>262</v>
      </c>
      <c r="B248" s="45">
        <v>100</v>
      </c>
      <c r="C248" s="45">
        <v>300</v>
      </c>
      <c r="D248" s="73"/>
      <c r="E248" s="40"/>
      <c r="F248" s="57"/>
    </row>
    <row r="249" spans="1:6" x14ac:dyDescent="0.35">
      <c r="A249" s="88" t="s">
        <v>79</v>
      </c>
      <c r="B249" s="45">
        <v>165</v>
      </c>
      <c r="C249" s="45">
        <v>300</v>
      </c>
      <c r="D249" s="73"/>
      <c r="E249" s="40"/>
      <c r="F249" s="57"/>
    </row>
    <row r="250" spans="1:6" x14ac:dyDescent="0.35">
      <c r="A250" s="88" t="s">
        <v>190</v>
      </c>
      <c r="B250" s="45">
        <v>230</v>
      </c>
      <c r="C250" s="45">
        <v>300</v>
      </c>
      <c r="D250" s="73"/>
      <c r="E250" s="40"/>
      <c r="F250" s="57"/>
    </row>
    <row r="251" spans="1:6" x14ac:dyDescent="0.35">
      <c r="A251" s="88" t="s">
        <v>77</v>
      </c>
      <c r="B251" s="45">
        <v>130</v>
      </c>
      <c r="C251" s="45">
        <v>300</v>
      </c>
      <c r="D251" s="73"/>
      <c r="E251" s="40"/>
      <c r="F251" s="57"/>
    </row>
    <row r="252" spans="1:6" x14ac:dyDescent="0.35">
      <c r="A252" s="88" t="s">
        <v>78</v>
      </c>
      <c r="B252" s="45">
        <v>180</v>
      </c>
      <c r="C252" s="45">
        <v>300</v>
      </c>
      <c r="D252" s="73"/>
      <c r="E252" s="40"/>
      <c r="F252" s="57"/>
    </row>
    <row r="253" spans="1:6" x14ac:dyDescent="0.35">
      <c r="A253" s="88" t="s">
        <v>2005</v>
      </c>
      <c r="B253" s="45">
        <v>750</v>
      </c>
      <c r="C253" s="45">
        <v>1000</v>
      </c>
      <c r="D253" s="73"/>
      <c r="E253" s="40"/>
      <c r="F253" s="57"/>
    </row>
    <row r="254" spans="1:6" x14ac:dyDescent="0.35">
      <c r="A254" s="88" t="s">
        <v>1998</v>
      </c>
      <c r="B254" s="45">
        <v>750</v>
      </c>
      <c r="C254" s="45">
        <v>1000</v>
      </c>
      <c r="D254" s="73"/>
      <c r="E254" s="40"/>
      <c r="F254" s="57"/>
    </row>
    <row r="255" spans="1:6" ht="15" thickBot="1" x14ac:dyDescent="0.4">
      <c r="A255" s="89" t="s">
        <v>1997</v>
      </c>
      <c r="B255" s="81">
        <v>750</v>
      </c>
      <c r="C255" s="81">
        <v>1000</v>
      </c>
      <c r="D255" s="73"/>
      <c r="E255" s="40"/>
      <c r="F255" s="57"/>
    </row>
    <row r="256" spans="1:6" x14ac:dyDescent="0.35">
      <c r="A256" s="109"/>
      <c r="B256" s="73"/>
      <c r="C256" s="73"/>
      <c r="D256" s="73"/>
      <c r="E256" s="40"/>
      <c r="F256" s="57"/>
    </row>
    <row r="257" spans="1:6" ht="15" thickBot="1" x14ac:dyDescent="0.4">
      <c r="A257" s="109"/>
      <c r="B257" s="73"/>
      <c r="C257" s="73"/>
      <c r="D257" s="73"/>
      <c r="E257" s="40"/>
      <c r="F257" s="57"/>
    </row>
    <row r="258" spans="1:6" ht="15" thickBot="1" x14ac:dyDescent="0.4">
      <c r="A258" s="108" t="s">
        <v>364</v>
      </c>
      <c r="B258" s="107" t="s">
        <v>136</v>
      </c>
      <c r="C258" s="108" t="s">
        <v>364</v>
      </c>
      <c r="D258" s="73"/>
      <c r="E258" s="40"/>
      <c r="F258" s="57"/>
    </row>
    <row r="259" spans="1:6" x14ac:dyDescent="0.35">
      <c r="A259" s="45">
        <v>0.4</v>
      </c>
      <c r="B259" s="95" t="s">
        <v>365</v>
      </c>
      <c r="C259" s="77">
        <v>0.4</v>
      </c>
      <c r="D259" s="73"/>
      <c r="E259" s="40"/>
      <c r="F259" s="57"/>
    </row>
    <row r="260" spans="1:6" x14ac:dyDescent="0.35">
      <c r="A260" s="45">
        <v>0.5</v>
      </c>
      <c r="B260" s="95" t="s">
        <v>366</v>
      </c>
      <c r="C260" s="77">
        <v>0.5</v>
      </c>
      <c r="D260" s="73"/>
      <c r="E260" s="40"/>
      <c r="F260" s="57"/>
    </row>
    <row r="261" spans="1:6" x14ac:dyDescent="0.35">
      <c r="A261" s="45">
        <v>0.6</v>
      </c>
      <c r="B261" s="95" t="s">
        <v>367</v>
      </c>
      <c r="C261" s="77">
        <v>0.6</v>
      </c>
      <c r="D261" s="73"/>
      <c r="E261" s="40"/>
      <c r="F261" s="57"/>
    </row>
    <row r="262" spans="1:6" x14ac:dyDescent="0.35">
      <c r="A262" s="45">
        <v>0.66</v>
      </c>
      <c r="B262" s="95" t="s">
        <v>368</v>
      </c>
      <c r="C262" s="77">
        <v>0.66</v>
      </c>
      <c r="D262" s="73"/>
      <c r="E262" s="40"/>
      <c r="F262" s="57"/>
    </row>
    <row r="263" spans="1:6" ht="15" thickBot="1" x14ac:dyDescent="0.4">
      <c r="A263" s="81">
        <v>0.75</v>
      </c>
      <c r="B263" s="96" t="s">
        <v>369</v>
      </c>
      <c r="C263" s="79">
        <v>0.75</v>
      </c>
      <c r="D263" s="73"/>
      <c r="E263" s="40"/>
      <c r="F263" s="57"/>
    </row>
    <row r="264" spans="1:6" x14ac:dyDescent="0.35">
      <c r="A264" s="40"/>
      <c r="B264" s="350"/>
      <c r="C264" s="40"/>
      <c r="D264" s="73"/>
      <c r="E264" s="40"/>
      <c r="F264" s="57"/>
    </row>
    <row r="265" spans="1:6" ht="15" thickBot="1" x14ac:dyDescent="0.4">
      <c r="A265" s="40"/>
      <c r="B265" s="350"/>
      <c r="C265" s="40"/>
      <c r="D265" s="73"/>
      <c r="E265" s="40"/>
      <c r="F265" s="57"/>
    </row>
    <row r="266" spans="1:6" ht="15" thickBot="1" x14ac:dyDescent="0.4">
      <c r="A266" s="600" t="s">
        <v>1992</v>
      </c>
      <c r="B266" s="605" t="s">
        <v>2004</v>
      </c>
      <c r="C266" s="40"/>
      <c r="D266" s="599" t="s">
        <v>1785</v>
      </c>
      <c r="E266" s="600" t="s">
        <v>2002</v>
      </c>
      <c r="F266" s="600" t="s">
        <v>2003</v>
      </c>
    </row>
    <row r="267" spans="1:6" x14ac:dyDescent="0.35">
      <c r="A267" s="603">
        <v>2013</v>
      </c>
      <c r="B267" s="607">
        <v>-0.05</v>
      </c>
      <c r="C267" s="40"/>
      <c r="D267" s="601">
        <v>2013</v>
      </c>
      <c r="E267" s="603">
        <v>96</v>
      </c>
      <c r="F267" s="603">
        <v>24</v>
      </c>
    </row>
    <row r="268" spans="1:6" x14ac:dyDescent="0.35">
      <c r="A268" s="606">
        <v>2016</v>
      </c>
      <c r="B268" s="608">
        <v>-2.5000000000000001E-2</v>
      </c>
      <c r="C268" s="40"/>
      <c r="D268" s="610">
        <v>2016</v>
      </c>
      <c r="E268" s="606">
        <v>128</v>
      </c>
      <c r="F268" s="606">
        <v>24</v>
      </c>
    </row>
    <row r="269" spans="1:6" ht="15" thickBot="1" x14ac:dyDescent="0.4">
      <c r="A269" s="604">
        <v>2019</v>
      </c>
      <c r="B269" s="609">
        <v>0</v>
      </c>
      <c r="C269" s="40"/>
      <c r="D269" s="602">
        <v>2019</v>
      </c>
      <c r="E269" s="604">
        <v>256</v>
      </c>
      <c r="F269" s="604">
        <v>48</v>
      </c>
    </row>
    <row r="270" spans="1:6" x14ac:dyDescent="0.35">
      <c r="A270" s="40"/>
      <c r="B270" s="350"/>
      <c r="C270" s="40"/>
      <c r="D270" s="73"/>
      <c r="E270" s="40"/>
      <c r="F270" s="57"/>
    </row>
    <row r="271" spans="1:6" ht="15" thickBot="1" x14ac:dyDescent="0.4">
      <c r="A271" s="40"/>
      <c r="B271" s="40"/>
      <c r="C271" s="40"/>
      <c r="D271" s="40"/>
      <c r="E271" s="40"/>
      <c r="F271" s="57"/>
    </row>
    <row r="272" spans="1:6" ht="15" thickBot="1" x14ac:dyDescent="0.4">
      <c r="A272" s="429" t="s">
        <v>709</v>
      </c>
      <c r="B272" s="430" t="s">
        <v>710</v>
      </c>
      <c r="F272" s="57"/>
    </row>
    <row r="273" spans="1:6" x14ac:dyDescent="0.35">
      <c r="A273" s="410">
        <v>1</v>
      </c>
      <c r="B273" s="411">
        <v>1</v>
      </c>
      <c r="F273" s="57"/>
    </row>
    <row r="274" spans="1:6" x14ac:dyDescent="0.35">
      <c r="A274" s="412">
        <v>2</v>
      </c>
      <c r="B274" s="411">
        <v>2</v>
      </c>
      <c r="F274" s="57"/>
    </row>
    <row r="275" spans="1:6" x14ac:dyDescent="0.35">
      <c r="A275" s="413">
        <v>3</v>
      </c>
      <c r="B275" s="411">
        <v>3</v>
      </c>
      <c r="F275" s="57"/>
    </row>
    <row r="276" spans="1:6" x14ac:dyDescent="0.35">
      <c r="A276" s="414">
        <v>4</v>
      </c>
      <c r="B276" s="411">
        <v>4</v>
      </c>
      <c r="F276" s="57"/>
    </row>
    <row r="277" spans="1:6" x14ac:dyDescent="0.35">
      <c r="A277" s="415">
        <v>5</v>
      </c>
      <c r="B277" s="411">
        <v>5</v>
      </c>
      <c r="F277" s="57"/>
    </row>
    <row r="278" spans="1:6" x14ac:dyDescent="0.35">
      <c r="A278" s="416">
        <v>6</v>
      </c>
      <c r="B278" s="411">
        <v>6</v>
      </c>
      <c r="F278" s="57"/>
    </row>
    <row r="279" spans="1:6" x14ac:dyDescent="0.35">
      <c r="A279" s="417">
        <v>7</v>
      </c>
      <c r="B279" s="411">
        <v>7</v>
      </c>
      <c r="F279" s="57"/>
    </row>
    <row r="280" spans="1:6" x14ac:dyDescent="0.35">
      <c r="A280" s="418">
        <v>8</v>
      </c>
      <c r="B280" s="411">
        <v>8</v>
      </c>
      <c r="F280" s="57"/>
    </row>
    <row r="281" spans="1:6" x14ac:dyDescent="0.35">
      <c r="A281" s="419">
        <v>9</v>
      </c>
      <c r="B281" s="411">
        <v>9</v>
      </c>
      <c r="F281" s="57"/>
    </row>
    <row r="282" spans="1:6" x14ac:dyDescent="0.35">
      <c r="A282" s="420">
        <v>10</v>
      </c>
      <c r="B282" s="421">
        <v>10</v>
      </c>
      <c r="F282" s="57"/>
    </row>
    <row r="283" spans="1:6" x14ac:dyDescent="0.35">
      <c r="A283" s="422">
        <v>11</v>
      </c>
      <c r="B283" s="421">
        <v>11</v>
      </c>
      <c r="F283" s="57"/>
    </row>
    <row r="284" spans="1:6" x14ac:dyDescent="0.35">
      <c r="A284" s="423">
        <v>12</v>
      </c>
      <c r="B284" s="421">
        <v>12</v>
      </c>
      <c r="F284" s="57"/>
    </row>
    <row r="285" spans="1:6" x14ac:dyDescent="0.35">
      <c r="A285" s="424">
        <v>13</v>
      </c>
      <c r="B285" s="421">
        <v>13</v>
      </c>
      <c r="F285" s="57"/>
    </row>
    <row r="286" spans="1:6" x14ac:dyDescent="0.35">
      <c r="A286" s="425">
        <v>14</v>
      </c>
      <c r="B286" s="421">
        <v>14</v>
      </c>
      <c r="F286" s="57"/>
    </row>
    <row r="287" spans="1:6" x14ac:dyDescent="0.35">
      <c r="A287" s="426">
        <v>15</v>
      </c>
      <c r="B287" s="421">
        <v>15</v>
      </c>
      <c r="F287" s="57"/>
    </row>
    <row r="288" spans="1:6" ht="15" thickBot="1" x14ac:dyDescent="0.4">
      <c r="A288" s="427">
        <v>16</v>
      </c>
      <c r="B288" s="428">
        <v>16</v>
      </c>
      <c r="F288" s="57"/>
    </row>
    <row r="289" spans="1:6" x14ac:dyDescent="0.35">
      <c r="F289" s="57"/>
    </row>
    <row r="290" spans="1:6" ht="15" thickBot="1" x14ac:dyDescent="0.4">
      <c r="F290" s="57"/>
    </row>
    <row r="291" spans="1:6" ht="15" thickBot="1" x14ac:dyDescent="0.4">
      <c r="A291" s="538" t="s">
        <v>1522</v>
      </c>
      <c r="F291" s="57"/>
    </row>
    <row r="292" spans="1:6" x14ac:dyDescent="0.35">
      <c r="A292" s="539">
        <v>0</v>
      </c>
      <c r="F292" s="57"/>
    </row>
    <row r="293" spans="1:6" x14ac:dyDescent="0.35">
      <c r="A293" s="539">
        <v>1</v>
      </c>
      <c r="F293" s="57"/>
    </row>
    <row r="294" spans="1:6" x14ac:dyDescent="0.35">
      <c r="A294" s="539">
        <v>2</v>
      </c>
      <c r="F294" s="57"/>
    </row>
    <row r="295" spans="1:6" x14ac:dyDescent="0.35">
      <c r="A295" s="539">
        <v>3</v>
      </c>
      <c r="F295" s="57"/>
    </row>
    <row r="296" spans="1:6" x14ac:dyDescent="0.35">
      <c r="A296" s="539">
        <v>4</v>
      </c>
      <c r="F296" s="57"/>
    </row>
    <row r="297" spans="1:6" x14ac:dyDescent="0.35">
      <c r="A297" s="539">
        <v>5</v>
      </c>
      <c r="F297" s="57"/>
    </row>
    <row r="298" spans="1:6" ht="15" thickBot="1" x14ac:dyDescent="0.4">
      <c r="A298" s="540">
        <v>6</v>
      </c>
      <c r="F298" s="57"/>
    </row>
    <row r="299" spans="1:6" ht="15" thickBot="1" x14ac:dyDescent="0.4">
      <c r="A299" s="573"/>
      <c r="F299" s="57"/>
    </row>
    <row r="300" spans="1:6" ht="15" thickBot="1" x14ac:dyDescent="0.4">
      <c r="A300" s="429" t="s">
        <v>1923</v>
      </c>
      <c r="B300" s="574" t="s">
        <v>1832</v>
      </c>
      <c r="C300" s="593" t="s">
        <v>1923</v>
      </c>
      <c r="D300" s="576" t="s">
        <v>1832</v>
      </c>
      <c r="E300" s="594" t="s">
        <v>1925</v>
      </c>
      <c r="F300" s="577" t="s">
        <v>1924</v>
      </c>
    </row>
    <row r="301" spans="1:6" x14ac:dyDescent="0.35">
      <c r="A301" s="578">
        <v>1</v>
      </c>
      <c r="B301" s="585">
        <v>1</v>
      </c>
      <c r="C301" s="578">
        <v>1</v>
      </c>
      <c r="D301" s="586">
        <v>1</v>
      </c>
      <c r="E301" s="579" t="s">
        <v>1923</v>
      </c>
      <c r="F301" s="575">
        <v>8</v>
      </c>
    </row>
    <row r="302" spans="1:6" ht="15" thickBot="1" x14ac:dyDescent="0.4">
      <c r="A302" s="475">
        <v>2</v>
      </c>
      <c r="B302" s="437">
        <v>1</v>
      </c>
      <c r="C302" s="475">
        <v>2</v>
      </c>
      <c r="D302" s="587">
        <v>1</v>
      </c>
      <c r="E302" s="428" t="s">
        <v>1832</v>
      </c>
      <c r="F302" s="575">
        <v>16</v>
      </c>
    </row>
    <row r="303" spans="1:6" x14ac:dyDescent="0.35">
      <c r="A303" s="475">
        <v>3</v>
      </c>
      <c r="B303" s="437">
        <v>1</v>
      </c>
      <c r="C303" s="475">
        <v>3</v>
      </c>
      <c r="D303" s="421">
        <v>1</v>
      </c>
      <c r="E303" s="437"/>
      <c r="F303" s="575">
        <v>24</v>
      </c>
    </row>
    <row r="304" spans="1:6" x14ac:dyDescent="0.35">
      <c r="A304" s="475">
        <v>4</v>
      </c>
      <c r="B304" s="437">
        <v>1</v>
      </c>
      <c r="C304" s="475">
        <v>4</v>
      </c>
      <c r="D304" s="421">
        <v>1</v>
      </c>
      <c r="E304" s="437"/>
      <c r="F304" s="575">
        <v>32</v>
      </c>
    </row>
    <row r="305" spans="1:6" x14ac:dyDescent="0.35">
      <c r="A305" s="475">
        <v>5</v>
      </c>
      <c r="B305" s="437">
        <v>1</v>
      </c>
      <c r="C305" s="475">
        <v>5</v>
      </c>
      <c r="D305" s="421">
        <v>1</v>
      </c>
      <c r="E305" s="437"/>
      <c r="F305" s="575">
        <v>40</v>
      </c>
    </row>
    <row r="306" spans="1:6" x14ac:dyDescent="0.35">
      <c r="A306" s="475">
        <v>6</v>
      </c>
      <c r="B306" s="437">
        <v>1</v>
      </c>
      <c r="C306" s="475">
        <v>6</v>
      </c>
      <c r="D306" s="421">
        <v>1</v>
      </c>
      <c r="E306" s="437"/>
      <c r="F306" s="575">
        <v>48</v>
      </c>
    </row>
    <row r="307" spans="1:6" x14ac:dyDescent="0.35">
      <c r="A307" s="475">
        <v>7</v>
      </c>
      <c r="B307" s="437">
        <v>1</v>
      </c>
      <c r="C307" s="475">
        <v>7</v>
      </c>
      <c r="D307" s="421">
        <v>1</v>
      </c>
      <c r="E307" s="437"/>
      <c r="F307" s="575">
        <v>56</v>
      </c>
    </row>
    <row r="308" spans="1:6" x14ac:dyDescent="0.35">
      <c r="A308" s="475">
        <v>8</v>
      </c>
      <c r="B308" s="437">
        <v>1</v>
      </c>
      <c r="C308" s="475">
        <v>8</v>
      </c>
      <c r="D308" s="421">
        <v>1</v>
      </c>
      <c r="E308" s="437"/>
      <c r="F308" s="575">
        <v>64</v>
      </c>
    </row>
    <row r="309" spans="1:6" x14ac:dyDescent="0.35">
      <c r="A309" s="475">
        <v>3</v>
      </c>
      <c r="B309" s="437">
        <v>3</v>
      </c>
      <c r="C309" s="475">
        <v>9</v>
      </c>
      <c r="D309" s="421">
        <v>1</v>
      </c>
      <c r="E309" s="437"/>
      <c r="F309" s="575">
        <v>72</v>
      </c>
    </row>
    <row r="310" spans="1:6" x14ac:dyDescent="0.35">
      <c r="A310" s="475">
        <v>5</v>
      </c>
      <c r="B310" s="437">
        <v>2</v>
      </c>
      <c r="C310" s="475">
        <v>10</v>
      </c>
      <c r="D310" s="421">
        <v>1</v>
      </c>
      <c r="E310" s="437"/>
      <c r="F310" s="575">
        <v>80</v>
      </c>
    </row>
    <row r="311" spans="1:6" x14ac:dyDescent="0.35">
      <c r="A311" s="475">
        <v>6</v>
      </c>
      <c r="B311" s="437">
        <v>2</v>
      </c>
      <c r="C311" s="475">
        <v>11</v>
      </c>
      <c r="D311" s="421">
        <v>1</v>
      </c>
      <c r="E311" s="437"/>
      <c r="F311" s="575">
        <v>88</v>
      </c>
    </row>
    <row r="312" spans="1:6" x14ac:dyDescent="0.35">
      <c r="A312" s="475">
        <v>7</v>
      </c>
      <c r="B312" s="437">
        <v>2</v>
      </c>
      <c r="C312" s="475">
        <v>12</v>
      </c>
      <c r="D312" s="421">
        <v>1</v>
      </c>
      <c r="E312" s="437"/>
      <c r="F312" s="575">
        <v>96</v>
      </c>
    </row>
    <row r="313" spans="1:6" x14ac:dyDescent="0.35">
      <c r="A313" s="475">
        <v>5</v>
      </c>
      <c r="B313" s="437">
        <v>3</v>
      </c>
      <c r="C313" s="475">
        <v>13</v>
      </c>
      <c r="D313" s="421">
        <v>1</v>
      </c>
      <c r="E313" s="437"/>
      <c r="F313" s="575">
        <v>104</v>
      </c>
    </row>
    <row r="314" spans="1:6" x14ac:dyDescent="0.35">
      <c r="A314" s="475">
        <v>8</v>
      </c>
      <c r="B314" s="437">
        <v>2</v>
      </c>
      <c r="C314" s="475">
        <v>14</v>
      </c>
      <c r="D314" s="421">
        <v>1</v>
      </c>
      <c r="E314" s="437"/>
      <c r="F314" s="575">
        <v>112</v>
      </c>
    </row>
    <row r="315" spans="1:6" x14ac:dyDescent="0.35">
      <c r="A315" s="475">
        <v>6</v>
      </c>
      <c r="B315" s="437">
        <v>3</v>
      </c>
      <c r="C315" s="475">
        <v>15</v>
      </c>
      <c r="D315" s="421">
        <v>1</v>
      </c>
      <c r="E315" s="437"/>
      <c r="F315" s="575">
        <v>120</v>
      </c>
    </row>
    <row r="316" spans="1:6" x14ac:dyDescent="0.35">
      <c r="A316" s="475">
        <v>5</v>
      </c>
      <c r="B316" s="437">
        <v>4</v>
      </c>
      <c r="C316" s="475">
        <v>16</v>
      </c>
      <c r="D316" s="421">
        <v>1</v>
      </c>
      <c r="E316" s="437"/>
      <c r="F316" s="575">
        <v>128</v>
      </c>
    </row>
    <row r="317" spans="1:6" x14ac:dyDescent="0.35">
      <c r="A317" s="475">
        <v>7</v>
      </c>
      <c r="B317" s="437">
        <v>3</v>
      </c>
      <c r="C317" s="475">
        <v>9</v>
      </c>
      <c r="D317" s="421">
        <v>2</v>
      </c>
      <c r="E317" s="437"/>
      <c r="F317" s="575">
        <v>136</v>
      </c>
    </row>
    <row r="318" spans="1:6" x14ac:dyDescent="0.35">
      <c r="A318" s="475">
        <v>8</v>
      </c>
      <c r="B318" s="437">
        <v>3</v>
      </c>
      <c r="C318" s="475">
        <v>10</v>
      </c>
      <c r="D318" s="421">
        <v>2</v>
      </c>
      <c r="E318" s="437"/>
      <c r="F318" s="575">
        <v>144</v>
      </c>
    </row>
    <row r="319" spans="1:6" x14ac:dyDescent="0.35">
      <c r="A319" s="475">
        <v>5</v>
      </c>
      <c r="B319" s="437">
        <v>5</v>
      </c>
      <c r="C319" s="475">
        <v>7</v>
      </c>
      <c r="D319" s="421">
        <v>3</v>
      </c>
      <c r="E319" s="437"/>
      <c r="F319" s="575">
        <v>152</v>
      </c>
    </row>
    <row r="320" spans="1:6" x14ac:dyDescent="0.35">
      <c r="A320" s="475">
        <v>3</v>
      </c>
      <c r="B320" s="437">
        <v>9</v>
      </c>
      <c r="C320" s="475">
        <v>11</v>
      </c>
      <c r="D320" s="421">
        <v>2</v>
      </c>
      <c r="E320" s="437"/>
      <c r="F320" s="575">
        <v>160</v>
      </c>
    </row>
    <row r="321" spans="1:6" x14ac:dyDescent="0.35">
      <c r="A321" s="475">
        <v>7</v>
      </c>
      <c r="B321" s="437">
        <v>4</v>
      </c>
      <c r="C321" s="475">
        <v>12</v>
      </c>
      <c r="D321" s="421">
        <v>2</v>
      </c>
      <c r="E321" s="437"/>
      <c r="F321" s="575">
        <v>168</v>
      </c>
    </row>
    <row r="322" spans="1:6" x14ac:dyDescent="0.35">
      <c r="A322" s="475">
        <v>6</v>
      </c>
      <c r="B322" s="437">
        <v>5</v>
      </c>
      <c r="C322" s="475">
        <v>5</v>
      </c>
      <c r="D322" s="421">
        <v>5</v>
      </c>
      <c r="E322" s="437"/>
      <c r="F322" s="575">
        <v>176</v>
      </c>
    </row>
    <row r="323" spans="1:6" x14ac:dyDescent="0.35">
      <c r="A323" s="475">
        <v>8</v>
      </c>
      <c r="B323" s="437">
        <v>4</v>
      </c>
      <c r="C323" s="475">
        <v>13</v>
      </c>
      <c r="D323" s="421">
        <v>2</v>
      </c>
      <c r="E323" s="437"/>
      <c r="F323" s="575">
        <v>184</v>
      </c>
    </row>
    <row r="324" spans="1:6" x14ac:dyDescent="0.35">
      <c r="A324" s="475">
        <v>7</v>
      </c>
      <c r="B324" s="437">
        <v>5</v>
      </c>
      <c r="C324" s="475">
        <v>9</v>
      </c>
      <c r="D324" s="421">
        <v>3</v>
      </c>
      <c r="E324" s="437"/>
      <c r="F324" s="575">
        <v>192</v>
      </c>
    </row>
    <row r="325" spans="1:6" x14ac:dyDescent="0.35">
      <c r="A325" s="475">
        <v>6</v>
      </c>
      <c r="B325" s="437">
        <v>6</v>
      </c>
      <c r="C325" s="475">
        <v>14</v>
      </c>
      <c r="D325" s="421">
        <v>2</v>
      </c>
      <c r="E325" s="437"/>
      <c r="F325" s="575">
        <v>196</v>
      </c>
    </row>
    <row r="326" spans="1:6" x14ac:dyDescent="0.35">
      <c r="A326" s="475">
        <v>8</v>
      </c>
      <c r="B326" s="437">
        <v>5</v>
      </c>
      <c r="C326" s="475">
        <v>15</v>
      </c>
      <c r="D326" s="421">
        <v>2</v>
      </c>
      <c r="E326" s="437"/>
      <c r="F326" s="575">
        <v>200</v>
      </c>
    </row>
    <row r="327" spans="1:6" x14ac:dyDescent="0.35">
      <c r="A327" s="475">
        <v>7</v>
      </c>
      <c r="B327" s="437">
        <v>6</v>
      </c>
      <c r="C327" s="475">
        <v>16</v>
      </c>
      <c r="D327" s="421">
        <v>2</v>
      </c>
      <c r="E327" s="437"/>
      <c r="F327" s="575">
        <v>208</v>
      </c>
    </row>
    <row r="328" spans="1:6" x14ac:dyDescent="0.35">
      <c r="A328" s="475">
        <v>5</v>
      </c>
      <c r="B328" s="437">
        <v>9</v>
      </c>
      <c r="C328" s="475">
        <v>11</v>
      </c>
      <c r="D328" s="421">
        <v>3</v>
      </c>
      <c r="E328" s="437"/>
      <c r="F328" s="575">
        <v>216</v>
      </c>
    </row>
    <row r="329" spans="1:6" x14ac:dyDescent="0.35">
      <c r="A329" s="475">
        <v>8</v>
      </c>
      <c r="B329" s="437">
        <v>6</v>
      </c>
      <c r="C329" s="475">
        <v>2</v>
      </c>
      <c r="D329" s="421">
        <v>17</v>
      </c>
      <c r="E329" s="437"/>
      <c r="F329" s="575">
        <v>224</v>
      </c>
    </row>
    <row r="330" spans="1:6" x14ac:dyDescent="0.35">
      <c r="A330" s="475">
        <v>7</v>
      </c>
      <c r="B330" s="437">
        <v>7</v>
      </c>
      <c r="C330" s="475">
        <v>7</v>
      </c>
      <c r="D330" s="421">
        <v>5</v>
      </c>
      <c r="E330" s="437"/>
      <c r="F330" s="575">
        <v>232</v>
      </c>
    </row>
    <row r="331" spans="1:6" x14ac:dyDescent="0.35">
      <c r="A331" s="475">
        <v>5</v>
      </c>
      <c r="B331" s="437">
        <v>10</v>
      </c>
      <c r="C331" s="475">
        <v>12</v>
      </c>
      <c r="D331" s="421">
        <v>3</v>
      </c>
      <c r="E331" s="437"/>
      <c r="F331" s="575">
        <v>240</v>
      </c>
    </row>
    <row r="332" spans="1:6" x14ac:dyDescent="0.35">
      <c r="A332" s="475">
        <v>6</v>
      </c>
      <c r="B332" s="437">
        <v>9</v>
      </c>
      <c r="C332" s="475">
        <v>2</v>
      </c>
      <c r="D332" s="421">
        <v>19</v>
      </c>
      <c r="E332" s="437"/>
      <c r="F332" s="575">
        <v>248</v>
      </c>
    </row>
    <row r="333" spans="1:6" ht="15" thickBot="1" x14ac:dyDescent="0.4">
      <c r="A333" s="475">
        <v>5</v>
      </c>
      <c r="B333" s="437">
        <v>11</v>
      </c>
      <c r="C333" s="475">
        <v>13</v>
      </c>
      <c r="D333" s="421">
        <v>3</v>
      </c>
      <c r="E333" s="437"/>
      <c r="F333" s="580">
        <v>256</v>
      </c>
    </row>
    <row r="334" spans="1:6" x14ac:dyDescent="0.35">
      <c r="A334" s="475">
        <v>8</v>
      </c>
      <c r="B334" s="437">
        <v>7</v>
      </c>
      <c r="C334" s="475">
        <v>10</v>
      </c>
      <c r="D334" s="421">
        <v>4</v>
      </c>
      <c r="E334" s="437"/>
      <c r="F334" s="421"/>
    </row>
    <row r="335" spans="1:6" x14ac:dyDescent="0.35">
      <c r="A335" s="475">
        <v>6</v>
      </c>
      <c r="B335" s="437">
        <v>10</v>
      </c>
      <c r="C335" s="475">
        <v>14</v>
      </c>
      <c r="D335" s="421">
        <v>3</v>
      </c>
      <c r="E335" s="437"/>
      <c r="F335" s="421"/>
    </row>
    <row r="336" spans="1:6" x14ac:dyDescent="0.35">
      <c r="A336" s="475">
        <v>7</v>
      </c>
      <c r="B336" s="437">
        <v>9</v>
      </c>
      <c r="C336" s="475">
        <v>11</v>
      </c>
      <c r="D336" s="421">
        <v>4</v>
      </c>
      <c r="E336" s="437"/>
      <c r="F336" s="421"/>
    </row>
    <row r="337" spans="1:6" x14ac:dyDescent="0.35">
      <c r="A337" s="475">
        <v>8</v>
      </c>
      <c r="B337" s="437">
        <v>8</v>
      </c>
      <c r="C337" s="475">
        <v>15</v>
      </c>
      <c r="D337" s="421">
        <v>3</v>
      </c>
      <c r="E337" s="437"/>
      <c r="F337" s="421"/>
    </row>
    <row r="338" spans="1:6" x14ac:dyDescent="0.35">
      <c r="A338" s="475">
        <v>5</v>
      </c>
      <c r="B338" s="437">
        <v>13</v>
      </c>
      <c r="C338" s="475">
        <v>2</v>
      </c>
      <c r="D338" s="421">
        <v>23</v>
      </c>
      <c r="E338" s="437"/>
      <c r="F338" s="421"/>
    </row>
    <row r="339" spans="1:6" x14ac:dyDescent="0.35">
      <c r="A339" s="475">
        <v>6</v>
      </c>
      <c r="B339" s="437">
        <v>11</v>
      </c>
      <c r="C339" s="475">
        <v>16</v>
      </c>
      <c r="D339" s="421">
        <v>3</v>
      </c>
      <c r="E339" s="437"/>
      <c r="F339" s="421"/>
    </row>
    <row r="340" spans="1:6" x14ac:dyDescent="0.35">
      <c r="A340" s="475">
        <v>7</v>
      </c>
      <c r="B340" s="437">
        <v>10</v>
      </c>
      <c r="C340" s="475">
        <v>7</v>
      </c>
      <c r="D340" s="421">
        <v>7</v>
      </c>
      <c r="E340" s="437"/>
      <c r="F340" s="421"/>
    </row>
    <row r="341" spans="1:6" x14ac:dyDescent="0.35">
      <c r="A341" s="475">
        <v>8</v>
      </c>
      <c r="B341" s="437">
        <v>9</v>
      </c>
      <c r="C341" s="475">
        <v>10</v>
      </c>
      <c r="D341" s="421">
        <v>5</v>
      </c>
      <c r="E341" s="437"/>
      <c r="F341" s="421"/>
    </row>
    <row r="342" spans="1:6" x14ac:dyDescent="0.35">
      <c r="A342" s="475">
        <v>5</v>
      </c>
      <c r="B342" s="437">
        <v>15</v>
      </c>
      <c r="C342" s="475">
        <v>3</v>
      </c>
      <c r="D342" s="421">
        <v>17</v>
      </c>
      <c r="E342" s="437"/>
      <c r="F342" s="421"/>
    </row>
    <row r="343" spans="1:6" x14ac:dyDescent="0.35">
      <c r="A343" s="475">
        <v>7</v>
      </c>
      <c r="B343" s="437">
        <v>11</v>
      </c>
      <c r="C343" s="475">
        <v>13</v>
      </c>
      <c r="D343" s="421">
        <v>4</v>
      </c>
      <c r="E343" s="437"/>
      <c r="F343" s="421"/>
    </row>
    <row r="344" spans="1:6" x14ac:dyDescent="0.35">
      <c r="A344" s="475">
        <v>6</v>
      </c>
      <c r="B344" s="437">
        <v>13</v>
      </c>
      <c r="C344" s="475">
        <v>9</v>
      </c>
      <c r="D344" s="421">
        <v>6</v>
      </c>
      <c r="E344" s="437"/>
      <c r="F344" s="421"/>
    </row>
    <row r="345" spans="1:6" x14ac:dyDescent="0.35">
      <c r="A345" s="475">
        <v>8</v>
      </c>
      <c r="B345" s="437">
        <v>10</v>
      </c>
      <c r="C345" s="475">
        <v>11</v>
      </c>
      <c r="D345" s="421">
        <v>5</v>
      </c>
      <c r="E345" s="437"/>
      <c r="F345" s="421"/>
    </row>
    <row r="346" spans="1:6" x14ac:dyDescent="0.35">
      <c r="A346" s="475">
        <v>7</v>
      </c>
      <c r="B346" s="437">
        <v>12</v>
      </c>
      <c r="C346" s="475">
        <v>14</v>
      </c>
      <c r="D346" s="421">
        <v>4</v>
      </c>
      <c r="E346" s="437"/>
      <c r="F346" s="421"/>
    </row>
    <row r="347" spans="1:6" x14ac:dyDescent="0.35">
      <c r="A347" s="475">
        <v>5</v>
      </c>
      <c r="B347" s="437">
        <v>17</v>
      </c>
      <c r="C347" s="475">
        <v>3</v>
      </c>
      <c r="D347" s="421">
        <v>19</v>
      </c>
      <c r="E347" s="437"/>
      <c r="F347" s="421"/>
    </row>
    <row r="348" spans="1:6" x14ac:dyDescent="0.35">
      <c r="A348" s="475">
        <v>8</v>
      </c>
      <c r="B348" s="437">
        <v>11</v>
      </c>
      <c r="C348" s="475">
        <v>2</v>
      </c>
      <c r="D348" s="421">
        <v>29</v>
      </c>
      <c r="E348" s="437"/>
      <c r="F348" s="421"/>
    </row>
    <row r="349" spans="1:6" x14ac:dyDescent="0.35">
      <c r="A349" s="475">
        <v>6</v>
      </c>
      <c r="B349" s="437">
        <v>15</v>
      </c>
      <c r="C349" s="475">
        <v>15</v>
      </c>
      <c r="D349" s="421">
        <v>4</v>
      </c>
      <c r="E349" s="437"/>
      <c r="F349" s="421"/>
    </row>
    <row r="350" spans="1:6" x14ac:dyDescent="0.35">
      <c r="A350" s="475">
        <v>7</v>
      </c>
      <c r="B350" s="437">
        <v>13</v>
      </c>
      <c r="C350" s="475">
        <v>2</v>
      </c>
      <c r="D350" s="421">
        <v>31</v>
      </c>
      <c r="E350" s="437"/>
      <c r="F350" s="421"/>
    </row>
    <row r="351" spans="1:6" x14ac:dyDescent="0.35">
      <c r="A351" s="475">
        <v>8</v>
      </c>
      <c r="B351" s="437">
        <v>12</v>
      </c>
      <c r="C351" s="475">
        <v>9</v>
      </c>
      <c r="D351" s="421">
        <v>7</v>
      </c>
      <c r="E351" s="437"/>
      <c r="F351" s="421"/>
    </row>
    <row r="352" spans="1:6" x14ac:dyDescent="0.35">
      <c r="A352" s="475">
        <v>7</v>
      </c>
      <c r="B352" s="437">
        <v>14</v>
      </c>
      <c r="C352" s="475">
        <v>16</v>
      </c>
      <c r="D352" s="421">
        <v>4</v>
      </c>
      <c r="E352" s="437"/>
      <c r="F352" s="421"/>
    </row>
    <row r="353" spans="1:6" x14ac:dyDescent="0.35">
      <c r="A353" s="475">
        <v>6</v>
      </c>
      <c r="B353" s="437">
        <v>17</v>
      </c>
      <c r="C353" s="475">
        <v>13</v>
      </c>
      <c r="D353" s="421">
        <v>5</v>
      </c>
      <c r="E353" s="437"/>
      <c r="F353" s="421"/>
    </row>
    <row r="354" spans="1:6" x14ac:dyDescent="0.35">
      <c r="A354" s="475">
        <v>8</v>
      </c>
      <c r="B354" s="437">
        <v>13</v>
      </c>
      <c r="C354" s="475">
        <v>11</v>
      </c>
      <c r="D354" s="421">
        <v>6</v>
      </c>
      <c r="E354" s="437"/>
      <c r="F354" s="421"/>
    </row>
    <row r="355" spans="1:6" x14ac:dyDescent="0.35">
      <c r="A355" s="475">
        <v>7</v>
      </c>
      <c r="B355" s="437">
        <v>15</v>
      </c>
      <c r="C355" s="475">
        <v>4</v>
      </c>
      <c r="D355" s="421">
        <v>17</v>
      </c>
      <c r="E355" s="437"/>
      <c r="F355" s="421"/>
    </row>
    <row r="356" spans="1:6" x14ac:dyDescent="0.35">
      <c r="A356" s="475">
        <v>6</v>
      </c>
      <c r="B356" s="437">
        <v>18</v>
      </c>
      <c r="C356" s="475">
        <v>3</v>
      </c>
      <c r="D356" s="421">
        <v>23</v>
      </c>
      <c r="E356" s="437"/>
      <c r="F356" s="421"/>
    </row>
    <row r="357" spans="1:6" x14ac:dyDescent="0.35">
      <c r="A357" s="475">
        <v>8</v>
      </c>
      <c r="B357" s="437">
        <v>14</v>
      </c>
      <c r="C357" s="475">
        <v>14</v>
      </c>
      <c r="D357" s="421">
        <v>5</v>
      </c>
      <c r="E357" s="437"/>
      <c r="F357" s="421"/>
    </row>
    <row r="358" spans="1:6" x14ac:dyDescent="0.35">
      <c r="A358" s="475">
        <v>6</v>
      </c>
      <c r="B358" s="437">
        <v>19</v>
      </c>
      <c r="C358" s="475">
        <v>12</v>
      </c>
      <c r="D358" s="421">
        <v>6</v>
      </c>
      <c r="E358" s="437"/>
      <c r="F358" s="421"/>
    </row>
    <row r="359" spans="1:6" x14ac:dyDescent="0.35">
      <c r="A359" s="475">
        <v>7</v>
      </c>
      <c r="B359" s="437">
        <v>17</v>
      </c>
      <c r="C359" s="475">
        <v>15</v>
      </c>
      <c r="D359" s="421">
        <v>5</v>
      </c>
      <c r="E359" s="437"/>
      <c r="F359" s="421"/>
    </row>
    <row r="360" spans="1:6" x14ac:dyDescent="0.35">
      <c r="A360" s="475">
        <v>8</v>
      </c>
      <c r="B360" s="437">
        <v>15</v>
      </c>
      <c r="C360" s="475">
        <v>4</v>
      </c>
      <c r="D360" s="421">
        <v>19</v>
      </c>
      <c r="E360" s="437"/>
      <c r="F360" s="421"/>
    </row>
    <row r="361" spans="1:6" x14ac:dyDescent="0.35">
      <c r="A361" s="475">
        <v>4</v>
      </c>
      <c r="B361" s="437">
        <v>31</v>
      </c>
      <c r="C361" s="475">
        <v>11</v>
      </c>
      <c r="D361" s="421">
        <v>7</v>
      </c>
      <c r="E361" s="437"/>
      <c r="F361" s="421"/>
    </row>
    <row r="362" spans="1:6" x14ac:dyDescent="0.35">
      <c r="A362" s="475">
        <v>7</v>
      </c>
      <c r="B362" s="437">
        <v>18</v>
      </c>
      <c r="C362" s="475">
        <v>13</v>
      </c>
      <c r="D362" s="421">
        <v>6</v>
      </c>
      <c r="E362" s="437"/>
      <c r="F362" s="421"/>
    </row>
    <row r="363" spans="1:6" x14ac:dyDescent="0.35">
      <c r="A363" s="475">
        <v>8</v>
      </c>
      <c r="B363" s="437">
        <v>16</v>
      </c>
      <c r="C363" s="475">
        <v>16</v>
      </c>
      <c r="D363" s="421">
        <v>5</v>
      </c>
      <c r="E363" s="437"/>
      <c r="F363" s="421"/>
    </row>
    <row r="364" spans="1:6" x14ac:dyDescent="0.35">
      <c r="A364" s="475">
        <v>6</v>
      </c>
      <c r="B364" s="437">
        <v>22</v>
      </c>
      <c r="C364" s="475">
        <v>9</v>
      </c>
      <c r="D364" s="421">
        <v>9</v>
      </c>
      <c r="E364" s="437"/>
      <c r="F364" s="421"/>
    </row>
    <row r="365" spans="1:6" x14ac:dyDescent="0.35">
      <c r="A365" s="475">
        <v>7</v>
      </c>
      <c r="B365" s="437">
        <v>19</v>
      </c>
      <c r="C365" s="475">
        <v>14</v>
      </c>
      <c r="D365" s="421">
        <v>6</v>
      </c>
      <c r="E365" s="437"/>
      <c r="F365" s="421"/>
    </row>
    <row r="366" spans="1:6" x14ac:dyDescent="0.35">
      <c r="A366" s="475">
        <v>8</v>
      </c>
      <c r="B366" s="437">
        <v>17</v>
      </c>
      <c r="C366" s="475">
        <v>5</v>
      </c>
      <c r="D366" s="421">
        <v>17</v>
      </c>
      <c r="E366" s="437"/>
      <c r="F366" s="421"/>
    </row>
    <row r="367" spans="1:6" x14ac:dyDescent="0.35">
      <c r="A367" s="475">
        <v>6</v>
      </c>
      <c r="B367" s="437">
        <v>23</v>
      </c>
      <c r="C367" s="475">
        <v>3</v>
      </c>
      <c r="D367" s="421">
        <v>29</v>
      </c>
      <c r="E367" s="437"/>
      <c r="F367" s="421"/>
    </row>
    <row r="368" spans="1:6" x14ac:dyDescent="0.35">
      <c r="A368" s="475">
        <v>7</v>
      </c>
      <c r="B368" s="437">
        <v>20</v>
      </c>
      <c r="C368" s="475">
        <v>11</v>
      </c>
      <c r="D368" s="421">
        <v>8</v>
      </c>
      <c r="E368" s="437"/>
      <c r="F368" s="421"/>
    </row>
    <row r="369" spans="1:6" x14ac:dyDescent="0.35">
      <c r="A369" s="475">
        <v>8</v>
      </c>
      <c r="B369" s="437">
        <v>18</v>
      </c>
      <c r="C369" s="475">
        <v>15</v>
      </c>
      <c r="D369" s="421">
        <v>6</v>
      </c>
      <c r="E369" s="437"/>
      <c r="F369" s="421"/>
    </row>
    <row r="370" spans="1:6" x14ac:dyDescent="0.35">
      <c r="A370" s="475">
        <v>7</v>
      </c>
      <c r="B370" s="437">
        <v>21</v>
      </c>
      <c r="C370" s="475">
        <v>13</v>
      </c>
      <c r="D370" s="421">
        <v>7</v>
      </c>
      <c r="E370" s="437"/>
      <c r="F370" s="421"/>
    </row>
    <row r="371" spans="1:6" x14ac:dyDescent="0.35">
      <c r="A371" s="475">
        <v>6</v>
      </c>
      <c r="B371" s="437">
        <v>25</v>
      </c>
      <c r="C371" s="475">
        <v>4</v>
      </c>
      <c r="D371" s="421">
        <v>23</v>
      </c>
      <c r="E371" s="437"/>
      <c r="F371" s="421"/>
    </row>
    <row r="372" spans="1:6" x14ac:dyDescent="0.35">
      <c r="A372" s="475">
        <v>8</v>
      </c>
      <c r="B372" s="437">
        <v>19</v>
      </c>
      <c r="C372" s="475">
        <v>3</v>
      </c>
      <c r="D372" s="421">
        <v>31</v>
      </c>
      <c r="E372" s="437"/>
      <c r="F372" s="421"/>
    </row>
    <row r="373" spans="1:6" x14ac:dyDescent="0.35">
      <c r="A373" s="475">
        <v>7</v>
      </c>
      <c r="B373" s="437">
        <v>22</v>
      </c>
      <c r="C373" s="475">
        <v>5</v>
      </c>
      <c r="D373" s="421">
        <v>19</v>
      </c>
      <c r="E373" s="437"/>
      <c r="F373" s="421"/>
    </row>
    <row r="374" spans="1:6" x14ac:dyDescent="0.35">
      <c r="A374" s="475">
        <v>6</v>
      </c>
      <c r="B374" s="437">
        <v>26</v>
      </c>
      <c r="C374" s="475">
        <v>16</v>
      </c>
      <c r="D374" s="421">
        <v>6</v>
      </c>
      <c r="E374" s="437"/>
      <c r="F374" s="421"/>
    </row>
    <row r="375" spans="1:6" x14ac:dyDescent="0.35">
      <c r="A375" s="475">
        <v>8</v>
      </c>
      <c r="B375" s="437">
        <v>20</v>
      </c>
      <c r="C375" s="475">
        <v>14</v>
      </c>
      <c r="D375" s="421">
        <v>7</v>
      </c>
      <c r="E375" s="437"/>
      <c r="F375" s="421"/>
    </row>
    <row r="376" spans="1:6" x14ac:dyDescent="0.35">
      <c r="A376" s="475">
        <v>7</v>
      </c>
      <c r="B376" s="437">
        <v>23</v>
      </c>
      <c r="C376" s="475">
        <v>11</v>
      </c>
      <c r="D376" s="421">
        <v>9</v>
      </c>
      <c r="E376" s="437"/>
      <c r="F376" s="421"/>
    </row>
    <row r="377" spans="1:6" x14ac:dyDescent="0.35">
      <c r="A377" s="475">
        <v>6</v>
      </c>
      <c r="B377" s="437">
        <v>27</v>
      </c>
      <c r="C377" s="475">
        <v>10</v>
      </c>
      <c r="D377" s="421">
        <v>10</v>
      </c>
      <c r="E377" s="437"/>
      <c r="F377" s="421"/>
    </row>
    <row r="378" spans="1:6" x14ac:dyDescent="0.35">
      <c r="A378" s="475">
        <v>8</v>
      </c>
      <c r="B378" s="437">
        <v>21</v>
      </c>
      <c r="C378" s="475">
        <v>6</v>
      </c>
      <c r="D378" s="421">
        <v>17</v>
      </c>
      <c r="E378" s="437"/>
      <c r="F378" s="421"/>
    </row>
    <row r="379" spans="1:6" x14ac:dyDescent="0.35">
      <c r="A379" s="475">
        <v>6</v>
      </c>
      <c r="B379" s="437">
        <v>29</v>
      </c>
      <c r="C379" s="475">
        <v>13</v>
      </c>
      <c r="D379" s="421">
        <v>8</v>
      </c>
      <c r="E379" s="437"/>
      <c r="F379" s="421"/>
    </row>
    <row r="380" spans="1:6" x14ac:dyDescent="0.35">
      <c r="A380" s="475">
        <v>7</v>
      </c>
      <c r="B380" s="437">
        <v>25</v>
      </c>
      <c r="C380" s="475">
        <v>15</v>
      </c>
      <c r="D380" s="421">
        <v>7</v>
      </c>
      <c r="E380" s="437"/>
      <c r="F380" s="421"/>
    </row>
    <row r="381" spans="1:6" x14ac:dyDescent="0.35">
      <c r="A381" s="475">
        <v>8</v>
      </c>
      <c r="B381" s="437">
        <v>22</v>
      </c>
      <c r="C381" s="475">
        <v>12</v>
      </c>
      <c r="D381" s="421">
        <v>9</v>
      </c>
      <c r="E381" s="437"/>
      <c r="F381" s="421"/>
    </row>
    <row r="382" spans="1:6" x14ac:dyDescent="0.35">
      <c r="A382" s="475">
        <v>6</v>
      </c>
      <c r="B382" s="437">
        <v>30</v>
      </c>
      <c r="C382" s="475">
        <v>11</v>
      </c>
      <c r="D382" s="421">
        <v>10</v>
      </c>
      <c r="E382" s="437"/>
      <c r="F382" s="421"/>
    </row>
    <row r="383" spans="1:6" x14ac:dyDescent="0.35">
      <c r="A383" s="475">
        <v>7</v>
      </c>
      <c r="B383" s="437">
        <v>26</v>
      </c>
      <c r="C383" s="475">
        <v>16</v>
      </c>
      <c r="D383" s="421">
        <v>7</v>
      </c>
      <c r="E383" s="437"/>
      <c r="F383" s="421"/>
    </row>
    <row r="384" spans="1:6" x14ac:dyDescent="0.35">
      <c r="A384" s="475">
        <v>8</v>
      </c>
      <c r="B384" s="437">
        <v>23</v>
      </c>
      <c r="C384" s="475">
        <v>6</v>
      </c>
      <c r="D384" s="421">
        <v>19</v>
      </c>
      <c r="E384" s="437"/>
      <c r="F384" s="421"/>
    </row>
    <row r="385" spans="1:6" x14ac:dyDescent="0.35">
      <c r="A385" s="475">
        <v>6</v>
      </c>
      <c r="B385" s="437">
        <v>31</v>
      </c>
      <c r="C385" s="475">
        <v>5</v>
      </c>
      <c r="D385" s="421">
        <v>23</v>
      </c>
      <c r="E385" s="437"/>
      <c r="F385" s="421"/>
    </row>
    <row r="386" spans="1:6" x14ac:dyDescent="0.35">
      <c r="A386" s="475">
        <v>7</v>
      </c>
      <c r="B386" s="437">
        <v>27</v>
      </c>
      <c r="C386" s="475">
        <v>4</v>
      </c>
      <c r="D386" s="421">
        <v>29</v>
      </c>
      <c r="E386" s="437"/>
      <c r="F386" s="421"/>
    </row>
    <row r="387" spans="1:6" x14ac:dyDescent="0.35">
      <c r="A387" s="475">
        <v>8</v>
      </c>
      <c r="B387" s="437">
        <v>24</v>
      </c>
      <c r="C387" s="475">
        <v>13</v>
      </c>
      <c r="D387" s="421">
        <v>9</v>
      </c>
      <c r="E387" s="437"/>
      <c r="F387" s="421"/>
    </row>
    <row r="388" spans="1:6" x14ac:dyDescent="0.35">
      <c r="A388" s="475">
        <v>7</v>
      </c>
      <c r="B388" s="437">
        <v>28</v>
      </c>
      <c r="C388" s="475">
        <v>7</v>
      </c>
      <c r="D388" s="421">
        <v>17</v>
      </c>
      <c r="E388" s="437"/>
      <c r="F388" s="421"/>
    </row>
    <row r="389" spans="1:6" x14ac:dyDescent="0.35">
      <c r="A389" s="475">
        <v>8</v>
      </c>
      <c r="B389" s="437">
        <v>25</v>
      </c>
      <c r="C389" s="475">
        <v>15</v>
      </c>
      <c r="D389" s="421">
        <v>8</v>
      </c>
      <c r="E389" s="437"/>
      <c r="F389" s="421"/>
    </row>
    <row r="390" spans="1:6" x14ac:dyDescent="0.35">
      <c r="A390" s="475">
        <v>7</v>
      </c>
      <c r="B390" s="437">
        <v>29</v>
      </c>
      <c r="C390" s="475">
        <v>11</v>
      </c>
      <c r="D390" s="421">
        <v>11</v>
      </c>
      <c r="E390" s="437"/>
      <c r="F390" s="421"/>
    </row>
    <row r="391" spans="1:6" x14ac:dyDescent="0.35">
      <c r="A391" s="475">
        <v>8</v>
      </c>
      <c r="B391" s="437">
        <v>26</v>
      </c>
      <c r="C391" s="475">
        <v>4</v>
      </c>
      <c r="D391" s="421">
        <v>31</v>
      </c>
      <c r="E391" s="437"/>
      <c r="F391" s="421"/>
    </row>
    <row r="392" spans="1:6" x14ac:dyDescent="0.35">
      <c r="A392" s="475">
        <v>7</v>
      </c>
      <c r="B392" s="437">
        <v>30</v>
      </c>
      <c r="C392" s="475">
        <v>5</v>
      </c>
      <c r="D392" s="421">
        <v>25</v>
      </c>
      <c r="E392" s="437"/>
      <c r="F392" s="421"/>
    </row>
    <row r="393" spans="1:6" x14ac:dyDescent="0.35">
      <c r="A393" s="475">
        <v>8</v>
      </c>
      <c r="B393" s="437">
        <v>27</v>
      </c>
      <c r="C393" s="475">
        <v>14</v>
      </c>
      <c r="D393" s="421">
        <v>9</v>
      </c>
      <c r="E393" s="437"/>
      <c r="F393" s="421"/>
    </row>
    <row r="394" spans="1:6" x14ac:dyDescent="0.35">
      <c r="A394" s="475">
        <v>7</v>
      </c>
      <c r="B394" s="437">
        <v>31</v>
      </c>
      <c r="C394" s="475">
        <v>16</v>
      </c>
      <c r="D394" s="421">
        <v>8</v>
      </c>
      <c r="E394" s="437"/>
      <c r="F394" s="421"/>
    </row>
    <row r="395" spans="1:6" x14ac:dyDescent="0.35">
      <c r="A395" s="475">
        <v>8</v>
      </c>
      <c r="B395" s="437">
        <v>28</v>
      </c>
      <c r="C395" s="475">
        <v>13</v>
      </c>
      <c r="D395" s="421">
        <v>10</v>
      </c>
      <c r="E395" s="437"/>
      <c r="F395" s="421"/>
    </row>
    <row r="396" spans="1:6" x14ac:dyDescent="0.35">
      <c r="A396" s="475">
        <v>8</v>
      </c>
      <c r="B396" s="437">
        <v>29</v>
      </c>
      <c r="C396" s="475">
        <v>12</v>
      </c>
      <c r="D396" s="421">
        <v>11</v>
      </c>
      <c r="E396" s="437"/>
      <c r="F396" s="421"/>
    </row>
    <row r="397" spans="1:6" x14ac:dyDescent="0.35">
      <c r="A397" s="475">
        <v>8</v>
      </c>
      <c r="B397" s="437">
        <v>30</v>
      </c>
      <c r="C397" s="475">
        <v>7</v>
      </c>
      <c r="D397" s="421">
        <v>19</v>
      </c>
      <c r="E397" s="437"/>
      <c r="F397" s="421"/>
    </row>
    <row r="398" spans="1:6" x14ac:dyDescent="0.35">
      <c r="A398" s="475">
        <v>8</v>
      </c>
      <c r="B398" s="437">
        <v>31</v>
      </c>
      <c r="C398" s="475">
        <v>15</v>
      </c>
      <c r="D398" s="421">
        <v>9</v>
      </c>
      <c r="E398" s="437"/>
      <c r="F398" s="421"/>
    </row>
    <row r="399" spans="1:6" x14ac:dyDescent="0.35">
      <c r="A399" s="475">
        <v>8</v>
      </c>
      <c r="B399" s="437">
        <v>32</v>
      </c>
      <c r="C399" s="475">
        <v>8</v>
      </c>
      <c r="D399" s="421">
        <v>17</v>
      </c>
      <c r="E399" s="437"/>
      <c r="F399" s="421"/>
    </row>
    <row r="400" spans="1:6" ht="15" thickBot="1" x14ac:dyDescent="0.4">
      <c r="A400" s="475"/>
      <c r="B400" s="437"/>
      <c r="C400" s="475">
        <v>6</v>
      </c>
      <c r="D400" s="421">
        <v>23</v>
      </c>
      <c r="E400" s="437"/>
      <c r="F400" s="421"/>
    </row>
    <row r="401" spans="1:6" x14ac:dyDescent="0.35">
      <c r="A401" s="563"/>
      <c r="B401" s="289"/>
      <c r="C401" s="588">
        <v>14</v>
      </c>
      <c r="D401" s="589">
        <v>10</v>
      </c>
      <c r="E401" s="40"/>
      <c r="F401" s="57"/>
    </row>
    <row r="402" spans="1:6" x14ac:dyDescent="0.35">
      <c r="A402" s="573"/>
      <c r="B402" s="573"/>
      <c r="C402" s="590">
        <v>13</v>
      </c>
      <c r="D402" s="587">
        <v>11</v>
      </c>
      <c r="E402" s="573"/>
      <c r="F402" s="57"/>
    </row>
    <row r="403" spans="1:6" x14ac:dyDescent="0.35">
      <c r="C403" s="590">
        <v>16</v>
      </c>
      <c r="D403" s="587">
        <v>9</v>
      </c>
      <c r="F403" s="57"/>
    </row>
    <row r="404" spans="1:6" x14ac:dyDescent="0.35">
      <c r="C404" s="590">
        <v>5</v>
      </c>
      <c r="D404" s="587">
        <v>29</v>
      </c>
      <c r="F404" s="57"/>
    </row>
    <row r="405" spans="1:6" x14ac:dyDescent="0.35">
      <c r="C405" s="590">
        <v>7</v>
      </c>
      <c r="D405" s="587">
        <v>21</v>
      </c>
      <c r="F405" s="57"/>
    </row>
    <row r="406" spans="1:6" x14ac:dyDescent="0.35">
      <c r="C406" s="590">
        <v>15</v>
      </c>
      <c r="D406" s="587">
        <v>10</v>
      </c>
      <c r="F406" s="57"/>
    </row>
    <row r="407" spans="1:6" x14ac:dyDescent="0.35">
      <c r="C407" s="590">
        <v>8</v>
      </c>
      <c r="D407" s="587">
        <v>19</v>
      </c>
      <c r="F407" s="57"/>
    </row>
    <row r="408" spans="1:6" x14ac:dyDescent="0.35">
      <c r="C408" s="590">
        <v>9</v>
      </c>
      <c r="D408" s="587">
        <v>17</v>
      </c>
      <c r="F408" s="57"/>
    </row>
    <row r="409" spans="1:6" x14ac:dyDescent="0.35">
      <c r="C409" s="590">
        <v>14</v>
      </c>
      <c r="D409" s="587">
        <v>11</v>
      </c>
      <c r="F409" s="57"/>
    </row>
    <row r="410" spans="1:6" x14ac:dyDescent="0.35">
      <c r="C410" s="590">
        <v>5</v>
      </c>
      <c r="D410" s="587">
        <v>31</v>
      </c>
      <c r="F410" s="57"/>
    </row>
    <row r="411" spans="1:6" x14ac:dyDescent="0.35">
      <c r="C411" s="590">
        <v>13</v>
      </c>
      <c r="D411" s="587">
        <v>12</v>
      </c>
      <c r="F411" s="57"/>
    </row>
    <row r="412" spans="1:6" x14ac:dyDescent="0.35">
      <c r="C412" s="590">
        <v>16</v>
      </c>
      <c r="D412" s="587">
        <v>10</v>
      </c>
      <c r="F412" s="57"/>
    </row>
    <row r="413" spans="1:6" x14ac:dyDescent="0.35">
      <c r="C413" s="590">
        <v>7</v>
      </c>
      <c r="D413" s="587">
        <v>23</v>
      </c>
      <c r="F413" s="57"/>
    </row>
    <row r="414" spans="1:6" x14ac:dyDescent="0.35">
      <c r="C414" s="590">
        <v>9</v>
      </c>
      <c r="D414" s="587">
        <v>18</v>
      </c>
      <c r="F414" s="57"/>
    </row>
    <row r="415" spans="1:6" x14ac:dyDescent="0.35">
      <c r="C415" s="590">
        <v>15</v>
      </c>
      <c r="D415" s="587">
        <v>11</v>
      </c>
      <c r="F415" s="57"/>
    </row>
    <row r="416" spans="1:6" x14ac:dyDescent="0.35">
      <c r="C416" s="590">
        <v>14</v>
      </c>
      <c r="D416" s="587">
        <v>12</v>
      </c>
      <c r="F416" s="57"/>
    </row>
    <row r="417" spans="3:6" x14ac:dyDescent="0.35">
      <c r="C417" s="590">
        <v>13</v>
      </c>
      <c r="D417" s="587">
        <v>13</v>
      </c>
      <c r="F417" s="57"/>
    </row>
    <row r="418" spans="3:6" x14ac:dyDescent="0.35">
      <c r="C418" s="590">
        <v>10</v>
      </c>
      <c r="D418" s="587">
        <v>17</v>
      </c>
      <c r="F418" s="57"/>
    </row>
    <row r="419" spans="3:6" x14ac:dyDescent="0.35">
      <c r="C419" s="590">
        <v>9</v>
      </c>
      <c r="D419" s="587">
        <v>19</v>
      </c>
      <c r="F419" s="57"/>
    </row>
    <row r="420" spans="3:6" x14ac:dyDescent="0.35">
      <c r="C420" s="590">
        <v>6</v>
      </c>
      <c r="D420" s="587">
        <v>29</v>
      </c>
      <c r="F420" s="57"/>
    </row>
    <row r="421" spans="3:6" x14ac:dyDescent="0.35">
      <c r="C421" s="590">
        <v>7</v>
      </c>
      <c r="D421" s="587">
        <v>25</v>
      </c>
      <c r="F421" s="57"/>
    </row>
    <row r="422" spans="3:6" x14ac:dyDescent="0.35">
      <c r="C422" s="590">
        <v>16</v>
      </c>
      <c r="D422" s="587">
        <v>11</v>
      </c>
      <c r="F422" s="57"/>
    </row>
    <row r="423" spans="3:6" x14ac:dyDescent="0.35">
      <c r="C423" s="590">
        <v>15</v>
      </c>
      <c r="D423" s="587">
        <v>12</v>
      </c>
      <c r="F423" s="57"/>
    </row>
    <row r="424" spans="3:6" x14ac:dyDescent="0.35">
      <c r="C424" s="590">
        <v>14</v>
      </c>
      <c r="D424" s="587">
        <v>13</v>
      </c>
      <c r="F424" s="57"/>
    </row>
    <row r="425" spans="3:6" x14ac:dyDescent="0.35">
      <c r="C425" s="590">
        <v>8</v>
      </c>
      <c r="D425" s="587">
        <v>23</v>
      </c>
      <c r="F425" s="57"/>
    </row>
    <row r="426" spans="3:6" x14ac:dyDescent="0.35">
      <c r="C426" s="590">
        <v>6</v>
      </c>
      <c r="D426" s="587">
        <v>31</v>
      </c>
      <c r="F426" s="57"/>
    </row>
    <row r="427" spans="3:6" x14ac:dyDescent="0.35">
      <c r="C427" s="590">
        <v>11</v>
      </c>
      <c r="D427" s="587">
        <v>17</v>
      </c>
      <c r="F427" s="57"/>
    </row>
    <row r="428" spans="3:6" x14ac:dyDescent="0.35">
      <c r="C428" s="590">
        <v>9</v>
      </c>
      <c r="D428" s="587">
        <v>21</v>
      </c>
      <c r="F428" s="57"/>
    </row>
    <row r="429" spans="3:6" x14ac:dyDescent="0.35">
      <c r="C429" s="590">
        <v>10</v>
      </c>
      <c r="D429" s="587">
        <v>19</v>
      </c>
      <c r="F429" s="57"/>
    </row>
    <row r="430" spans="3:6" x14ac:dyDescent="0.35">
      <c r="C430" s="590">
        <v>16</v>
      </c>
      <c r="D430" s="587">
        <v>12</v>
      </c>
      <c r="F430" s="57"/>
    </row>
    <row r="431" spans="3:6" x14ac:dyDescent="0.35">
      <c r="C431" s="590">
        <v>15</v>
      </c>
      <c r="D431" s="587">
        <v>13</v>
      </c>
      <c r="F431" s="57"/>
    </row>
    <row r="432" spans="3:6" x14ac:dyDescent="0.35">
      <c r="C432" s="590">
        <v>14</v>
      </c>
      <c r="D432" s="587">
        <v>14</v>
      </c>
      <c r="F432" s="57"/>
    </row>
    <row r="433" spans="3:6" x14ac:dyDescent="0.35">
      <c r="C433" s="590">
        <v>11</v>
      </c>
      <c r="D433" s="587">
        <v>18</v>
      </c>
      <c r="F433" s="57"/>
    </row>
    <row r="434" spans="3:6" x14ac:dyDescent="0.35">
      <c r="C434" s="590">
        <v>10</v>
      </c>
      <c r="D434" s="587">
        <v>20</v>
      </c>
      <c r="F434" s="57"/>
    </row>
    <row r="435" spans="3:6" x14ac:dyDescent="0.35">
      <c r="C435" s="590">
        <v>7</v>
      </c>
      <c r="D435" s="587">
        <v>29</v>
      </c>
      <c r="F435" s="57"/>
    </row>
    <row r="436" spans="3:6" x14ac:dyDescent="0.35">
      <c r="C436" s="590">
        <v>12</v>
      </c>
      <c r="D436" s="587">
        <v>17</v>
      </c>
      <c r="F436" s="57"/>
    </row>
    <row r="437" spans="3:6" x14ac:dyDescent="0.35">
      <c r="C437" s="590">
        <v>9</v>
      </c>
      <c r="D437" s="587">
        <v>23</v>
      </c>
      <c r="F437" s="57"/>
    </row>
    <row r="438" spans="3:6" x14ac:dyDescent="0.35">
      <c r="C438" s="590">
        <v>16</v>
      </c>
      <c r="D438" s="587">
        <v>13</v>
      </c>
      <c r="F438" s="57"/>
    </row>
    <row r="439" spans="3:6" x14ac:dyDescent="0.35">
      <c r="C439" s="590">
        <v>11</v>
      </c>
      <c r="D439" s="587">
        <v>19</v>
      </c>
      <c r="F439" s="57"/>
    </row>
    <row r="440" spans="3:6" x14ac:dyDescent="0.35">
      <c r="C440" s="590">
        <v>15</v>
      </c>
      <c r="D440" s="587">
        <v>14</v>
      </c>
      <c r="F440" s="57"/>
    </row>
    <row r="441" spans="3:6" x14ac:dyDescent="0.35">
      <c r="C441" s="590">
        <v>12</v>
      </c>
      <c r="D441" s="587">
        <v>18</v>
      </c>
      <c r="F441" s="57"/>
    </row>
    <row r="442" spans="3:6" x14ac:dyDescent="0.35">
      <c r="C442" s="590">
        <v>7</v>
      </c>
      <c r="D442" s="587">
        <v>31</v>
      </c>
      <c r="F442" s="57"/>
    </row>
    <row r="443" spans="3:6" x14ac:dyDescent="0.35">
      <c r="C443" s="590">
        <v>11</v>
      </c>
      <c r="D443" s="587">
        <v>20</v>
      </c>
      <c r="F443" s="57"/>
    </row>
    <row r="444" spans="3:6" x14ac:dyDescent="0.35">
      <c r="C444" s="590">
        <v>13</v>
      </c>
      <c r="D444" s="587">
        <v>17</v>
      </c>
      <c r="F444" s="57"/>
    </row>
    <row r="445" spans="3:6" x14ac:dyDescent="0.35">
      <c r="C445" s="590">
        <v>16</v>
      </c>
      <c r="D445" s="587">
        <v>14</v>
      </c>
      <c r="F445" s="57"/>
    </row>
    <row r="446" spans="3:6" x14ac:dyDescent="0.35">
      <c r="C446" s="590">
        <v>15</v>
      </c>
      <c r="D446" s="587">
        <v>15</v>
      </c>
      <c r="F446" s="57"/>
    </row>
    <row r="447" spans="3:6" x14ac:dyDescent="0.35">
      <c r="C447" s="590">
        <v>12</v>
      </c>
      <c r="D447" s="587">
        <v>19</v>
      </c>
      <c r="F447" s="57"/>
    </row>
    <row r="448" spans="3:6" x14ac:dyDescent="0.35">
      <c r="C448" s="590">
        <v>10</v>
      </c>
      <c r="D448" s="587">
        <v>23</v>
      </c>
      <c r="F448" s="57"/>
    </row>
    <row r="449" spans="3:6" x14ac:dyDescent="0.35">
      <c r="C449" s="590">
        <v>11</v>
      </c>
      <c r="D449" s="587">
        <v>21</v>
      </c>
      <c r="F449" s="57"/>
    </row>
    <row r="450" spans="3:6" x14ac:dyDescent="0.35">
      <c r="C450" s="590">
        <v>8</v>
      </c>
      <c r="D450" s="587">
        <v>29</v>
      </c>
      <c r="F450" s="57"/>
    </row>
    <row r="451" spans="3:6" x14ac:dyDescent="0.35">
      <c r="C451" s="590">
        <v>13</v>
      </c>
      <c r="D451" s="587">
        <v>18</v>
      </c>
      <c r="F451" s="57"/>
    </row>
    <row r="452" spans="3:6" x14ac:dyDescent="0.35">
      <c r="C452" s="590">
        <v>14</v>
      </c>
      <c r="D452" s="587">
        <v>17</v>
      </c>
      <c r="F452" s="57"/>
    </row>
    <row r="453" spans="3:6" x14ac:dyDescent="0.35">
      <c r="C453" s="590">
        <v>16</v>
      </c>
      <c r="D453" s="587">
        <v>15</v>
      </c>
      <c r="F453" s="57"/>
    </row>
    <row r="454" spans="3:6" x14ac:dyDescent="0.35">
      <c r="C454" s="590">
        <v>11</v>
      </c>
      <c r="D454" s="587">
        <v>22</v>
      </c>
      <c r="F454" s="57"/>
    </row>
    <row r="455" spans="3:6" x14ac:dyDescent="0.35">
      <c r="C455" s="590">
        <v>9</v>
      </c>
      <c r="D455" s="587">
        <v>27</v>
      </c>
      <c r="F455" s="57"/>
    </row>
    <row r="456" spans="3:6" x14ac:dyDescent="0.35">
      <c r="C456" s="590">
        <v>13</v>
      </c>
      <c r="D456" s="587">
        <v>19</v>
      </c>
      <c r="F456" s="57"/>
    </row>
    <row r="457" spans="3:6" x14ac:dyDescent="0.35">
      <c r="C457" s="590">
        <v>8</v>
      </c>
      <c r="D457" s="587">
        <v>31</v>
      </c>
      <c r="F457" s="57"/>
    </row>
    <row r="458" spans="3:6" x14ac:dyDescent="0.35">
      <c r="C458" s="590">
        <v>10</v>
      </c>
      <c r="D458" s="587">
        <v>25</v>
      </c>
      <c r="F458" s="57"/>
    </row>
    <row r="459" spans="3:6" x14ac:dyDescent="0.35">
      <c r="C459" s="590">
        <v>14</v>
      </c>
      <c r="D459" s="587">
        <v>18</v>
      </c>
      <c r="F459" s="57"/>
    </row>
    <row r="460" spans="3:6" x14ac:dyDescent="0.35">
      <c r="C460" s="590">
        <v>11</v>
      </c>
      <c r="D460" s="587">
        <v>23</v>
      </c>
      <c r="F460" s="57"/>
    </row>
    <row r="461" spans="3:6" x14ac:dyDescent="0.35">
      <c r="C461" s="590">
        <v>15</v>
      </c>
      <c r="D461" s="587">
        <v>17</v>
      </c>
      <c r="F461" s="57"/>
    </row>
    <row r="462" spans="3:6" x14ac:dyDescent="0.35">
      <c r="C462" s="590">
        <v>16</v>
      </c>
      <c r="D462" s="587">
        <v>16</v>
      </c>
      <c r="F462" s="57"/>
    </row>
    <row r="463" spans="3:6" x14ac:dyDescent="0.35">
      <c r="C463" s="590">
        <v>13</v>
      </c>
      <c r="D463" s="587">
        <v>20</v>
      </c>
      <c r="F463" s="57"/>
    </row>
    <row r="464" spans="3:6" x14ac:dyDescent="0.35">
      <c r="C464" s="590">
        <v>9</v>
      </c>
      <c r="D464" s="587">
        <v>29</v>
      </c>
      <c r="F464" s="57"/>
    </row>
    <row r="465" spans="3:6" x14ac:dyDescent="0.35">
      <c r="C465" s="590">
        <v>12</v>
      </c>
      <c r="D465" s="587">
        <v>22</v>
      </c>
      <c r="F465" s="57"/>
    </row>
    <row r="466" spans="3:6" x14ac:dyDescent="0.35">
      <c r="C466" s="590">
        <v>14</v>
      </c>
      <c r="D466" s="587">
        <v>19</v>
      </c>
      <c r="F466" s="57"/>
    </row>
    <row r="467" spans="3:6" x14ac:dyDescent="0.35">
      <c r="C467" s="590">
        <v>15</v>
      </c>
      <c r="D467" s="587">
        <v>18</v>
      </c>
      <c r="F467" s="57"/>
    </row>
    <row r="468" spans="3:6" x14ac:dyDescent="0.35">
      <c r="C468" s="590">
        <v>16</v>
      </c>
      <c r="D468" s="587">
        <v>17</v>
      </c>
      <c r="F468" s="57"/>
    </row>
    <row r="469" spans="3:6" x14ac:dyDescent="0.35">
      <c r="C469" s="590">
        <v>13</v>
      </c>
      <c r="D469" s="587">
        <v>21</v>
      </c>
      <c r="F469" s="57"/>
    </row>
    <row r="470" spans="3:6" x14ac:dyDescent="0.35">
      <c r="C470" s="590">
        <v>11</v>
      </c>
      <c r="D470" s="587">
        <v>25</v>
      </c>
      <c r="F470" s="57"/>
    </row>
    <row r="471" spans="3:6" x14ac:dyDescent="0.35">
      <c r="C471" s="590">
        <v>12</v>
      </c>
      <c r="D471" s="587">
        <v>23</v>
      </c>
      <c r="F471" s="57"/>
    </row>
    <row r="472" spans="3:6" x14ac:dyDescent="0.35">
      <c r="C472" s="590">
        <v>9</v>
      </c>
      <c r="D472" s="587">
        <v>31</v>
      </c>
      <c r="F472" s="57"/>
    </row>
    <row r="473" spans="3:6" x14ac:dyDescent="0.35">
      <c r="C473" s="590">
        <v>14</v>
      </c>
      <c r="D473" s="587">
        <v>20</v>
      </c>
      <c r="F473" s="57"/>
    </row>
    <row r="474" spans="3:6" x14ac:dyDescent="0.35">
      <c r="C474" s="590">
        <v>15</v>
      </c>
      <c r="D474" s="587">
        <v>19</v>
      </c>
      <c r="F474" s="57"/>
    </row>
    <row r="475" spans="3:6" x14ac:dyDescent="0.35">
      <c r="C475" s="590">
        <v>13</v>
      </c>
      <c r="D475" s="587">
        <v>22</v>
      </c>
      <c r="F475" s="57"/>
    </row>
    <row r="476" spans="3:6" x14ac:dyDescent="0.35">
      <c r="C476" s="590">
        <v>16</v>
      </c>
      <c r="D476" s="587">
        <v>18</v>
      </c>
      <c r="F476" s="57"/>
    </row>
    <row r="477" spans="3:6" x14ac:dyDescent="0.35">
      <c r="C477" s="590">
        <v>10</v>
      </c>
      <c r="D477" s="587">
        <v>29</v>
      </c>
      <c r="F477" s="57"/>
    </row>
    <row r="478" spans="3:6" x14ac:dyDescent="0.35">
      <c r="C478" s="590">
        <v>14</v>
      </c>
      <c r="D478" s="587">
        <v>21</v>
      </c>
      <c r="F478" s="57"/>
    </row>
    <row r="479" spans="3:6" x14ac:dyDescent="0.35">
      <c r="C479" s="590">
        <v>11</v>
      </c>
      <c r="D479" s="587">
        <v>27</v>
      </c>
      <c r="F479" s="57"/>
    </row>
    <row r="480" spans="3:6" x14ac:dyDescent="0.35">
      <c r="C480" s="590">
        <v>13</v>
      </c>
      <c r="D480" s="587">
        <v>23</v>
      </c>
      <c r="F480" s="57"/>
    </row>
    <row r="481" spans="3:6" x14ac:dyDescent="0.35">
      <c r="C481" s="590">
        <v>15</v>
      </c>
      <c r="D481" s="587">
        <v>20</v>
      </c>
      <c r="F481" s="57"/>
    </row>
    <row r="482" spans="3:6" x14ac:dyDescent="0.35">
      <c r="C482" s="590">
        <v>16</v>
      </c>
      <c r="D482" s="587">
        <v>19</v>
      </c>
      <c r="F482" s="57"/>
    </row>
    <row r="483" spans="3:6" x14ac:dyDescent="0.35">
      <c r="C483" s="590">
        <v>14</v>
      </c>
      <c r="D483" s="587">
        <v>22</v>
      </c>
      <c r="F483" s="57"/>
    </row>
    <row r="484" spans="3:6" x14ac:dyDescent="0.35">
      <c r="C484" s="590">
        <v>10</v>
      </c>
      <c r="D484" s="587">
        <v>31</v>
      </c>
      <c r="F484" s="57"/>
    </row>
    <row r="485" spans="3:6" x14ac:dyDescent="0.35">
      <c r="C485" s="590">
        <v>13</v>
      </c>
      <c r="D485" s="587">
        <v>24</v>
      </c>
      <c r="F485" s="57"/>
    </row>
    <row r="486" spans="3:6" x14ac:dyDescent="0.35">
      <c r="C486" s="590">
        <v>15</v>
      </c>
      <c r="D486" s="587">
        <v>21</v>
      </c>
      <c r="F486" s="57"/>
    </row>
    <row r="487" spans="3:6" x14ac:dyDescent="0.35">
      <c r="C487" s="590">
        <v>11</v>
      </c>
      <c r="D487" s="587">
        <v>29</v>
      </c>
      <c r="F487" s="57"/>
    </row>
    <row r="488" spans="3:6" x14ac:dyDescent="0.35">
      <c r="C488" s="590">
        <v>16</v>
      </c>
      <c r="D488" s="587">
        <v>20</v>
      </c>
      <c r="F488" s="57"/>
    </row>
    <row r="489" spans="3:6" x14ac:dyDescent="0.35">
      <c r="C489" s="590">
        <v>14</v>
      </c>
      <c r="D489" s="587">
        <v>23</v>
      </c>
      <c r="F489" s="57"/>
    </row>
    <row r="490" spans="3:6" x14ac:dyDescent="0.35">
      <c r="C490" s="590">
        <v>12</v>
      </c>
      <c r="D490" s="587">
        <v>27</v>
      </c>
      <c r="F490" s="57"/>
    </row>
    <row r="491" spans="3:6" x14ac:dyDescent="0.35">
      <c r="C491" s="590">
        <v>13</v>
      </c>
      <c r="D491" s="587">
        <v>25</v>
      </c>
      <c r="F491" s="57"/>
    </row>
    <row r="492" spans="3:6" x14ac:dyDescent="0.35">
      <c r="C492" s="590">
        <v>15</v>
      </c>
      <c r="D492" s="587">
        <v>22</v>
      </c>
      <c r="F492" s="57"/>
    </row>
    <row r="493" spans="3:6" x14ac:dyDescent="0.35">
      <c r="C493" s="590">
        <v>16</v>
      </c>
      <c r="D493" s="587">
        <v>21</v>
      </c>
      <c r="F493" s="57"/>
    </row>
    <row r="494" spans="3:6" x14ac:dyDescent="0.35">
      <c r="C494" s="590">
        <v>13</v>
      </c>
      <c r="D494" s="587">
        <v>26</v>
      </c>
      <c r="F494" s="57"/>
    </row>
    <row r="495" spans="3:6" x14ac:dyDescent="0.35">
      <c r="C495" s="590">
        <v>11</v>
      </c>
      <c r="D495" s="587">
        <v>31</v>
      </c>
      <c r="F495" s="57"/>
    </row>
    <row r="496" spans="3:6" x14ac:dyDescent="0.35">
      <c r="C496" s="590">
        <v>15</v>
      </c>
      <c r="D496" s="587">
        <v>23</v>
      </c>
      <c r="F496" s="57"/>
    </row>
    <row r="497" spans="3:6" x14ac:dyDescent="0.35">
      <c r="C497" s="590">
        <v>12</v>
      </c>
      <c r="D497" s="587">
        <v>29</v>
      </c>
      <c r="F497" s="57"/>
    </row>
    <row r="498" spans="3:6" x14ac:dyDescent="0.35">
      <c r="C498" s="590">
        <v>14</v>
      </c>
      <c r="D498" s="587">
        <v>25</v>
      </c>
      <c r="F498" s="57"/>
    </row>
    <row r="499" spans="3:6" x14ac:dyDescent="0.35">
      <c r="C499" s="590">
        <v>13</v>
      </c>
      <c r="D499" s="587">
        <v>27</v>
      </c>
      <c r="F499" s="57"/>
    </row>
    <row r="500" spans="3:6" x14ac:dyDescent="0.35">
      <c r="C500" s="590">
        <v>16</v>
      </c>
      <c r="D500" s="587">
        <v>22</v>
      </c>
      <c r="F500" s="57"/>
    </row>
    <row r="501" spans="3:6" x14ac:dyDescent="0.35">
      <c r="C501" s="590">
        <v>15</v>
      </c>
      <c r="D501" s="587">
        <v>24</v>
      </c>
      <c r="F501" s="57"/>
    </row>
    <row r="502" spans="3:6" x14ac:dyDescent="0.35">
      <c r="C502" s="590">
        <v>14</v>
      </c>
      <c r="D502" s="587">
        <v>26</v>
      </c>
      <c r="F502" s="57"/>
    </row>
    <row r="503" spans="3:6" x14ac:dyDescent="0.35">
      <c r="C503" s="590">
        <v>16</v>
      </c>
      <c r="D503" s="587">
        <v>23</v>
      </c>
      <c r="F503" s="57"/>
    </row>
    <row r="504" spans="3:6" x14ac:dyDescent="0.35">
      <c r="C504" s="590">
        <v>12</v>
      </c>
      <c r="D504" s="587">
        <v>31</v>
      </c>
      <c r="F504" s="57"/>
    </row>
    <row r="505" spans="3:6" x14ac:dyDescent="0.35">
      <c r="C505" s="590">
        <v>15</v>
      </c>
      <c r="D505" s="587">
        <v>25</v>
      </c>
      <c r="F505" s="57"/>
    </row>
    <row r="506" spans="3:6" x14ac:dyDescent="0.35">
      <c r="C506" s="590">
        <v>13</v>
      </c>
      <c r="D506" s="587">
        <v>29</v>
      </c>
      <c r="F506" s="57"/>
    </row>
    <row r="507" spans="3:6" x14ac:dyDescent="0.35">
      <c r="C507" s="590">
        <v>14</v>
      </c>
      <c r="D507" s="587">
        <v>27</v>
      </c>
      <c r="F507" s="57"/>
    </row>
    <row r="508" spans="3:6" x14ac:dyDescent="0.35">
      <c r="C508" s="590">
        <v>16</v>
      </c>
      <c r="D508" s="587">
        <v>24</v>
      </c>
      <c r="F508" s="57"/>
    </row>
    <row r="509" spans="3:6" x14ac:dyDescent="0.35">
      <c r="C509" s="590">
        <v>15</v>
      </c>
      <c r="D509" s="587">
        <v>26</v>
      </c>
      <c r="F509" s="57"/>
    </row>
    <row r="510" spans="3:6" x14ac:dyDescent="0.35">
      <c r="C510" s="590">
        <v>14</v>
      </c>
      <c r="D510" s="587">
        <v>28</v>
      </c>
      <c r="F510" s="57"/>
    </row>
    <row r="511" spans="3:6" x14ac:dyDescent="0.35">
      <c r="C511" s="590">
        <v>16</v>
      </c>
      <c r="D511" s="587">
        <v>25</v>
      </c>
      <c r="F511" s="57"/>
    </row>
    <row r="512" spans="3:6" x14ac:dyDescent="0.35">
      <c r="C512" s="590">
        <v>13</v>
      </c>
      <c r="D512" s="587">
        <v>31</v>
      </c>
      <c r="F512" s="57"/>
    </row>
    <row r="513" spans="1:9" x14ac:dyDescent="0.35">
      <c r="C513" s="590">
        <v>15</v>
      </c>
      <c r="D513" s="587">
        <v>27</v>
      </c>
      <c r="F513" s="57"/>
    </row>
    <row r="514" spans="1:9" x14ac:dyDescent="0.35">
      <c r="C514" s="590">
        <v>14</v>
      </c>
      <c r="D514" s="587">
        <v>29</v>
      </c>
      <c r="F514" s="57"/>
    </row>
    <row r="515" spans="1:9" x14ac:dyDescent="0.35">
      <c r="C515" s="590">
        <v>16</v>
      </c>
      <c r="D515" s="587">
        <v>26</v>
      </c>
      <c r="F515" s="57"/>
    </row>
    <row r="516" spans="1:9" x14ac:dyDescent="0.35">
      <c r="C516" s="590">
        <v>15</v>
      </c>
      <c r="D516" s="587">
        <v>28</v>
      </c>
      <c r="F516" s="57"/>
    </row>
    <row r="517" spans="1:9" x14ac:dyDescent="0.35">
      <c r="C517" s="590">
        <v>16</v>
      </c>
      <c r="D517" s="587">
        <v>27</v>
      </c>
      <c r="F517" s="57"/>
    </row>
    <row r="518" spans="1:9" x14ac:dyDescent="0.35">
      <c r="C518" s="590">
        <v>14</v>
      </c>
      <c r="D518" s="587">
        <v>31</v>
      </c>
      <c r="F518" s="57"/>
    </row>
    <row r="519" spans="1:9" x14ac:dyDescent="0.35">
      <c r="C519" s="590">
        <v>15</v>
      </c>
      <c r="D519" s="587">
        <v>29</v>
      </c>
      <c r="F519" s="57"/>
    </row>
    <row r="520" spans="1:9" x14ac:dyDescent="0.35">
      <c r="C520" s="590">
        <v>16</v>
      </c>
      <c r="D520" s="587">
        <v>28</v>
      </c>
      <c r="F520" s="57"/>
    </row>
    <row r="521" spans="1:9" x14ac:dyDescent="0.35">
      <c r="C521" s="590">
        <v>15</v>
      </c>
      <c r="D521" s="587">
        <v>30</v>
      </c>
      <c r="F521" s="57"/>
    </row>
    <row r="522" spans="1:9" x14ac:dyDescent="0.35">
      <c r="C522" s="590">
        <v>16</v>
      </c>
      <c r="D522" s="587">
        <v>29</v>
      </c>
      <c r="F522" s="57"/>
    </row>
    <row r="523" spans="1:9" x14ac:dyDescent="0.35">
      <c r="C523" s="590">
        <v>15</v>
      </c>
      <c r="D523" s="587">
        <v>31</v>
      </c>
      <c r="F523" s="57"/>
    </row>
    <row r="524" spans="1:9" x14ac:dyDescent="0.35">
      <c r="C524" s="590">
        <v>16</v>
      </c>
      <c r="D524" s="587">
        <v>30</v>
      </c>
      <c r="F524" s="57"/>
    </row>
    <row r="525" spans="1:9" x14ac:dyDescent="0.35">
      <c r="C525" s="590">
        <v>16</v>
      </c>
      <c r="D525" s="587">
        <v>31</v>
      </c>
      <c r="F525" s="57"/>
    </row>
    <row r="526" spans="1:9" ht="15" thickBot="1" x14ac:dyDescent="0.4">
      <c r="A526" s="61"/>
      <c r="C526" s="591">
        <v>16</v>
      </c>
      <c r="D526" s="592">
        <v>32</v>
      </c>
      <c r="E526" s="40"/>
      <c r="F526" s="57"/>
    </row>
    <row r="527" spans="1:9" ht="15" thickBot="1" x14ac:dyDescent="0.4">
      <c r="A527" s="442"/>
      <c r="B527" s="442"/>
      <c r="C527" s="442"/>
      <c r="D527" s="442"/>
      <c r="E527" s="442"/>
      <c r="F527" s="584"/>
    </row>
    <row r="528" spans="1:9" ht="15" thickBot="1" x14ac:dyDescent="0.4">
      <c r="A528" s="622" t="s">
        <v>2031</v>
      </c>
      <c r="B528" s="622" t="s">
        <v>2032</v>
      </c>
      <c r="C528" s="620"/>
      <c r="D528" s="620"/>
      <c r="E528" s="620"/>
      <c r="F528" s="620"/>
      <c r="G528" s="623"/>
      <c r="H528" s="623"/>
      <c r="I528" s="623"/>
    </row>
    <row r="529" spans="1:9" x14ac:dyDescent="0.35">
      <c r="A529" s="78">
        <v>0</v>
      </c>
      <c r="B529" s="625" t="s">
        <v>24</v>
      </c>
      <c r="C529" s="624"/>
      <c r="D529" s="624"/>
      <c r="E529" s="624"/>
      <c r="F529" s="624"/>
      <c r="G529" s="623"/>
      <c r="H529" s="623"/>
      <c r="I529" s="623"/>
    </row>
    <row r="530" spans="1:9" x14ac:dyDescent="0.35">
      <c r="A530" s="38">
        <v>1</v>
      </c>
      <c r="B530" s="621" t="s">
        <v>1751</v>
      </c>
      <c r="C530" s="621"/>
      <c r="D530" s="621"/>
      <c r="E530" s="621"/>
      <c r="F530" s="621"/>
      <c r="G530" s="621"/>
      <c r="H530" s="621"/>
      <c r="I530" s="621"/>
    </row>
    <row r="531" spans="1:9" x14ac:dyDescent="0.35">
      <c r="A531" s="38">
        <v>2</v>
      </c>
      <c r="B531" s="35" t="s">
        <v>309</v>
      </c>
      <c r="C531" s="35"/>
      <c r="D531" s="35"/>
      <c r="E531" s="35"/>
      <c r="F531" s="35"/>
      <c r="G531" s="35"/>
      <c r="H531" s="35"/>
      <c r="I531" s="35"/>
    </row>
    <row r="532" spans="1:9" x14ac:dyDescent="0.35">
      <c r="A532" s="38">
        <v>3</v>
      </c>
      <c r="B532" s="40" t="str">
        <f>"Note: The maximum database size for this configuration will be "&amp;IF(AND(HAOption="Yes",numActMBXSvrsPerDC+numLagCopies&gt;=2),varMax2CopyDBSize,varMaxSADBSize)&amp;" GB."</f>
        <v>Note: The maximum database size for this configuration will be 2000 GB.</v>
      </c>
      <c r="C532" s="40"/>
      <c r="D532" s="40"/>
      <c r="E532" s="40"/>
      <c r="F532" s="40"/>
      <c r="G532" s="40"/>
      <c r="H532" s="40"/>
      <c r="I532" s="40"/>
    </row>
    <row r="533" spans="1:9" x14ac:dyDescent="0.35">
      <c r="A533" s="78">
        <v>4</v>
      </c>
      <c r="B533" s="219" t="s">
        <v>2059</v>
      </c>
      <c r="C533" s="219"/>
      <c r="D533" s="219"/>
      <c r="E533" s="219"/>
      <c r="F533" s="219"/>
      <c r="G533" s="219"/>
      <c r="H533" s="219"/>
      <c r="I533" s="219"/>
    </row>
    <row r="534" spans="1:9" x14ac:dyDescent="0.35">
      <c r="A534" s="38">
        <v>5</v>
      </c>
      <c r="B534" s="219" t="s">
        <v>2058</v>
      </c>
      <c r="C534" s="219"/>
      <c r="D534" s="219"/>
      <c r="E534" s="219"/>
      <c r="F534" s="219"/>
      <c r="G534" s="219"/>
      <c r="H534" s="219"/>
      <c r="I534" s="219"/>
    </row>
    <row r="535" spans="1:9" x14ac:dyDescent="0.35">
      <c r="A535" s="38">
        <v>6</v>
      </c>
      <c r="B535" s="219" t="s">
        <v>2060</v>
      </c>
      <c r="C535" s="219"/>
      <c r="D535" s="219"/>
      <c r="E535" s="219"/>
      <c r="F535" s="219"/>
      <c r="G535" s="219"/>
      <c r="H535" s="219"/>
      <c r="I535" s="219"/>
    </row>
    <row r="536" spans="1:9" x14ac:dyDescent="0.35">
      <c r="A536" s="38">
        <v>7</v>
      </c>
      <c r="B536" s="566" t="s">
        <v>2091</v>
      </c>
      <c r="C536" s="566"/>
      <c r="D536" s="566"/>
      <c r="E536" s="566"/>
      <c r="F536" s="566"/>
      <c r="G536" s="566"/>
      <c r="H536" s="566"/>
      <c r="I536" s="566"/>
    </row>
    <row r="537" spans="1:9" x14ac:dyDescent="0.35">
      <c r="A537" s="78">
        <v>8</v>
      </c>
      <c r="B537" s="219" t="s">
        <v>779</v>
      </c>
      <c r="C537" s="219"/>
      <c r="D537" s="219"/>
      <c r="E537" s="219"/>
      <c r="F537" s="219"/>
      <c r="G537" s="219"/>
      <c r="H537" s="219"/>
      <c r="I537" s="219"/>
    </row>
    <row r="538" spans="1:9" x14ac:dyDescent="0.35">
      <c r="A538" s="38">
        <v>9</v>
      </c>
      <c r="B538" s="40" t="s">
        <v>2056</v>
      </c>
      <c r="C538" s="40"/>
      <c r="D538" s="40"/>
      <c r="E538" s="40"/>
      <c r="F538" s="40"/>
      <c r="G538" s="40"/>
      <c r="H538" s="40"/>
      <c r="I538" s="40"/>
    </row>
    <row r="539" spans="1:9" x14ac:dyDescent="0.35">
      <c r="A539" s="38">
        <v>10</v>
      </c>
      <c r="B539" s="40" t="s">
        <v>2017</v>
      </c>
      <c r="C539" s="40"/>
      <c r="D539" s="40"/>
      <c r="E539" s="40"/>
      <c r="F539" s="40"/>
      <c r="G539" s="40"/>
      <c r="H539" s="40"/>
      <c r="I539" s="40"/>
    </row>
    <row r="540" spans="1:9" x14ac:dyDescent="0.35">
      <c r="A540" s="38">
        <v>11</v>
      </c>
      <c r="B540" s="40" t="s">
        <v>2018</v>
      </c>
      <c r="C540" s="40"/>
      <c r="D540" s="40"/>
      <c r="E540" s="40"/>
      <c r="F540" s="40"/>
      <c r="G540" s="40"/>
      <c r="H540" s="40"/>
      <c r="I540" s="40"/>
    </row>
    <row r="541" spans="1:9" x14ac:dyDescent="0.35">
      <c r="A541" s="78">
        <v>12</v>
      </c>
      <c r="B541" s="219" t="s">
        <v>2019</v>
      </c>
      <c r="C541" s="219"/>
      <c r="D541" s="219"/>
      <c r="E541" s="219"/>
      <c r="F541" s="219"/>
      <c r="G541" s="219"/>
      <c r="H541" s="219"/>
      <c r="I541" s="219"/>
    </row>
    <row r="542" spans="1:9" x14ac:dyDescent="0.35">
      <c r="A542" s="38">
        <v>13</v>
      </c>
      <c r="B542" s="38" t="s">
        <v>2030</v>
      </c>
      <c r="C542" s="40"/>
      <c r="D542" s="40"/>
      <c r="E542" s="40"/>
      <c r="F542" s="40"/>
      <c r="G542" s="40"/>
      <c r="H542" s="40"/>
      <c r="I542" s="40"/>
    </row>
    <row r="543" spans="1:9" x14ac:dyDescent="0.35">
      <c r="A543" s="38">
        <v>14</v>
      </c>
      <c r="B543" s="38" t="s">
        <v>2026</v>
      </c>
      <c r="C543" s="40"/>
      <c r="D543" s="40"/>
      <c r="E543" s="40"/>
      <c r="F543" s="40"/>
      <c r="G543" s="40"/>
      <c r="H543" s="40"/>
      <c r="I543" s="40"/>
    </row>
    <row r="544" spans="1:9" x14ac:dyDescent="0.35">
      <c r="A544" s="38">
        <v>15</v>
      </c>
      <c r="B544" s="38" t="s">
        <v>2027</v>
      </c>
    </row>
    <row r="545" spans="1:2" x14ac:dyDescent="0.35">
      <c r="A545" s="78">
        <v>16</v>
      </c>
      <c r="B545" s="38" t="s">
        <v>2028</v>
      </c>
    </row>
    <row r="546" spans="1:2" x14ac:dyDescent="0.35">
      <c r="A546" s="38">
        <v>17</v>
      </c>
      <c r="B546" s="21" t="s">
        <v>2029</v>
      </c>
    </row>
    <row r="547" spans="1:2" x14ac:dyDescent="0.35">
      <c r="A547" s="38">
        <v>18</v>
      </c>
      <c r="B547" s="38" t="s">
        <v>2033</v>
      </c>
    </row>
    <row r="548" spans="1:2" x14ac:dyDescent="0.35">
      <c r="A548" s="38">
        <v>19</v>
      </c>
      <c r="B548" s="38" t="s">
        <v>2034</v>
      </c>
    </row>
    <row r="549" spans="1:2" x14ac:dyDescent="0.35">
      <c r="A549" s="38">
        <v>20</v>
      </c>
      <c r="B549" s="38" t="s">
        <v>2038</v>
      </c>
    </row>
    <row r="550" spans="1:2" x14ac:dyDescent="0.35">
      <c r="A550" s="38">
        <v>21</v>
      </c>
      <c r="B550" s="38" t="s">
        <v>2039</v>
      </c>
    </row>
    <row r="551" spans="1:2" x14ac:dyDescent="0.35">
      <c r="A551" s="38">
        <v>22</v>
      </c>
      <c r="B551" s="38" t="s">
        <v>2040</v>
      </c>
    </row>
    <row r="552" spans="1:2" x14ac:dyDescent="0.35">
      <c r="A552" s="38">
        <v>23</v>
      </c>
      <c r="B552" s="38" t="s">
        <v>2041</v>
      </c>
    </row>
    <row r="553" spans="1:2" x14ac:dyDescent="0.35">
      <c r="A553" s="38">
        <v>24</v>
      </c>
      <c r="B553" s="38" t="s">
        <v>2042</v>
      </c>
    </row>
    <row r="554" spans="1:2" x14ac:dyDescent="0.35">
      <c r="A554" s="38">
        <v>25</v>
      </c>
      <c r="B554" s="38" t="s">
        <v>2128</v>
      </c>
    </row>
    <row r="555" spans="1:2" x14ac:dyDescent="0.35">
      <c r="A555" s="38">
        <v>26</v>
      </c>
      <c r="B555" s="38" t="s">
        <v>2129</v>
      </c>
    </row>
    <row r="556" spans="1:2" x14ac:dyDescent="0.35">
      <c r="A556" s="38">
        <v>27</v>
      </c>
      <c r="B556" s="38" t="s">
        <v>2130</v>
      </c>
    </row>
    <row r="557" spans="1:2" x14ac:dyDescent="0.35">
      <c r="A557" s="38">
        <v>28</v>
      </c>
      <c r="B557" s="38" t="s">
        <v>2131</v>
      </c>
    </row>
    <row r="558" spans="1:2" x14ac:dyDescent="0.35">
      <c r="A558" s="38">
        <v>29</v>
      </c>
      <c r="B558" s="38" t="s">
        <v>2127</v>
      </c>
    </row>
    <row r="559" spans="1:2" x14ac:dyDescent="0.35">
      <c r="A559" s="38">
        <v>30</v>
      </c>
      <c r="B559" s="38" t="s">
        <v>2050</v>
      </c>
    </row>
    <row r="560" spans="1:2" x14ac:dyDescent="0.35">
      <c r="A560" s="38">
        <v>31</v>
      </c>
      <c r="B560" s="38" t="s">
        <v>2051</v>
      </c>
    </row>
    <row r="561" spans="1:10" x14ac:dyDescent="0.35">
      <c r="A561" s="38">
        <v>32</v>
      </c>
      <c r="B561" s="38" t="s">
        <v>2052</v>
      </c>
    </row>
    <row r="562" spans="1:10" x14ac:dyDescent="0.35">
      <c r="A562" s="38">
        <v>33</v>
      </c>
      <c r="B562" s="38" t="s">
        <v>2055</v>
      </c>
    </row>
    <row r="563" spans="1:10" x14ac:dyDescent="0.35">
      <c r="A563" s="38">
        <v>34</v>
      </c>
      <c r="B563" s="38" t="s">
        <v>2054</v>
      </c>
    </row>
    <row r="564" spans="1:10" x14ac:dyDescent="0.35">
      <c r="A564" s="38">
        <v>35</v>
      </c>
      <c r="B564" s="38" t="s">
        <v>2126</v>
      </c>
    </row>
    <row r="565" spans="1:10" x14ac:dyDescent="0.35">
      <c r="A565" s="38">
        <v>36</v>
      </c>
      <c r="B565" s="38" t="s">
        <v>2057</v>
      </c>
    </row>
    <row r="566" spans="1:10" x14ac:dyDescent="0.35">
      <c r="A566" s="38">
        <v>37</v>
      </c>
      <c r="B566" s="38" t="s">
        <v>2068</v>
      </c>
    </row>
    <row r="567" spans="1:10" x14ac:dyDescent="0.35">
      <c r="A567" s="38">
        <v>38</v>
      </c>
      <c r="B567" s="38" t="s">
        <v>2069</v>
      </c>
    </row>
    <row r="568" spans="1:10" x14ac:dyDescent="0.35">
      <c r="A568" s="38">
        <v>39</v>
      </c>
      <c r="B568" s="38" t="s">
        <v>2073</v>
      </c>
    </row>
    <row r="569" spans="1:10" x14ac:dyDescent="0.35">
      <c r="A569" s="38">
        <v>40</v>
      </c>
      <c r="B569" s="38" t="s">
        <v>2125</v>
      </c>
    </row>
    <row r="570" spans="1:10" x14ac:dyDescent="0.35">
      <c r="A570" s="38">
        <v>41</v>
      </c>
      <c r="B570" s="38" t="s">
        <v>2090</v>
      </c>
    </row>
    <row r="571" spans="1:10" x14ac:dyDescent="0.35">
      <c r="A571" s="38">
        <v>42</v>
      </c>
      <c r="B571" s="38" t="s">
        <v>2088</v>
      </c>
    </row>
    <row r="572" spans="1:10" x14ac:dyDescent="0.35">
      <c r="A572" s="38">
        <v>43</v>
      </c>
      <c r="B572" s="38" t="s">
        <v>2089</v>
      </c>
    </row>
    <row r="573" spans="1:10" x14ac:dyDescent="0.35">
      <c r="A573" s="38">
        <v>44</v>
      </c>
      <c r="B573" s="38" t="s">
        <v>2124</v>
      </c>
    </row>
    <row r="574" spans="1:10" x14ac:dyDescent="0.35">
      <c r="A574" s="38">
        <v>45</v>
      </c>
      <c r="B574" s="38" t="s">
        <v>665</v>
      </c>
    </row>
    <row r="575" spans="1:10" x14ac:dyDescent="0.35">
      <c r="A575" s="38">
        <v>46</v>
      </c>
      <c r="B575" s="38" t="s">
        <v>478</v>
      </c>
    </row>
    <row r="576" spans="1:10" x14ac:dyDescent="0.35">
      <c r="A576" s="38">
        <v>47</v>
      </c>
      <c r="B576" s="1110" t="s">
        <v>2075</v>
      </c>
      <c r="C576" s="1091"/>
      <c r="D576" s="1091"/>
      <c r="E576" s="1091"/>
      <c r="F576" s="1091"/>
      <c r="G576" s="1091"/>
      <c r="H576" s="1091"/>
      <c r="I576" s="1091"/>
      <c r="J576" s="1091"/>
    </row>
    <row r="577" spans="1:9" x14ac:dyDescent="0.35">
      <c r="A577" s="38">
        <v>48</v>
      </c>
      <c r="B577" s="38" t="s">
        <v>2074</v>
      </c>
    </row>
    <row r="578" spans="1:9" x14ac:dyDescent="0.35">
      <c r="A578" s="38">
        <v>49</v>
      </c>
      <c r="B578" s="38" t="s">
        <v>2082</v>
      </c>
    </row>
    <row r="579" spans="1:9" ht="14.5" customHeight="1" x14ac:dyDescent="0.35">
      <c r="A579" s="38">
        <v>50</v>
      </c>
      <c r="B579" s="38" t="s">
        <v>2079</v>
      </c>
      <c r="C579" s="912"/>
      <c r="D579" s="912"/>
      <c r="E579" s="912"/>
      <c r="F579" s="912"/>
      <c r="G579" s="912"/>
      <c r="H579" s="912"/>
      <c r="I579" s="912"/>
    </row>
    <row r="580" spans="1:9" x14ac:dyDescent="0.35">
      <c r="A580" s="38">
        <v>51</v>
      </c>
      <c r="B580" s="912" t="s">
        <v>2076</v>
      </c>
      <c r="C580" s="912"/>
      <c r="D580" s="912"/>
      <c r="E580" s="912"/>
      <c r="F580" s="912"/>
      <c r="G580" s="912"/>
      <c r="H580" s="912"/>
      <c r="I580" s="912"/>
    </row>
    <row r="581" spans="1:9" x14ac:dyDescent="0.35">
      <c r="A581" s="38">
        <v>52</v>
      </c>
      <c r="B581" s="38" t="s">
        <v>2078</v>
      </c>
    </row>
    <row r="582" spans="1:9" x14ac:dyDescent="0.35">
      <c r="A582" s="38">
        <v>53</v>
      </c>
      <c r="B582" s="38" t="s">
        <v>2077</v>
      </c>
    </row>
    <row r="583" spans="1:9" x14ac:dyDescent="0.35">
      <c r="A583" s="38">
        <v>54</v>
      </c>
      <c r="B583" s="38" t="s">
        <v>2083</v>
      </c>
    </row>
    <row r="584" spans="1:9" x14ac:dyDescent="0.35">
      <c r="A584" s="38">
        <v>55</v>
      </c>
      <c r="B584" s="962" t="s">
        <v>2101</v>
      </c>
    </row>
    <row r="585" spans="1:9" x14ac:dyDescent="0.35">
      <c r="A585" s="38">
        <v>56</v>
      </c>
      <c r="B585" s="38" t="s">
        <v>2119</v>
      </c>
    </row>
    <row r="586" spans="1:9" x14ac:dyDescent="0.35">
      <c r="A586" s="38">
        <v>57</v>
      </c>
      <c r="B586" s="962" t="s">
        <v>2120</v>
      </c>
    </row>
    <row r="587" spans="1:9" x14ac:dyDescent="0.35">
      <c r="A587" s="38">
        <v>58</v>
      </c>
      <c r="B587" s="38" t="s">
        <v>2121</v>
      </c>
    </row>
    <row r="588" spans="1:9" x14ac:dyDescent="0.35">
      <c r="A588" s="38">
        <v>59</v>
      </c>
      <c r="B588" s="38" t="s">
        <v>2122</v>
      </c>
    </row>
    <row r="589" spans="1:9" x14ac:dyDescent="0.35">
      <c r="A589" s="38">
        <v>60</v>
      </c>
      <c r="B589" s="38" t="s">
        <v>2132</v>
      </c>
    </row>
    <row r="590" spans="1:9" x14ac:dyDescent="0.35">
      <c r="A590" s="38">
        <v>61</v>
      </c>
      <c r="B590" s="38" t="s">
        <v>2155</v>
      </c>
    </row>
  </sheetData>
  <mergeCells count="2">
    <mergeCell ref="A1:C1"/>
    <mergeCell ref="B576:J576"/>
  </mergeCells>
  <phoneticPr fontId="42" type="noConversion"/>
  <pageMargins left="0.7" right="0.7" top="0.75" bottom="0.75" header="0.3" footer="0.3"/>
  <pageSetup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Q757"/>
  <sheetViews>
    <sheetView showGridLines="0" topLeftCell="A88" zoomScale="85" zoomScaleNormal="85" workbookViewId="0">
      <selection activeCell="B103" sqref="B103:Q103"/>
    </sheetView>
  </sheetViews>
  <sheetFormatPr defaultColWidth="9" defaultRowHeight="13" x14ac:dyDescent="0.3"/>
  <cols>
    <col min="1" max="1" width="3.3984375" style="400" customWidth="1"/>
    <col min="2" max="16" width="9" style="400"/>
    <col min="17" max="17" width="48" style="400" customWidth="1"/>
    <col min="18" max="16384" width="9" style="400"/>
  </cols>
  <sheetData>
    <row r="1" spans="1:17" x14ac:dyDescent="0.3">
      <c r="B1" s="1284" t="s">
        <v>33</v>
      </c>
      <c r="C1" s="1285"/>
      <c r="D1" s="1285"/>
      <c r="E1" s="1285"/>
      <c r="F1" s="1285"/>
      <c r="G1" s="1285"/>
      <c r="H1" s="1285"/>
      <c r="I1" s="1285"/>
      <c r="J1" s="1285"/>
      <c r="K1" s="1285"/>
      <c r="L1" s="1285"/>
      <c r="M1" s="1285"/>
      <c r="N1" s="1285"/>
      <c r="O1" s="1285"/>
      <c r="P1" s="1285"/>
      <c r="Q1" s="1286"/>
    </row>
    <row r="2" spans="1:17" x14ac:dyDescent="0.3">
      <c r="B2" s="401"/>
      <c r="C2" s="402"/>
      <c r="D2" s="402"/>
      <c r="E2" s="402"/>
      <c r="F2" s="402"/>
      <c r="G2" s="402"/>
      <c r="H2" s="402"/>
      <c r="I2" s="402"/>
      <c r="J2" s="402"/>
      <c r="K2" s="402"/>
      <c r="L2" s="402"/>
      <c r="M2" s="402"/>
      <c r="N2" s="402"/>
      <c r="O2" s="402"/>
      <c r="P2" s="402"/>
      <c r="Q2" s="403"/>
    </row>
    <row r="3" spans="1:17" ht="14.5" x14ac:dyDescent="0.3">
      <c r="B3" s="1287" t="s">
        <v>492</v>
      </c>
      <c r="C3" s="1288"/>
      <c r="D3" s="1288"/>
      <c r="E3" s="1288"/>
      <c r="F3" s="1288"/>
      <c r="G3" s="1289"/>
      <c r="H3" s="1288"/>
      <c r="I3" s="1288"/>
      <c r="J3" s="1288"/>
      <c r="K3" s="1288"/>
      <c r="L3" s="1289"/>
      <c r="M3" s="1288"/>
      <c r="N3" s="1288"/>
      <c r="O3" s="1288"/>
      <c r="P3" s="1288"/>
      <c r="Q3" s="397"/>
    </row>
    <row r="4" spans="1:17" ht="14.5" x14ac:dyDescent="0.3">
      <c r="A4" s="404"/>
      <c r="B4" s="1282" t="s">
        <v>750</v>
      </c>
      <c r="C4" s="1282"/>
      <c r="D4" s="1282"/>
      <c r="E4" s="1282"/>
      <c r="F4" s="1282"/>
      <c r="G4" s="1282"/>
      <c r="H4" s="1282"/>
      <c r="I4" s="1282"/>
      <c r="J4" s="1282"/>
      <c r="K4" s="1282"/>
      <c r="L4" s="1282"/>
      <c r="M4" s="1282"/>
      <c r="N4" s="1282"/>
      <c r="O4" s="1282"/>
      <c r="P4" s="1282"/>
      <c r="Q4" s="1283"/>
    </row>
    <row r="5" spans="1:17" ht="14.5" x14ac:dyDescent="0.3">
      <c r="A5" s="404"/>
      <c r="B5" s="19" t="s">
        <v>751</v>
      </c>
      <c r="C5" s="19"/>
      <c r="D5" s="19"/>
      <c r="E5" s="19"/>
      <c r="F5" s="19"/>
      <c r="G5" s="65"/>
      <c r="H5" s="65"/>
      <c r="I5" s="65"/>
      <c r="J5" s="65"/>
      <c r="K5" s="65"/>
      <c r="L5" s="65"/>
      <c r="M5" s="65"/>
      <c r="N5" s="65"/>
      <c r="O5" s="65"/>
      <c r="P5" s="65"/>
      <c r="Q5" s="66"/>
    </row>
    <row r="6" spans="1:17" ht="14.5" x14ac:dyDescent="0.3">
      <c r="A6" s="404"/>
      <c r="B6" s="1282" t="s">
        <v>752</v>
      </c>
      <c r="C6" s="1282"/>
      <c r="D6" s="1282"/>
      <c r="E6" s="1282"/>
      <c r="F6" s="1282"/>
      <c r="G6" s="1282"/>
      <c r="H6" s="1282"/>
      <c r="I6" s="1282"/>
      <c r="J6" s="1282"/>
      <c r="K6" s="1282"/>
      <c r="L6" s="1282"/>
      <c r="M6" s="1282"/>
      <c r="N6" s="1282"/>
      <c r="O6" s="1282"/>
      <c r="P6" s="1282"/>
      <c r="Q6" s="1283"/>
    </row>
    <row r="7" spans="1:17" ht="14.5" x14ac:dyDescent="0.3">
      <c r="A7" s="404"/>
      <c r="B7" s="1282" t="s">
        <v>756</v>
      </c>
      <c r="C7" s="1282"/>
      <c r="D7" s="1282"/>
      <c r="E7" s="1282"/>
      <c r="F7" s="1282"/>
      <c r="G7" s="1282"/>
      <c r="H7" s="1282"/>
      <c r="I7" s="1282"/>
      <c r="J7" s="1282"/>
      <c r="K7" s="1282"/>
      <c r="L7" s="1282"/>
      <c r="M7" s="1282"/>
      <c r="N7" s="1282"/>
      <c r="O7" s="1282"/>
      <c r="P7" s="1282"/>
      <c r="Q7" s="1283"/>
    </row>
    <row r="8" spans="1:17" ht="14.5" x14ac:dyDescent="0.3">
      <c r="A8" s="404"/>
      <c r="B8" s="1273" t="s">
        <v>757</v>
      </c>
      <c r="C8" s="1273"/>
      <c r="D8" s="1273"/>
      <c r="E8" s="1273"/>
      <c r="F8" s="1273"/>
      <c r="G8" s="1273"/>
      <c r="H8" s="1273"/>
      <c r="I8" s="1273"/>
      <c r="J8" s="1273"/>
      <c r="K8" s="1273"/>
      <c r="L8" s="1273"/>
      <c r="M8" s="1273"/>
      <c r="N8" s="1273"/>
      <c r="O8" s="1273"/>
      <c r="P8" s="1273"/>
      <c r="Q8" s="1274"/>
    </row>
    <row r="9" spans="1:17" ht="14.5" x14ac:dyDescent="0.3">
      <c r="A9" s="404"/>
      <c r="B9" s="21" t="s">
        <v>783</v>
      </c>
      <c r="C9" s="21"/>
      <c r="D9" s="21"/>
      <c r="E9" s="21"/>
      <c r="F9" s="18"/>
      <c r="G9" s="18"/>
      <c r="H9" s="18"/>
      <c r="I9" s="18"/>
      <c r="J9" s="18"/>
      <c r="K9" s="18"/>
      <c r="L9" s="18"/>
      <c r="M9" s="18"/>
      <c r="N9" s="18"/>
      <c r="O9" s="18"/>
      <c r="P9" s="18"/>
      <c r="Q9" s="398"/>
    </row>
    <row r="10" spans="1:17" x14ac:dyDescent="0.3">
      <c r="A10" s="404"/>
      <c r="B10" s="1282" t="s">
        <v>1258</v>
      </c>
      <c r="C10" s="1282"/>
      <c r="D10" s="1282"/>
      <c r="E10" s="1282"/>
      <c r="F10" s="1282"/>
      <c r="G10" s="1282"/>
      <c r="H10" s="1282"/>
      <c r="I10" s="1282"/>
      <c r="J10" s="1282"/>
      <c r="K10" s="1282"/>
      <c r="L10" s="1282"/>
      <c r="M10" s="1282"/>
      <c r="N10" s="1282"/>
      <c r="O10" s="1282"/>
      <c r="P10" s="1282"/>
      <c r="Q10" s="1283"/>
    </row>
    <row r="11" spans="1:17" x14ac:dyDescent="0.3">
      <c r="A11" s="404"/>
      <c r="B11" s="1282"/>
      <c r="C11" s="1282"/>
      <c r="D11" s="1282"/>
      <c r="E11" s="1282"/>
      <c r="F11" s="1282"/>
      <c r="G11" s="1282"/>
      <c r="H11" s="1282"/>
      <c r="I11" s="1282"/>
      <c r="J11" s="1282"/>
      <c r="K11" s="1282"/>
      <c r="L11" s="1282"/>
      <c r="M11" s="1282"/>
      <c r="N11" s="1282"/>
      <c r="O11" s="1282"/>
      <c r="P11" s="1282"/>
      <c r="Q11" s="1283"/>
    </row>
    <row r="12" spans="1:17" ht="14.5" x14ac:dyDescent="0.3">
      <c r="A12" s="404"/>
      <c r="B12" s="1282" t="s">
        <v>823</v>
      </c>
      <c r="C12" s="1282"/>
      <c r="D12" s="1282"/>
      <c r="E12" s="1282"/>
      <c r="F12" s="1282"/>
      <c r="G12" s="1282"/>
      <c r="H12" s="1282"/>
      <c r="I12" s="1282"/>
      <c r="J12" s="1282"/>
      <c r="K12" s="1282"/>
      <c r="L12" s="1282"/>
      <c r="M12" s="1282"/>
      <c r="N12" s="1282"/>
      <c r="O12" s="1282"/>
      <c r="P12" s="1282"/>
      <c r="Q12" s="1283"/>
    </row>
    <row r="13" spans="1:17" ht="14.5" x14ac:dyDescent="0.3">
      <c r="A13" s="404"/>
      <c r="B13" s="1282" t="s">
        <v>824</v>
      </c>
      <c r="C13" s="1282"/>
      <c r="D13" s="1282"/>
      <c r="E13" s="1282"/>
      <c r="F13" s="1282"/>
      <c r="G13" s="1282"/>
      <c r="H13" s="1282"/>
      <c r="I13" s="1282"/>
      <c r="J13" s="1282"/>
      <c r="K13" s="1282"/>
      <c r="L13" s="1282"/>
      <c r="M13" s="1282"/>
      <c r="N13" s="1282"/>
      <c r="O13" s="1282"/>
      <c r="P13" s="1282"/>
      <c r="Q13" s="1283"/>
    </row>
    <row r="14" spans="1:17" ht="14.5" x14ac:dyDescent="0.3">
      <c r="A14" s="404"/>
      <c r="B14" s="1282" t="s">
        <v>1155</v>
      </c>
      <c r="C14" s="1282"/>
      <c r="D14" s="1282"/>
      <c r="E14" s="1282"/>
      <c r="F14" s="1282"/>
      <c r="G14" s="1282"/>
      <c r="H14" s="1282"/>
      <c r="I14" s="1282"/>
      <c r="J14" s="1282"/>
      <c r="K14" s="1282"/>
      <c r="L14" s="1282"/>
      <c r="M14" s="1282"/>
      <c r="N14" s="1282"/>
      <c r="O14" s="1282"/>
      <c r="P14" s="1282"/>
      <c r="Q14" s="1283"/>
    </row>
    <row r="15" spans="1:17" ht="14.5" x14ac:dyDescent="0.3">
      <c r="A15" s="404"/>
      <c r="B15" s="1273" t="s">
        <v>1160</v>
      </c>
      <c r="C15" s="1273"/>
      <c r="D15" s="1273"/>
      <c r="E15" s="1273"/>
      <c r="F15" s="1273"/>
      <c r="G15" s="1273"/>
      <c r="H15" s="1273"/>
      <c r="I15" s="1273"/>
      <c r="J15" s="1273"/>
      <c r="K15" s="1273"/>
      <c r="L15" s="1273"/>
      <c r="M15" s="1273"/>
      <c r="N15" s="1273"/>
      <c r="O15" s="1273"/>
      <c r="P15" s="1273"/>
      <c r="Q15" s="1274"/>
    </row>
    <row r="16" spans="1:17" ht="14.5" x14ac:dyDescent="0.3">
      <c r="A16" s="404"/>
      <c r="B16" s="19" t="s">
        <v>1161</v>
      </c>
      <c r="C16" s="19"/>
      <c r="D16" s="19"/>
      <c r="E16" s="19"/>
      <c r="F16" s="19"/>
      <c r="G16" s="19"/>
      <c r="H16" s="19"/>
      <c r="I16" s="19"/>
      <c r="J16" s="19"/>
      <c r="K16" s="342"/>
      <c r="L16" s="342"/>
      <c r="M16" s="342"/>
      <c r="N16" s="342"/>
      <c r="O16" s="342"/>
      <c r="P16" s="342"/>
      <c r="Q16" s="343"/>
    </row>
    <row r="17" spans="1:17" ht="14.5" x14ac:dyDescent="0.3">
      <c r="A17" s="404"/>
      <c r="B17" s="20" t="s">
        <v>1165</v>
      </c>
      <c r="C17" s="20"/>
      <c r="D17" s="20"/>
      <c r="E17" s="20"/>
      <c r="F17" s="20"/>
      <c r="G17" s="20"/>
      <c r="H17" s="20"/>
      <c r="I17" s="20"/>
      <c r="J17" s="20"/>
      <c r="K17" s="20"/>
      <c r="L17" s="20"/>
      <c r="M17" s="20"/>
      <c r="N17" s="20"/>
      <c r="O17" s="20"/>
      <c r="P17" s="20"/>
      <c r="Q17" s="22"/>
    </row>
    <row r="18" spans="1:17" ht="14.5" x14ac:dyDescent="0.3">
      <c r="A18" s="404"/>
      <c r="B18" s="1273" t="s">
        <v>1167</v>
      </c>
      <c r="C18" s="1273"/>
      <c r="D18" s="1273"/>
      <c r="E18" s="1273"/>
      <c r="F18" s="1273"/>
      <c r="G18" s="1273"/>
      <c r="H18" s="1273"/>
      <c r="I18" s="1273"/>
      <c r="J18" s="1273"/>
      <c r="K18" s="1273"/>
      <c r="L18" s="1273"/>
      <c r="M18" s="1273"/>
      <c r="N18" s="1273"/>
      <c r="O18" s="1273"/>
      <c r="P18" s="1273"/>
      <c r="Q18" s="1274"/>
    </row>
    <row r="19" spans="1:17" ht="14.5" x14ac:dyDescent="0.3">
      <c r="A19" s="404"/>
      <c r="B19" s="1282" t="s">
        <v>1175</v>
      </c>
      <c r="C19" s="1282"/>
      <c r="D19" s="1282"/>
      <c r="E19" s="1282"/>
      <c r="F19" s="1282"/>
      <c r="G19" s="1282"/>
      <c r="H19" s="1282"/>
      <c r="I19" s="1282"/>
      <c r="J19" s="1282"/>
      <c r="K19" s="1282"/>
      <c r="L19" s="1282"/>
      <c r="M19" s="1282"/>
      <c r="N19" s="1282"/>
      <c r="O19" s="1282"/>
      <c r="P19" s="1282"/>
      <c r="Q19" s="1283"/>
    </row>
    <row r="20" spans="1:17" ht="14.5" x14ac:dyDescent="0.3">
      <c r="A20" s="404"/>
      <c r="B20" s="18" t="s">
        <v>1188</v>
      </c>
      <c r="C20" s="65"/>
      <c r="D20" s="65"/>
      <c r="E20" s="65"/>
      <c r="F20" s="65"/>
      <c r="G20" s="65"/>
      <c r="H20" s="65"/>
      <c r="I20" s="65"/>
      <c r="J20" s="65"/>
      <c r="K20" s="65"/>
      <c r="L20" s="65"/>
      <c r="M20" s="65"/>
      <c r="N20" s="65"/>
      <c r="O20" s="65"/>
      <c r="P20" s="65"/>
      <c r="Q20" s="66"/>
    </row>
    <row r="21" spans="1:17" ht="14.5" x14ac:dyDescent="0.3">
      <c r="A21" s="404"/>
      <c r="B21" s="1282" t="s">
        <v>1192</v>
      </c>
      <c r="C21" s="1282"/>
      <c r="D21" s="1282"/>
      <c r="E21" s="1282"/>
      <c r="F21" s="1282"/>
      <c r="G21" s="1282"/>
      <c r="H21" s="1282"/>
      <c r="I21" s="1282"/>
      <c r="J21" s="1282"/>
      <c r="K21" s="1282"/>
      <c r="L21" s="1282"/>
      <c r="M21" s="1282"/>
      <c r="N21" s="1282"/>
      <c r="O21" s="1282"/>
      <c r="P21" s="1282"/>
      <c r="Q21" s="1283"/>
    </row>
    <row r="22" spans="1:17" ht="14.5" x14ac:dyDescent="0.3">
      <c r="A22" s="404"/>
      <c r="B22" s="18" t="s">
        <v>1193</v>
      </c>
      <c r="C22" s="65"/>
      <c r="D22" s="65"/>
      <c r="E22" s="65"/>
      <c r="F22" s="65"/>
      <c r="G22" s="65"/>
      <c r="H22" s="65"/>
      <c r="I22" s="65"/>
      <c r="J22" s="65"/>
      <c r="K22" s="65"/>
      <c r="L22" s="65"/>
      <c r="M22" s="65"/>
      <c r="N22" s="65"/>
      <c r="O22" s="65"/>
      <c r="P22" s="65"/>
      <c r="Q22" s="66"/>
    </row>
    <row r="23" spans="1:17" ht="14.5" x14ac:dyDescent="0.3">
      <c r="A23" s="404"/>
      <c r="B23" s="18" t="s">
        <v>1196</v>
      </c>
      <c r="C23" s="65"/>
      <c r="D23" s="65"/>
      <c r="E23" s="65"/>
      <c r="F23" s="65"/>
      <c r="G23" s="65"/>
      <c r="H23" s="65"/>
      <c r="I23" s="65"/>
      <c r="J23" s="65"/>
      <c r="K23" s="65"/>
      <c r="L23" s="65"/>
      <c r="M23" s="65"/>
      <c r="N23" s="65"/>
      <c r="O23" s="65"/>
      <c r="P23" s="65"/>
      <c r="Q23" s="66"/>
    </row>
    <row r="24" spans="1:17" ht="14.5" x14ac:dyDescent="0.3">
      <c r="A24" s="404"/>
      <c r="B24" s="18" t="s">
        <v>1199</v>
      </c>
      <c r="C24" s="65"/>
      <c r="D24" s="65"/>
      <c r="E24" s="65"/>
      <c r="F24" s="65"/>
      <c r="G24" s="65"/>
      <c r="H24" s="65"/>
      <c r="I24" s="65"/>
      <c r="J24" s="65"/>
      <c r="K24" s="65"/>
      <c r="L24" s="65"/>
      <c r="M24" s="65"/>
      <c r="N24" s="65"/>
      <c r="O24" s="65"/>
      <c r="P24" s="65"/>
      <c r="Q24" s="66"/>
    </row>
    <row r="25" spans="1:17" ht="14.5" x14ac:dyDescent="0.3">
      <c r="A25" s="404"/>
      <c r="B25" s="18" t="s">
        <v>1259</v>
      </c>
      <c r="C25" s="65"/>
      <c r="D25" s="65"/>
      <c r="E25" s="65"/>
      <c r="F25" s="65"/>
      <c r="G25" s="65"/>
      <c r="H25" s="65"/>
      <c r="I25" s="65"/>
      <c r="J25" s="65"/>
      <c r="K25" s="65"/>
      <c r="L25" s="65"/>
      <c r="M25" s="65"/>
      <c r="N25" s="65"/>
      <c r="O25" s="65"/>
      <c r="P25" s="65"/>
      <c r="Q25" s="66"/>
    </row>
    <row r="26" spans="1:17" ht="14.5" x14ac:dyDescent="0.3">
      <c r="A26" s="404"/>
      <c r="B26" s="18" t="s">
        <v>1200</v>
      </c>
      <c r="C26" s="65"/>
      <c r="D26" s="65"/>
      <c r="E26" s="65"/>
      <c r="F26" s="65"/>
      <c r="G26" s="65"/>
      <c r="H26" s="65"/>
      <c r="I26" s="65"/>
      <c r="J26" s="65"/>
      <c r="K26" s="65"/>
      <c r="L26" s="65"/>
      <c r="M26" s="65"/>
      <c r="N26" s="65"/>
      <c r="O26" s="65"/>
      <c r="P26" s="65"/>
      <c r="Q26" s="66"/>
    </row>
    <row r="27" spans="1:17" ht="14.5" x14ac:dyDescent="0.3">
      <c r="A27" s="404"/>
      <c r="B27" s="18" t="s">
        <v>1201</v>
      </c>
      <c r="C27" s="65"/>
      <c r="D27" s="65"/>
      <c r="E27" s="65"/>
      <c r="F27" s="65"/>
      <c r="G27" s="65"/>
      <c r="H27" s="65"/>
      <c r="I27" s="65"/>
      <c r="J27" s="65"/>
      <c r="K27" s="65"/>
      <c r="L27" s="65"/>
      <c r="M27" s="65"/>
      <c r="N27" s="65"/>
      <c r="O27" s="65"/>
      <c r="P27" s="65"/>
      <c r="Q27" s="66"/>
    </row>
    <row r="28" spans="1:17" ht="14.5" x14ac:dyDescent="0.3">
      <c r="A28" s="404"/>
      <c r="B28" s="18" t="s">
        <v>1204</v>
      </c>
      <c r="C28" s="65"/>
      <c r="D28" s="65"/>
      <c r="E28" s="65"/>
      <c r="F28" s="65"/>
      <c r="G28" s="65"/>
      <c r="H28" s="65"/>
      <c r="I28" s="65"/>
      <c r="J28" s="65"/>
      <c r="K28" s="65"/>
      <c r="L28" s="65"/>
      <c r="M28" s="65"/>
      <c r="N28" s="65"/>
      <c r="O28" s="65"/>
      <c r="P28" s="65"/>
      <c r="Q28" s="66"/>
    </row>
    <row r="29" spans="1:17" ht="14.5" x14ac:dyDescent="0.3">
      <c r="A29" s="404"/>
      <c r="B29" s="18" t="s">
        <v>1205</v>
      </c>
      <c r="C29" s="65"/>
      <c r="D29" s="65"/>
      <c r="E29" s="65"/>
      <c r="F29" s="65"/>
      <c r="G29" s="65"/>
      <c r="H29" s="65"/>
      <c r="I29" s="65"/>
      <c r="J29" s="65"/>
      <c r="K29" s="65"/>
      <c r="L29" s="65"/>
      <c r="M29" s="65"/>
      <c r="N29" s="65"/>
      <c r="O29" s="65"/>
      <c r="P29" s="65"/>
      <c r="Q29" s="66"/>
    </row>
    <row r="30" spans="1:17" ht="14.5" x14ac:dyDescent="0.3">
      <c r="A30" s="404"/>
      <c r="B30" s="18" t="s">
        <v>1206</v>
      </c>
      <c r="C30" s="65"/>
      <c r="D30" s="65"/>
      <c r="E30" s="65"/>
      <c r="F30" s="65"/>
      <c r="G30" s="65"/>
      <c r="H30" s="65"/>
      <c r="I30" s="65"/>
      <c r="J30" s="65"/>
      <c r="K30" s="65"/>
      <c r="L30" s="65"/>
      <c r="M30" s="65"/>
      <c r="N30" s="65"/>
      <c r="O30" s="65"/>
      <c r="P30" s="65"/>
      <c r="Q30" s="66"/>
    </row>
    <row r="31" spans="1:17" ht="14.5" x14ac:dyDescent="0.3">
      <c r="A31" s="404"/>
      <c r="B31" s="18" t="s">
        <v>1260</v>
      </c>
      <c r="C31" s="65"/>
      <c r="D31" s="65"/>
      <c r="E31" s="65"/>
      <c r="F31" s="65"/>
      <c r="G31" s="65"/>
      <c r="H31" s="65"/>
      <c r="I31" s="65"/>
      <c r="J31" s="65"/>
      <c r="K31" s="65"/>
      <c r="L31" s="65"/>
      <c r="M31" s="65"/>
      <c r="N31" s="65"/>
      <c r="O31" s="65"/>
      <c r="P31" s="65"/>
      <c r="Q31" s="66"/>
    </row>
    <row r="32" spans="1:17" ht="14.5" x14ac:dyDescent="0.3">
      <c r="A32" s="404"/>
      <c r="B32" s="18" t="s">
        <v>1261</v>
      </c>
      <c r="C32" s="65"/>
      <c r="D32" s="65"/>
      <c r="E32" s="65"/>
      <c r="F32" s="65"/>
      <c r="G32" s="65"/>
      <c r="H32" s="65"/>
      <c r="I32" s="65"/>
      <c r="J32" s="65"/>
      <c r="K32" s="65"/>
      <c r="L32" s="65"/>
      <c r="M32" s="65"/>
      <c r="N32" s="65"/>
      <c r="O32" s="65"/>
      <c r="P32" s="65"/>
      <c r="Q32" s="66"/>
    </row>
    <row r="33" spans="1:17" ht="14.5" x14ac:dyDescent="0.3">
      <c r="A33" s="404"/>
      <c r="B33" s="18" t="s">
        <v>1211</v>
      </c>
      <c r="C33" s="65"/>
      <c r="D33" s="65"/>
      <c r="E33" s="65"/>
      <c r="F33" s="65"/>
      <c r="G33" s="65"/>
      <c r="H33" s="65"/>
      <c r="I33" s="65"/>
      <c r="J33" s="65"/>
      <c r="K33" s="65"/>
      <c r="L33" s="65"/>
      <c r="M33" s="65"/>
      <c r="N33" s="65"/>
      <c r="O33" s="65"/>
      <c r="P33" s="65"/>
      <c r="Q33" s="66"/>
    </row>
    <row r="34" spans="1:17" ht="14.5" x14ac:dyDescent="0.3">
      <c r="A34" s="404"/>
      <c r="B34" s="1282" t="s">
        <v>1262</v>
      </c>
      <c r="C34" s="1282"/>
      <c r="D34" s="1282"/>
      <c r="E34" s="1282"/>
      <c r="F34" s="1282"/>
      <c r="G34" s="1282"/>
      <c r="H34" s="1282"/>
      <c r="I34" s="1282"/>
      <c r="J34" s="1282"/>
      <c r="K34" s="1282"/>
      <c r="L34" s="1282"/>
      <c r="M34" s="1282"/>
      <c r="N34" s="1282"/>
      <c r="O34" s="1282"/>
      <c r="P34" s="1282"/>
      <c r="Q34" s="1283"/>
    </row>
    <row r="35" spans="1:17" ht="14.5" x14ac:dyDescent="0.3">
      <c r="A35" s="404"/>
      <c r="B35" s="18" t="s">
        <v>1212</v>
      </c>
      <c r="C35" s="65"/>
      <c r="D35" s="65"/>
      <c r="E35" s="65"/>
      <c r="F35" s="65"/>
      <c r="G35" s="65"/>
      <c r="H35" s="65"/>
      <c r="I35" s="65"/>
      <c r="J35" s="65"/>
      <c r="K35" s="65"/>
      <c r="L35" s="65"/>
      <c r="M35" s="65"/>
      <c r="N35" s="65"/>
      <c r="O35" s="65"/>
      <c r="P35" s="65"/>
      <c r="Q35" s="66"/>
    </row>
    <row r="36" spans="1:17" ht="14.5" x14ac:dyDescent="0.3">
      <c r="A36" s="404"/>
      <c r="B36" s="1282" t="s">
        <v>1263</v>
      </c>
      <c r="C36" s="1282"/>
      <c r="D36" s="1282"/>
      <c r="E36" s="1282"/>
      <c r="F36" s="1282"/>
      <c r="G36" s="1282"/>
      <c r="H36" s="1282"/>
      <c r="I36" s="1282"/>
      <c r="J36" s="1282"/>
      <c r="K36" s="1282"/>
      <c r="L36" s="1282"/>
      <c r="M36" s="1282"/>
      <c r="N36" s="1282"/>
      <c r="O36" s="1282"/>
      <c r="P36" s="1282"/>
      <c r="Q36" s="1283"/>
    </row>
    <row r="37" spans="1:17" ht="14.5" x14ac:dyDescent="0.3">
      <c r="A37" s="404"/>
      <c r="B37" s="18" t="s">
        <v>1255</v>
      </c>
      <c r="C37" s="65"/>
      <c r="D37" s="65"/>
      <c r="E37" s="65"/>
      <c r="F37" s="65"/>
      <c r="G37" s="65"/>
      <c r="H37" s="65"/>
      <c r="I37" s="65"/>
      <c r="J37" s="65"/>
      <c r="K37" s="65"/>
      <c r="L37" s="65"/>
      <c r="M37" s="65"/>
      <c r="N37" s="65"/>
      <c r="O37" s="65"/>
      <c r="P37" s="65"/>
      <c r="Q37" s="66"/>
    </row>
    <row r="38" spans="1:17" ht="14.5" x14ac:dyDescent="0.3">
      <c r="A38" s="404"/>
      <c r="B38" s="18" t="s">
        <v>1257</v>
      </c>
      <c r="C38" s="65"/>
      <c r="D38" s="65"/>
      <c r="E38" s="65"/>
      <c r="F38" s="65"/>
      <c r="G38" s="65"/>
      <c r="H38" s="65"/>
      <c r="I38" s="65"/>
      <c r="J38" s="65"/>
      <c r="K38" s="65"/>
      <c r="L38" s="65"/>
      <c r="M38" s="65"/>
      <c r="N38" s="65"/>
      <c r="O38" s="65"/>
      <c r="P38" s="65"/>
      <c r="Q38" s="66"/>
    </row>
    <row r="39" spans="1:17" ht="14.5" x14ac:dyDescent="0.3">
      <c r="A39" s="404"/>
      <c r="B39" s="18" t="s">
        <v>1276</v>
      </c>
      <c r="C39" s="65"/>
      <c r="D39" s="65"/>
      <c r="E39" s="65"/>
      <c r="F39" s="65"/>
      <c r="G39" s="65"/>
      <c r="H39" s="65"/>
      <c r="I39" s="65"/>
      <c r="J39" s="65"/>
      <c r="K39" s="65"/>
      <c r="L39" s="65"/>
      <c r="M39" s="65"/>
      <c r="N39" s="65"/>
      <c r="O39" s="65"/>
      <c r="P39" s="65"/>
      <c r="Q39" s="66"/>
    </row>
    <row r="40" spans="1:17" ht="14.5" x14ac:dyDescent="0.3">
      <c r="A40" s="404"/>
      <c r="B40" s="18" t="s">
        <v>1278</v>
      </c>
      <c r="C40" s="65"/>
      <c r="D40" s="65"/>
      <c r="E40" s="65"/>
      <c r="F40" s="65"/>
      <c r="G40" s="65"/>
      <c r="H40" s="65"/>
      <c r="I40" s="65"/>
      <c r="J40" s="65"/>
      <c r="K40" s="65"/>
      <c r="L40" s="65"/>
      <c r="M40" s="65"/>
      <c r="N40" s="65"/>
      <c r="O40" s="65"/>
      <c r="P40" s="65"/>
      <c r="Q40" s="66"/>
    </row>
    <row r="41" spans="1:17" ht="14.5" x14ac:dyDescent="0.3">
      <c r="A41" s="404"/>
      <c r="B41" s="18" t="s">
        <v>1279</v>
      </c>
      <c r="C41" s="65"/>
      <c r="D41" s="65"/>
      <c r="E41" s="65"/>
      <c r="F41" s="65"/>
      <c r="G41" s="65"/>
      <c r="H41" s="65"/>
      <c r="I41" s="65"/>
      <c r="J41" s="65"/>
      <c r="K41" s="65"/>
      <c r="L41" s="65"/>
      <c r="M41" s="65"/>
      <c r="N41" s="65"/>
      <c r="O41" s="65"/>
      <c r="P41" s="65"/>
      <c r="Q41" s="66"/>
    </row>
    <row r="42" spans="1:17" ht="14.5" x14ac:dyDescent="0.3">
      <c r="A42" s="404"/>
      <c r="B42" s="18" t="s">
        <v>1280</v>
      </c>
      <c r="C42" s="65"/>
      <c r="D42" s="65"/>
      <c r="E42" s="65"/>
      <c r="F42" s="65"/>
      <c r="G42" s="65"/>
      <c r="H42" s="65"/>
      <c r="I42" s="65"/>
      <c r="J42" s="65"/>
      <c r="K42" s="65"/>
      <c r="L42" s="65"/>
      <c r="M42" s="65"/>
      <c r="N42" s="65"/>
      <c r="O42" s="65"/>
      <c r="P42" s="65"/>
      <c r="Q42" s="66"/>
    </row>
    <row r="43" spans="1:17" ht="14.5" x14ac:dyDescent="0.3">
      <c r="A43" s="404"/>
      <c r="B43" s="18" t="s">
        <v>1286</v>
      </c>
      <c r="C43" s="65"/>
      <c r="D43" s="65"/>
      <c r="E43" s="65"/>
      <c r="F43" s="65"/>
      <c r="G43" s="65"/>
      <c r="H43" s="65"/>
      <c r="I43" s="65"/>
      <c r="J43" s="65"/>
      <c r="K43" s="65"/>
      <c r="L43" s="65"/>
      <c r="M43" s="65"/>
      <c r="N43" s="65"/>
      <c r="O43" s="65"/>
      <c r="P43" s="65"/>
      <c r="Q43" s="66"/>
    </row>
    <row r="44" spans="1:17" ht="14.5" x14ac:dyDescent="0.3">
      <c r="A44" s="404"/>
      <c r="B44" s="18" t="s">
        <v>1287</v>
      </c>
      <c r="C44" s="65"/>
      <c r="D44" s="65"/>
      <c r="E44" s="65"/>
      <c r="F44" s="65"/>
      <c r="G44" s="65"/>
      <c r="H44" s="65"/>
      <c r="I44" s="65"/>
      <c r="J44" s="65"/>
      <c r="K44" s="65"/>
      <c r="L44" s="65"/>
      <c r="M44" s="65"/>
      <c r="N44" s="65"/>
      <c r="O44" s="65"/>
      <c r="P44" s="65"/>
      <c r="Q44" s="66"/>
    </row>
    <row r="45" spans="1:17" ht="15" customHeight="1" x14ac:dyDescent="0.3">
      <c r="A45" s="404"/>
      <c r="B45" s="1287" t="s">
        <v>524</v>
      </c>
      <c r="C45" s="1288"/>
      <c r="D45" s="1288"/>
      <c r="E45" s="1288"/>
      <c r="F45" s="1288"/>
      <c r="G45" s="1289"/>
      <c r="H45" s="1288"/>
      <c r="I45" s="1288"/>
      <c r="J45" s="1288"/>
      <c r="K45" s="1288"/>
      <c r="L45" s="1289"/>
      <c r="M45" s="1288"/>
      <c r="N45" s="1288"/>
      <c r="O45" s="1288"/>
      <c r="P45" s="1288"/>
      <c r="Q45" s="397"/>
    </row>
    <row r="46" spans="1:17" ht="14.25" customHeight="1" x14ac:dyDescent="0.3">
      <c r="A46" s="404"/>
      <c r="B46" s="18" t="s">
        <v>1288</v>
      </c>
      <c r="C46" s="65"/>
      <c r="D46" s="65"/>
      <c r="E46" s="65"/>
      <c r="F46" s="65"/>
      <c r="G46" s="65"/>
      <c r="H46" s="65"/>
      <c r="I46" s="65"/>
      <c r="J46" s="65"/>
      <c r="K46" s="65"/>
      <c r="L46" s="65"/>
      <c r="M46" s="65"/>
      <c r="N46" s="65"/>
      <c r="O46" s="65"/>
      <c r="P46" s="65"/>
      <c r="Q46" s="66"/>
    </row>
    <row r="47" spans="1:17" ht="37.5" customHeight="1" x14ac:dyDescent="0.3">
      <c r="A47" s="404"/>
      <c r="B47" s="1296" t="s">
        <v>1289</v>
      </c>
      <c r="C47" s="1282"/>
      <c r="D47" s="1282"/>
      <c r="E47" s="1282"/>
      <c r="F47" s="1282"/>
      <c r="G47" s="1282"/>
      <c r="H47" s="1282"/>
      <c r="I47" s="1282"/>
      <c r="J47" s="1282"/>
      <c r="K47" s="1282"/>
      <c r="L47" s="1282"/>
      <c r="M47" s="1282"/>
      <c r="N47" s="1282"/>
      <c r="O47" s="1282"/>
      <c r="P47" s="1282"/>
      <c r="Q47" s="1283"/>
    </row>
    <row r="48" spans="1:17" ht="15" customHeight="1" x14ac:dyDescent="0.3">
      <c r="A48" s="404"/>
      <c r="B48" s="18" t="s">
        <v>1290</v>
      </c>
      <c r="C48" s="65"/>
      <c r="D48" s="65"/>
      <c r="E48" s="65"/>
      <c r="F48" s="65"/>
      <c r="G48" s="65"/>
      <c r="H48" s="65"/>
      <c r="I48" s="65"/>
      <c r="J48" s="65"/>
      <c r="K48" s="65"/>
      <c r="L48" s="65"/>
      <c r="M48" s="65"/>
      <c r="N48" s="65"/>
      <c r="O48" s="65"/>
      <c r="P48" s="65"/>
      <c r="Q48" s="66"/>
    </row>
    <row r="49" spans="1:17" ht="15" customHeight="1" x14ac:dyDescent="0.3">
      <c r="A49" s="404"/>
      <c r="B49" s="18" t="s">
        <v>1291</v>
      </c>
      <c r="C49" s="65"/>
      <c r="D49" s="65"/>
      <c r="E49" s="65"/>
      <c r="F49" s="65"/>
      <c r="G49" s="65"/>
      <c r="H49" s="65"/>
      <c r="I49" s="65"/>
      <c r="J49" s="65"/>
      <c r="K49" s="65"/>
      <c r="L49" s="65"/>
      <c r="M49" s="65"/>
      <c r="N49" s="65"/>
      <c r="O49" s="65"/>
      <c r="P49" s="65"/>
      <c r="Q49" s="66"/>
    </row>
    <row r="50" spans="1:17" ht="15" customHeight="1" x14ac:dyDescent="0.3">
      <c r="A50" s="404"/>
      <c r="B50" s="18" t="s">
        <v>1296</v>
      </c>
      <c r="C50" s="65"/>
      <c r="D50" s="65"/>
      <c r="E50" s="65"/>
      <c r="F50" s="65"/>
      <c r="G50" s="65"/>
      <c r="H50" s="65"/>
      <c r="I50" s="65"/>
      <c r="J50" s="65"/>
      <c r="K50" s="65"/>
      <c r="L50" s="65"/>
      <c r="M50" s="65"/>
      <c r="N50" s="65"/>
      <c r="O50" s="65"/>
      <c r="P50" s="65"/>
      <c r="Q50" s="66"/>
    </row>
    <row r="51" spans="1:17" ht="15" customHeight="1" x14ac:dyDescent="0.3">
      <c r="A51" s="404"/>
      <c r="B51" s="18" t="s">
        <v>1300</v>
      </c>
      <c r="C51" s="65"/>
      <c r="D51" s="65"/>
      <c r="E51" s="65"/>
      <c r="F51" s="65"/>
      <c r="G51" s="65"/>
      <c r="H51" s="65"/>
      <c r="I51" s="65"/>
      <c r="J51" s="65"/>
      <c r="K51" s="65"/>
      <c r="L51" s="65"/>
      <c r="M51" s="65"/>
      <c r="N51" s="65"/>
      <c r="O51" s="65"/>
      <c r="P51" s="65"/>
      <c r="Q51" s="66"/>
    </row>
    <row r="52" spans="1:17" ht="15" customHeight="1" x14ac:dyDescent="0.3">
      <c r="A52" s="404"/>
      <c r="B52" s="18" t="s">
        <v>1302</v>
      </c>
      <c r="C52" s="65"/>
      <c r="D52" s="65"/>
      <c r="E52" s="65"/>
      <c r="F52" s="65"/>
      <c r="G52" s="65"/>
      <c r="H52" s="65"/>
      <c r="I52" s="65"/>
      <c r="J52" s="65"/>
      <c r="K52" s="65"/>
      <c r="L52" s="65"/>
      <c r="M52" s="65"/>
      <c r="N52" s="65"/>
      <c r="O52" s="65"/>
      <c r="P52" s="65"/>
      <c r="Q52" s="66"/>
    </row>
    <row r="53" spans="1:17" ht="49.5" customHeight="1" x14ac:dyDescent="0.3">
      <c r="A53" s="404"/>
      <c r="B53" s="1296" t="s">
        <v>1303</v>
      </c>
      <c r="C53" s="1282"/>
      <c r="D53" s="1282"/>
      <c r="E53" s="1282"/>
      <c r="F53" s="1282"/>
      <c r="G53" s="1282"/>
      <c r="H53" s="1282"/>
      <c r="I53" s="1282"/>
      <c r="J53" s="1282"/>
      <c r="K53" s="1282"/>
      <c r="L53" s="1282"/>
      <c r="M53" s="1282"/>
      <c r="N53" s="1282"/>
      <c r="O53" s="1282"/>
      <c r="P53" s="1282"/>
      <c r="Q53" s="1283"/>
    </row>
    <row r="54" spans="1:17" ht="14.5" x14ac:dyDescent="0.3">
      <c r="A54" s="404"/>
      <c r="B54" s="18" t="s">
        <v>1305</v>
      </c>
      <c r="Q54" s="404"/>
    </row>
    <row r="55" spans="1:17" ht="14.5" x14ac:dyDescent="0.3">
      <c r="A55" s="404"/>
      <c r="B55" s="18" t="s">
        <v>1306</v>
      </c>
      <c r="Q55" s="404"/>
    </row>
    <row r="56" spans="1:17" ht="14.5" x14ac:dyDescent="0.3">
      <c r="A56" s="404"/>
      <c r="B56" s="18" t="s">
        <v>1307</v>
      </c>
      <c r="Q56" s="404"/>
    </row>
    <row r="57" spans="1:17" ht="15" customHeight="1" x14ac:dyDescent="0.3">
      <c r="A57" s="404"/>
      <c r="B57" s="1287" t="s">
        <v>525</v>
      </c>
      <c r="C57" s="1288"/>
      <c r="D57" s="1288"/>
      <c r="E57" s="1288"/>
      <c r="F57" s="1288"/>
      <c r="G57" s="396"/>
      <c r="H57" s="396"/>
      <c r="I57" s="1297" t="s">
        <v>549</v>
      </c>
      <c r="J57" s="1297"/>
      <c r="K57" s="346">
        <v>10.5</v>
      </c>
      <c r="L57" s="346"/>
      <c r="M57" s="346"/>
      <c r="N57" s="346"/>
      <c r="O57" s="346"/>
      <c r="P57" s="346"/>
      <c r="Q57" s="346"/>
    </row>
    <row r="58" spans="1:17" ht="15" customHeight="1" x14ac:dyDescent="0.3">
      <c r="A58" s="404"/>
      <c r="B58" s="2" t="s">
        <v>1308</v>
      </c>
      <c r="C58" s="2"/>
      <c r="D58" s="2"/>
      <c r="E58" s="2"/>
      <c r="F58" s="2"/>
      <c r="G58" s="2"/>
      <c r="H58" s="2"/>
      <c r="I58" s="2"/>
      <c r="J58" s="2"/>
      <c r="K58" s="2"/>
      <c r="L58" s="2"/>
      <c r="M58" s="2"/>
      <c r="N58" s="2"/>
      <c r="O58" s="2"/>
      <c r="P58" s="2"/>
      <c r="Q58" s="10"/>
    </row>
    <row r="59" spans="1:17" ht="27" customHeight="1" x14ac:dyDescent="0.3">
      <c r="A59" s="404"/>
      <c r="B59" s="1275" t="s">
        <v>1309</v>
      </c>
      <c r="C59" s="1080"/>
      <c r="D59" s="1080"/>
      <c r="E59" s="1080"/>
      <c r="F59" s="1080"/>
      <c r="G59" s="1080"/>
      <c r="H59" s="1080"/>
      <c r="I59" s="1080"/>
      <c r="J59" s="1080"/>
      <c r="K59" s="1080"/>
      <c r="L59" s="1080"/>
      <c r="M59" s="1080"/>
      <c r="N59" s="1080"/>
      <c r="O59" s="1080"/>
      <c r="P59" s="1080"/>
      <c r="Q59" s="1276"/>
    </row>
    <row r="60" spans="1:17" ht="30.75" customHeight="1" x14ac:dyDescent="0.3">
      <c r="A60" s="404"/>
      <c r="B60" s="1293" t="s">
        <v>1311</v>
      </c>
      <c r="C60" s="1294"/>
      <c r="D60" s="1294"/>
      <c r="E60" s="1294"/>
      <c r="F60" s="1294"/>
      <c r="G60" s="1294"/>
      <c r="H60" s="1294"/>
      <c r="I60" s="1294"/>
      <c r="J60" s="1294"/>
      <c r="K60" s="1294"/>
      <c r="L60" s="1294"/>
      <c r="M60" s="1294"/>
      <c r="N60" s="1294"/>
      <c r="O60" s="1294"/>
      <c r="P60" s="1294"/>
      <c r="Q60" s="1295"/>
    </row>
    <row r="61" spans="1:17" ht="14.5" x14ac:dyDescent="0.3">
      <c r="A61" s="404"/>
      <c r="B61" s="1275" t="s">
        <v>1313</v>
      </c>
      <c r="C61" s="1080"/>
      <c r="D61" s="1080"/>
      <c r="E61" s="1080"/>
      <c r="F61" s="1080"/>
      <c r="G61" s="1080"/>
      <c r="H61" s="1080"/>
      <c r="I61" s="1080"/>
      <c r="J61" s="1080"/>
      <c r="K61" s="1080"/>
      <c r="L61" s="1080"/>
      <c r="M61" s="1080"/>
      <c r="N61" s="1080"/>
      <c r="O61" s="1080"/>
      <c r="P61" s="1080"/>
      <c r="Q61" s="1276"/>
    </row>
    <row r="62" spans="1:17" ht="27" customHeight="1" x14ac:dyDescent="0.3">
      <c r="A62" s="404"/>
      <c r="B62" s="1275" t="s">
        <v>1314</v>
      </c>
      <c r="C62" s="1080"/>
      <c r="D62" s="1080"/>
      <c r="E62" s="1080"/>
      <c r="F62" s="1080"/>
      <c r="G62" s="1080"/>
      <c r="H62" s="1080"/>
      <c r="I62" s="1080"/>
      <c r="J62" s="1080"/>
      <c r="K62" s="1080"/>
      <c r="L62" s="1080"/>
      <c r="M62" s="1080"/>
      <c r="N62" s="1080"/>
      <c r="O62" s="1080"/>
      <c r="P62" s="1080"/>
      <c r="Q62" s="1276"/>
    </row>
    <row r="63" spans="1:17" ht="57" customHeight="1" x14ac:dyDescent="0.3">
      <c r="A63" s="404"/>
      <c r="B63" s="1275" t="s">
        <v>1318</v>
      </c>
      <c r="C63" s="1080"/>
      <c r="D63" s="1080"/>
      <c r="E63" s="1080"/>
      <c r="F63" s="1080"/>
      <c r="G63" s="1080"/>
      <c r="H63" s="1080"/>
      <c r="I63" s="1080"/>
      <c r="J63" s="1080"/>
      <c r="K63" s="1080"/>
      <c r="L63" s="1080"/>
      <c r="M63" s="1080"/>
      <c r="N63" s="1080"/>
      <c r="O63" s="1080"/>
      <c r="P63" s="1080"/>
      <c r="Q63" s="1276"/>
    </row>
    <row r="64" spans="1:17" ht="31.5" customHeight="1" x14ac:dyDescent="0.3">
      <c r="A64" s="404"/>
      <c r="B64" s="1275" t="s">
        <v>1321</v>
      </c>
      <c r="C64" s="1080"/>
      <c r="D64" s="1080"/>
      <c r="E64" s="1080"/>
      <c r="F64" s="1080"/>
      <c r="G64" s="1080"/>
      <c r="H64" s="1080"/>
      <c r="I64" s="1080"/>
      <c r="J64" s="1080"/>
      <c r="K64" s="1080"/>
      <c r="L64" s="1080"/>
      <c r="M64" s="1080"/>
      <c r="N64" s="1080"/>
      <c r="O64" s="1080"/>
      <c r="P64" s="1080"/>
      <c r="Q64" s="1276"/>
    </row>
    <row r="65" spans="1:17" ht="14.5" x14ac:dyDescent="0.3">
      <c r="A65" s="404"/>
      <c r="B65" s="2" t="s">
        <v>1427</v>
      </c>
      <c r="C65" s="2"/>
      <c r="D65" s="2"/>
      <c r="E65" s="2"/>
      <c r="F65" s="2"/>
      <c r="G65" s="2"/>
      <c r="H65" s="2"/>
      <c r="I65" s="2"/>
      <c r="J65" s="2"/>
      <c r="K65" s="2"/>
      <c r="L65" s="2"/>
      <c r="M65" s="2"/>
      <c r="N65" s="2"/>
      <c r="O65" s="2"/>
      <c r="P65" s="2"/>
      <c r="Q65" s="10"/>
    </row>
    <row r="66" spans="1:17" ht="41.25" customHeight="1" x14ac:dyDescent="0.3">
      <c r="A66" s="404"/>
      <c r="B66" s="1275" t="s">
        <v>1432</v>
      </c>
      <c r="C66" s="1080"/>
      <c r="D66" s="1080"/>
      <c r="E66" s="1080"/>
      <c r="F66" s="1080"/>
      <c r="G66" s="1080"/>
      <c r="H66" s="1080"/>
      <c r="I66" s="1080"/>
      <c r="J66" s="1080"/>
      <c r="K66" s="1080"/>
      <c r="L66" s="1080"/>
      <c r="M66" s="1080"/>
      <c r="N66" s="1080"/>
      <c r="O66" s="1080"/>
      <c r="P66" s="1080"/>
      <c r="Q66" s="1276"/>
    </row>
    <row r="67" spans="1:17" ht="15" customHeight="1" x14ac:dyDescent="0.3">
      <c r="A67" s="404"/>
      <c r="B67" s="1275"/>
      <c r="C67" s="1080"/>
      <c r="D67" s="1080"/>
      <c r="E67" s="1080"/>
      <c r="F67" s="1080"/>
      <c r="G67" s="1080"/>
      <c r="H67" s="1080"/>
      <c r="I67" s="1080"/>
      <c r="J67" s="1080"/>
      <c r="K67" s="1080"/>
      <c r="L67" s="1080"/>
      <c r="M67" s="1080"/>
      <c r="N67" s="1080"/>
      <c r="O67" s="1080"/>
      <c r="P67" s="1080"/>
      <c r="Q67" s="1276"/>
    </row>
    <row r="68" spans="1:17" ht="14.5" x14ac:dyDescent="0.3">
      <c r="A68" s="404"/>
      <c r="B68" s="2" t="s">
        <v>1434</v>
      </c>
      <c r="C68" s="2"/>
      <c r="D68" s="2"/>
      <c r="E68" s="2"/>
      <c r="F68" s="2"/>
      <c r="G68" s="2"/>
      <c r="H68" s="2"/>
      <c r="I68" s="2"/>
      <c r="J68" s="2"/>
      <c r="K68" s="2"/>
      <c r="L68" s="2"/>
      <c r="M68" s="2"/>
      <c r="N68" s="2"/>
      <c r="O68" s="2"/>
      <c r="P68" s="2"/>
      <c r="Q68" s="10"/>
    </row>
    <row r="69" spans="1:17" ht="60.75" customHeight="1" x14ac:dyDescent="0.3">
      <c r="A69" s="404"/>
      <c r="B69" s="1275" t="s">
        <v>1436</v>
      </c>
      <c r="C69" s="1080"/>
      <c r="D69" s="1080"/>
      <c r="E69" s="1080"/>
      <c r="F69" s="1080"/>
      <c r="G69" s="1080"/>
      <c r="H69" s="1080"/>
      <c r="I69" s="1080"/>
      <c r="J69" s="1080"/>
      <c r="K69" s="1080"/>
      <c r="L69" s="1080"/>
      <c r="M69" s="1080"/>
      <c r="N69" s="1080"/>
      <c r="O69" s="1080"/>
      <c r="P69" s="1080"/>
      <c r="Q69" s="1276"/>
    </row>
    <row r="70" spans="1:17" ht="14.5" x14ac:dyDescent="0.3">
      <c r="A70" s="404"/>
      <c r="B70" s="1275" t="s">
        <v>1437</v>
      </c>
      <c r="C70" s="1080"/>
      <c r="D70" s="1080"/>
      <c r="E70" s="1080"/>
      <c r="F70" s="1080"/>
      <c r="G70" s="1080"/>
      <c r="H70" s="1080"/>
      <c r="I70" s="1080"/>
      <c r="J70" s="1080"/>
      <c r="K70" s="1080"/>
      <c r="L70" s="1080"/>
      <c r="M70" s="1080"/>
      <c r="N70" s="1080"/>
      <c r="O70" s="1080"/>
      <c r="P70" s="1080"/>
      <c r="Q70" s="1276"/>
    </row>
    <row r="71" spans="1:17" s="505" customFormat="1" ht="43.5" customHeight="1" x14ac:dyDescent="0.3">
      <c r="A71" s="504"/>
      <c r="B71" s="1290" t="s">
        <v>1492</v>
      </c>
      <c r="C71" s="1291"/>
      <c r="D71" s="1291"/>
      <c r="E71" s="1291"/>
      <c r="F71" s="1291"/>
      <c r="G71" s="1291"/>
      <c r="H71" s="1291"/>
      <c r="I71" s="1291"/>
      <c r="J71" s="1291"/>
      <c r="K71" s="1291"/>
      <c r="L71" s="1291"/>
      <c r="M71" s="1291"/>
      <c r="N71" s="1291"/>
      <c r="O71" s="1291"/>
      <c r="P71" s="1291"/>
      <c r="Q71" s="1292"/>
    </row>
    <row r="72" spans="1:17" ht="77.25" customHeight="1" x14ac:dyDescent="0.3">
      <c r="A72" s="404"/>
      <c r="B72" s="1282" t="s">
        <v>1531</v>
      </c>
      <c r="C72" s="1282"/>
      <c r="D72" s="1282"/>
      <c r="E72" s="1282"/>
      <c r="F72" s="1282"/>
      <c r="G72" s="1282"/>
      <c r="H72" s="1282"/>
      <c r="I72" s="1282"/>
      <c r="J72" s="1282"/>
      <c r="K72" s="1282"/>
      <c r="L72" s="1282"/>
      <c r="M72" s="1282"/>
      <c r="N72" s="1282"/>
      <c r="O72" s="1282"/>
      <c r="P72" s="1282"/>
      <c r="Q72" s="1283"/>
    </row>
    <row r="73" spans="1:17" ht="14.5" customHeight="1" x14ac:dyDescent="0.3">
      <c r="A73" s="404"/>
      <c r="B73" s="1298" t="s">
        <v>1532</v>
      </c>
      <c r="C73" s="1273"/>
      <c r="D73" s="1273"/>
      <c r="E73" s="1273"/>
      <c r="F73" s="1273"/>
      <c r="G73" s="1273"/>
      <c r="H73" s="1273"/>
      <c r="I73" s="1273"/>
      <c r="J73" s="1273"/>
      <c r="K73" s="1273"/>
      <c r="L73" s="1273"/>
      <c r="M73" s="1273"/>
      <c r="N73" s="1273"/>
      <c r="O73" s="1273"/>
      <c r="P73" s="1273"/>
      <c r="Q73" s="1274"/>
    </row>
    <row r="74" spans="1:17" ht="33" customHeight="1" x14ac:dyDescent="0.3">
      <c r="A74" s="404"/>
      <c r="B74" s="1296" t="s">
        <v>1550</v>
      </c>
      <c r="C74" s="1282"/>
      <c r="D74" s="1282"/>
      <c r="E74" s="1282"/>
      <c r="F74" s="1282"/>
      <c r="G74" s="1282"/>
      <c r="H74" s="1282"/>
      <c r="I74" s="1282"/>
      <c r="J74" s="1282"/>
      <c r="K74" s="1282"/>
      <c r="L74" s="1282"/>
      <c r="M74" s="1282"/>
      <c r="N74" s="1282"/>
      <c r="O74" s="1282"/>
      <c r="P74" s="1282"/>
      <c r="Q74" s="1283"/>
    </row>
    <row r="75" spans="1:17" ht="48" customHeight="1" x14ac:dyDescent="0.3">
      <c r="A75" s="404"/>
      <c r="B75" s="1282" t="s">
        <v>1578</v>
      </c>
      <c r="C75" s="1282"/>
      <c r="D75" s="1282"/>
      <c r="E75" s="1282"/>
      <c r="F75" s="1282"/>
      <c r="G75" s="1282"/>
      <c r="H75" s="1282"/>
      <c r="I75" s="1282"/>
      <c r="J75" s="1282"/>
      <c r="K75" s="1282"/>
      <c r="L75" s="1282"/>
      <c r="M75" s="1282"/>
      <c r="N75" s="1282"/>
      <c r="O75" s="1282"/>
      <c r="P75" s="1282"/>
      <c r="Q75" s="1283"/>
    </row>
    <row r="76" spans="1:17" ht="30" customHeight="1" x14ac:dyDescent="0.3">
      <c r="A76" s="404"/>
      <c r="B76" s="1296" t="s">
        <v>1559</v>
      </c>
      <c r="C76" s="1282"/>
      <c r="D76" s="1282"/>
      <c r="E76" s="1282"/>
      <c r="F76" s="1282"/>
      <c r="G76" s="1282"/>
      <c r="H76" s="1282"/>
      <c r="I76" s="1282"/>
      <c r="J76" s="1282"/>
      <c r="K76" s="1282"/>
      <c r="L76" s="1282"/>
      <c r="M76" s="1282"/>
      <c r="N76" s="1282"/>
      <c r="O76" s="1282"/>
      <c r="P76" s="1282"/>
      <c r="Q76" s="1283"/>
    </row>
    <row r="77" spans="1:17" ht="14.5" x14ac:dyDescent="0.3">
      <c r="A77" s="404"/>
      <c r="B77" s="1299" t="s">
        <v>1569</v>
      </c>
      <c r="C77" s="1277"/>
      <c r="D77" s="1277"/>
      <c r="E77" s="1277"/>
      <c r="F77" s="1277"/>
      <c r="G77" s="1277"/>
      <c r="H77" s="1277"/>
      <c r="I77" s="1277"/>
      <c r="J77" s="1277"/>
      <c r="K77" s="1277"/>
      <c r="L77" s="1277"/>
      <c r="M77" s="1277"/>
      <c r="N77" s="1277"/>
      <c r="O77" s="1277"/>
      <c r="P77" s="1277"/>
      <c r="Q77" s="1278"/>
    </row>
    <row r="78" spans="1:17" ht="33" customHeight="1" x14ac:dyDescent="0.3">
      <c r="A78" s="404"/>
      <c r="B78" s="1280" t="s">
        <v>1576</v>
      </c>
      <c r="C78" s="1280"/>
      <c r="D78" s="1280"/>
      <c r="E78" s="1280"/>
      <c r="F78" s="1280"/>
      <c r="G78" s="1280"/>
      <c r="H78" s="1280"/>
      <c r="I78" s="1280"/>
      <c r="J78" s="1280"/>
      <c r="K78" s="1280"/>
      <c r="L78" s="1280"/>
      <c r="M78" s="1280"/>
      <c r="N78" s="1280"/>
      <c r="O78" s="1280"/>
      <c r="P78" s="1280"/>
      <c r="Q78" s="1281"/>
    </row>
    <row r="79" spans="1:17" ht="14.5" x14ac:dyDescent="0.3">
      <c r="A79" s="404"/>
      <c r="B79" s="1280" t="s">
        <v>1577</v>
      </c>
      <c r="C79" s="1280"/>
      <c r="D79" s="1280"/>
      <c r="E79" s="1280"/>
      <c r="F79" s="1280"/>
      <c r="G79" s="1280"/>
      <c r="H79" s="1280"/>
      <c r="I79" s="1280"/>
      <c r="J79" s="1280"/>
      <c r="K79" s="1280"/>
      <c r="L79" s="1280"/>
      <c r="M79" s="1280"/>
      <c r="N79" s="1280"/>
      <c r="O79" s="1280"/>
      <c r="P79" s="1280"/>
      <c r="Q79" s="1281"/>
    </row>
    <row r="80" spans="1:17" ht="14.5" x14ac:dyDescent="0.3">
      <c r="A80" s="404"/>
      <c r="B80" s="1280" t="s">
        <v>1579</v>
      </c>
      <c r="C80" s="1280"/>
      <c r="D80" s="1280"/>
      <c r="E80" s="1280"/>
      <c r="F80" s="1280"/>
      <c r="G80" s="1280"/>
      <c r="H80" s="1280"/>
      <c r="I80" s="1280"/>
      <c r="J80" s="1280"/>
      <c r="K80" s="1280"/>
      <c r="L80" s="1280"/>
      <c r="M80" s="1280"/>
      <c r="N80" s="1280"/>
      <c r="O80" s="1280"/>
      <c r="P80" s="1280"/>
      <c r="Q80" s="1281"/>
    </row>
    <row r="81" spans="1:17" ht="15" customHeight="1" x14ac:dyDescent="0.3">
      <c r="A81" s="404"/>
      <c r="B81" s="1277" t="s">
        <v>1583</v>
      </c>
      <c r="C81" s="1277"/>
      <c r="D81" s="1277"/>
      <c r="E81" s="1277"/>
      <c r="F81" s="1277"/>
      <c r="G81" s="1277"/>
      <c r="H81" s="1277"/>
      <c r="I81" s="1277"/>
      <c r="J81" s="1277"/>
      <c r="K81" s="1277"/>
      <c r="L81" s="1277"/>
      <c r="M81" s="1277"/>
      <c r="N81" s="1277"/>
      <c r="O81" s="1277"/>
      <c r="P81" s="1277"/>
      <c r="Q81" s="1278"/>
    </row>
    <row r="82" spans="1:17" ht="105.75" customHeight="1" x14ac:dyDescent="0.3">
      <c r="A82" s="404"/>
      <c r="B82" s="1279" t="s">
        <v>1780</v>
      </c>
      <c r="C82" s="1280"/>
      <c r="D82" s="1280"/>
      <c r="E82" s="1280"/>
      <c r="F82" s="1280"/>
      <c r="G82" s="1280"/>
      <c r="H82" s="1280"/>
      <c r="I82" s="1280"/>
      <c r="J82" s="1280"/>
      <c r="K82" s="1280"/>
      <c r="L82" s="1280"/>
      <c r="M82" s="1280"/>
      <c r="N82" s="1280"/>
      <c r="O82" s="1280"/>
      <c r="P82" s="1280"/>
      <c r="Q82" s="1281"/>
    </row>
    <row r="83" spans="1:17" ht="14.5" x14ac:dyDescent="0.3">
      <c r="A83" s="404"/>
      <c r="B83" s="1279" t="s">
        <v>1782</v>
      </c>
      <c r="C83" s="1280"/>
      <c r="D83" s="1280"/>
      <c r="E83" s="1280"/>
      <c r="F83" s="1280"/>
      <c r="G83" s="1280"/>
      <c r="H83" s="1280"/>
      <c r="I83" s="1280"/>
      <c r="J83" s="1280"/>
      <c r="K83" s="1280"/>
      <c r="L83" s="1280"/>
      <c r="M83" s="1280"/>
      <c r="N83" s="1280"/>
      <c r="O83" s="1280"/>
      <c r="P83" s="1280"/>
      <c r="Q83" s="1281"/>
    </row>
    <row r="84" spans="1:17" ht="42" customHeight="1" x14ac:dyDescent="0.3">
      <c r="A84" s="404"/>
      <c r="B84" s="1279" t="s">
        <v>1889</v>
      </c>
      <c r="C84" s="1280"/>
      <c r="D84" s="1280"/>
      <c r="E84" s="1280"/>
      <c r="F84" s="1280"/>
      <c r="G84" s="1280"/>
      <c r="H84" s="1280"/>
      <c r="I84" s="1280"/>
      <c r="J84" s="1280"/>
      <c r="K84" s="1280"/>
      <c r="L84" s="1280"/>
      <c r="M84" s="1280"/>
      <c r="N84" s="1280"/>
      <c r="O84" s="1280"/>
      <c r="P84" s="1280"/>
      <c r="Q84" s="1281"/>
    </row>
    <row r="85" spans="1:17" ht="63" customHeight="1" x14ac:dyDescent="0.3">
      <c r="A85" s="404"/>
      <c r="B85" s="1279" t="s">
        <v>1897</v>
      </c>
      <c r="C85" s="1280"/>
      <c r="D85" s="1280"/>
      <c r="E85" s="1280"/>
      <c r="F85" s="1280"/>
      <c r="G85" s="1280"/>
      <c r="H85" s="1280"/>
      <c r="I85" s="1280"/>
      <c r="J85" s="1280"/>
      <c r="K85" s="1280"/>
      <c r="L85" s="1280"/>
      <c r="M85" s="1280"/>
      <c r="N85" s="1280"/>
      <c r="O85" s="1280"/>
      <c r="P85" s="1280"/>
      <c r="Q85" s="1281"/>
    </row>
    <row r="86" spans="1:17" ht="57.75" customHeight="1" x14ac:dyDescent="0.3">
      <c r="A86" s="404"/>
      <c r="B86" s="1279" t="s">
        <v>1921</v>
      </c>
      <c r="C86" s="1280"/>
      <c r="D86" s="1280"/>
      <c r="E86" s="1280"/>
      <c r="F86" s="1280"/>
      <c r="G86" s="1280"/>
      <c r="H86" s="1280"/>
      <c r="I86" s="1280"/>
      <c r="J86" s="1280"/>
      <c r="K86" s="1280"/>
      <c r="L86" s="1280"/>
      <c r="M86" s="1280"/>
      <c r="N86" s="1280"/>
      <c r="O86" s="1280"/>
      <c r="P86" s="1280"/>
      <c r="Q86" s="1281"/>
    </row>
    <row r="87" spans="1:17" ht="14.5" x14ac:dyDescent="0.3">
      <c r="A87" s="404"/>
      <c r="B87" s="1279" t="s">
        <v>1935</v>
      </c>
      <c r="C87" s="1280"/>
      <c r="D87" s="1280"/>
      <c r="E87" s="1280"/>
      <c r="F87" s="1280"/>
      <c r="G87" s="1280"/>
      <c r="H87" s="1280"/>
      <c r="I87" s="1280"/>
      <c r="J87" s="1280"/>
      <c r="K87" s="1280"/>
      <c r="L87" s="1280"/>
      <c r="M87" s="1280"/>
      <c r="N87" s="1280"/>
      <c r="O87" s="1280"/>
      <c r="P87" s="1280"/>
      <c r="Q87" s="1281"/>
    </row>
    <row r="88" spans="1:17" ht="12.75" customHeight="1" x14ac:dyDescent="0.3">
      <c r="A88" s="404"/>
      <c r="B88" s="1279" t="s">
        <v>1936</v>
      </c>
      <c r="C88" s="1280"/>
      <c r="D88" s="1280"/>
      <c r="E88" s="1280"/>
      <c r="F88" s="1280"/>
      <c r="G88" s="1280"/>
      <c r="H88" s="1280"/>
      <c r="I88" s="1280"/>
      <c r="J88" s="1280"/>
      <c r="K88" s="1280"/>
      <c r="L88" s="1280"/>
      <c r="M88" s="1280"/>
      <c r="N88" s="1280"/>
      <c r="O88" s="1280"/>
      <c r="P88" s="1280"/>
      <c r="Q88" s="1281"/>
    </row>
    <row r="89" spans="1:17" ht="12.75" customHeight="1" x14ac:dyDescent="0.3">
      <c r="A89" s="404"/>
      <c r="B89" s="1279" t="s">
        <v>1945</v>
      </c>
      <c r="C89" s="1280"/>
      <c r="D89" s="1280"/>
      <c r="E89" s="1280"/>
      <c r="F89" s="1280"/>
      <c r="G89" s="1280"/>
      <c r="H89" s="1280"/>
      <c r="I89" s="1280"/>
      <c r="J89" s="1280"/>
      <c r="K89" s="1280"/>
      <c r="L89" s="1280"/>
      <c r="M89" s="1280"/>
      <c r="N89" s="1280"/>
      <c r="O89" s="1280"/>
      <c r="P89" s="1280"/>
      <c r="Q89" s="1281"/>
    </row>
    <row r="90" spans="1:17" ht="46.5" customHeight="1" x14ac:dyDescent="0.3">
      <c r="A90" s="404"/>
      <c r="B90" s="1279" t="s">
        <v>1965</v>
      </c>
      <c r="C90" s="1300"/>
      <c r="D90" s="1300"/>
      <c r="E90" s="1300"/>
      <c r="F90" s="1300"/>
      <c r="G90" s="1300"/>
      <c r="H90" s="1300"/>
      <c r="I90" s="1300"/>
      <c r="J90" s="1300"/>
      <c r="K90" s="1300"/>
      <c r="L90" s="1300"/>
      <c r="M90" s="1300"/>
      <c r="N90" s="1300"/>
      <c r="O90" s="1300"/>
      <c r="P90" s="1300"/>
      <c r="Q90" s="1301"/>
    </row>
    <row r="91" spans="1:17" ht="14.5" x14ac:dyDescent="0.3">
      <c r="A91" s="404"/>
      <c r="B91" s="1299" t="s">
        <v>1966</v>
      </c>
      <c r="C91" s="1277"/>
      <c r="D91" s="1277"/>
      <c r="E91" s="1277"/>
      <c r="F91" s="1277"/>
      <c r="G91" s="1277"/>
      <c r="H91" s="1277"/>
      <c r="I91" s="1277"/>
      <c r="J91" s="1277"/>
      <c r="K91" s="1277"/>
      <c r="L91" s="1277"/>
      <c r="M91" s="1277"/>
      <c r="N91" s="1277"/>
      <c r="O91" s="1277"/>
      <c r="P91" s="1277"/>
      <c r="Q91" s="1278"/>
    </row>
    <row r="92" spans="1:17" ht="30" customHeight="1" x14ac:dyDescent="0.3">
      <c r="A92" s="404"/>
      <c r="B92" s="1279" t="s">
        <v>1967</v>
      </c>
      <c r="C92" s="1280"/>
      <c r="D92" s="1280"/>
      <c r="E92" s="1280"/>
      <c r="F92" s="1280"/>
      <c r="G92" s="1280"/>
      <c r="H92" s="1280"/>
      <c r="I92" s="1280"/>
      <c r="J92" s="1280"/>
      <c r="K92" s="1280"/>
      <c r="L92" s="1280"/>
      <c r="M92" s="1280"/>
      <c r="N92" s="1280"/>
      <c r="O92" s="1280"/>
      <c r="P92" s="1280"/>
      <c r="Q92" s="1281"/>
    </row>
    <row r="93" spans="1:17" ht="14.5" x14ac:dyDescent="0.3">
      <c r="A93" s="404"/>
      <c r="B93" s="1279" t="s">
        <v>1968</v>
      </c>
      <c r="C93" s="1280"/>
      <c r="D93" s="1280"/>
      <c r="E93" s="1280"/>
      <c r="F93" s="1280"/>
      <c r="G93" s="1280"/>
      <c r="H93" s="1280"/>
      <c r="I93" s="1280"/>
      <c r="J93" s="1280"/>
      <c r="K93" s="1280"/>
      <c r="L93" s="1280"/>
      <c r="M93" s="1280"/>
      <c r="N93" s="1280"/>
      <c r="O93" s="1280"/>
      <c r="P93" s="1280"/>
      <c r="Q93" s="1281"/>
    </row>
    <row r="94" spans="1:17" ht="14.5" x14ac:dyDescent="0.3">
      <c r="A94" s="404"/>
      <c r="B94" s="1279" t="s">
        <v>1969</v>
      </c>
      <c r="C94" s="1280"/>
      <c r="D94" s="1280"/>
      <c r="E94" s="1280"/>
      <c r="F94" s="1280"/>
      <c r="G94" s="1280"/>
      <c r="H94" s="1280"/>
      <c r="I94" s="1280"/>
      <c r="J94" s="1280"/>
      <c r="K94" s="1280"/>
      <c r="L94" s="1280"/>
      <c r="M94" s="1280"/>
      <c r="N94" s="1280"/>
      <c r="O94" s="1280"/>
      <c r="P94" s="1280"/>
      <c r="Q94" s="1281"/>
    </row>
    <row r="95" spans="1:17" ht="14.5" x14ac:dyDescent="0.3">
      <c r="A95" s="404"/>
      <c r="B95" s="1279" t="s">
        <v>1974</v>
      </c>
      <c r="C95" s="1280"/>
      <c r="D95" s="1280"/>
      <c r="E95" s="1280"/>
      <c r="F95" s="1280"/>
      <c r="G95" s="1280"/>
      <c r="H95" s="1280"/>
      <c r="I95" s="1280"/>
      <c r="J95" s="1280"/>
      <c r="K95" s="1280"/>
      <c r="L95" s="1280"/>
      <c r="M95" s="1280"/>
      <c r="N95" s="1280"/>
      <c r="O95" s="1280"/>
      <c r="P95" s="1280"/>
      <c r="Q95" s="1281"/>
    </row>
    <row r="96" spans="1:17" ht="14.5" x14ac:dyDescent="0.3">
      <c r="A96" s="404"/>
      <c r="B96" s="1279" t="s">
        <v>1976</v>
      </c>
      <c r="C96" s="1280"/>
      <c r="D96" s="1280"/>
      <c r="E96" s="1280"/>
      <c r="F96" s="1280"/>
      <c r="G96" s="1280"/>
      <c r="H96" s="1280"/>
      <c r="I96" s="1280"/>
      <c r="J96" s="1280"/>
      <c r="K96" s="1280"/>
      <c r="L96" s="1280"/>
      <c r="M96" s="1280"/>
      <c r="N96" s="1280"/>
      <c r="O96" s="1280"/>
      <c r="P96" s="1280"/>
      <c r="Q96" s="1281"/>
    </row>
    <row r="97" spans="1:17" ht="15.75" customHeight="1" x14ac:dyDescent="0.3">
      <c r="A97" s="404"/>
      <c r="B97" s="1250" t="s">
        <v>1987</v>
      </c>
      <c r="C97" s="1073"/>
      <c r="D97" s="1073"/>
      <c r="E97" s="1073"/>
      <c r="F97" s="1073"/>
      <c r="G97" s="1073"/>
      <c r="H97" s="1073"/>
      <c r="I97" s="1073"/>
      <c r="J97" s="1073"/>
      <c r="K97" s="1073"/>
      <c r="L97" s="1073"/>
      <c r="M97" s="1073"/>
      <c r="N97" s="1073"/>
      <c r="O97" s="1073"/>
      <c r="P97" s="1073"/>
      <c r="Q97" s="1251"/>
    </row>
    <row r="98" spans="1:17" ht="14.5" x14ac:dyDescent="0.3">
      <c r="A98" s="404"/>
      <c r="B98" s="1279" t="s">
        <v>2095</v>
      </c>
      <c r="C98" s="1280"/>
      <c r="D98" s="1280"/>
      <c r="E98" s="1280"/>
      <c r="F98" s="1280"/>
      <c r="G98" s="1280"/>
      <c r="H98" s="1280"/>
      <c r="I98" s="1280"/>
      <c r="J98" s="1280"/>
      <c r="K98" s="1280"/>
      <c r="L98" s="1280"/>
      <c r="M98" s="1280"/>
      <c r="N98" s="1280"/>
      <c r="O98" s="1280"/>
      <c r="P98" s="1280"/>
      <c r="Q98" s="1281"/>
    </row>
    <row r="99" spans="1:17" ht="14.5" x14ac:dyDescent="0.3">
      <c r="A99" s="404"/>
      <c r="B99" s="1280" t="s">
        <v>2096</v>
      </c>
      <c r="C99" s="1280"/>
      <c r="D99" s="1280"/>
      <c r="E99" s="1280"/>
      <c r="F99" s="1280"/>
      <c r="G99" s="1280"/>
      <c r="H99" s="1280"/>
      <c r="I99" s="1280"/>
      <c r="J99" s="1280"/>
      <c r="K99" s="1280"/>
      <c r="L99" s="1280"/>
      <c r="M99" s="1280"/>
      <c r="N99" s="1280"/>
      <c r="O99" s="1280"/>
      <c r="P99" s="1280"/>
      <c r="Q99" s="1281"/>
    </row>
    <row r="100" spans="1:17" ht="14.15" customHeight="1" x14ac:dyDescent="0.3">
      <c r="A100" s="404"/>
      <c r="B100" s="1279" t="s">
        <v>2153</v>
      </c>
      <c r="C100" s="1305"/>
      <c r="D100" s="1305"/>
      <c r="E100" s="1305"/>
      <c r="F100" s="1305"/>
      <c r="G100" s="1305"/>
      <c r="H100" s="1305"/>
      <c r="I100" s="1305"/>
      <c r="J100" s="1305"/>
      <c r="K100" s="1305"/>
      <c r="L100" s="1305"/>
      <c r="M100" s="1305"/>
      <c r="N100" s="1305"/>
      <c r="O100" s="1305"/>
      <c r="P100" s="1305"/>
      <c r="Q100" s="1281"/>
    </row>
    <row r="101" spans="1:17" ht="14.5" x14ac:dyDescent="0.3">
      <c r="A101" s="404"/>
      <c r="B101" s="1277" t="s">
        <v>2177</v>
      </c>
      <c r="C101" s="1277"/>
      <c r="D101" s="1277"/>
      <c r="E101" s="1277"/>
      <c r="F101" s="1277"/>
      <c r="G101" s="1277"/>
      <c r="H101" s="1277"/>
      <c r="I101" s="1277"/>
      <c r="J101" s="1277"/>
      <c r="K101" s="1277"/>
      <c r="L101" s="1277"/>
      <c r="M101" s="1277"/>
      <c r="N101" s="1277"/>
      <c r="O101" s="1277"/>
      <c r="P101" s="1277"/>
      <c r="Q101" s="1278"/>
    </row>
    <row r="102" spans="1:17" ht="34.5" customHeight="1" x14ac:dyDescent="0.3">
      <c r="A102" s="404"/>
      <c r="B102" s="1073" t="s">
        <v>2191</v>
      </c>
      <c r="C102" s="1073"/>
      <c r="D102" s="1073"/>
      <c r="E102" s="1073"/>
      <c r="F102" s="1073"/>
      <c r="G102" s="1073"/>
      <c r="H102" s="1073"/>
      <c r="I102" s="1073"/>
      <c r="J102" s="1073"/>
      <c r="K102" s="1073"/>
      <c r="L102" s="1073"/>
      <c r="M102" s="1073"/>
      <c r="N102" s="1073"/>
      <c r="O102" s="1073"/>
      <c r="P102" s="1073"/>
      <c r="Q102" s="1251"/>
    </row>
    <row r="103" spans="1:17" ht="14.5" x14ac:dyDescent="0.3">
      <c r="A103" s="404"/>
      <c r="B103" s="1277"/>
      <c r="C103" s="1277"/>
      <c r="D103" s="1277"/>
      <c r="E103" s="1277"/>
      <c r="F103" s="1277"/>
      <c r="G103" s="1277"/>
      <c r="H103" s="1277"/>
      <c r="I103" s="1277"/>
      <c r="J103" s="1277"/>
      <c r="K103" s="1277"/>
      <c r="L103" s="1277"/>
      <c r="M103" s="1277"/>
      <c r="N103" s="1277"/>
      <c r="O103" s="1277"/>
      <c r="P103" s="1277"/>
      <c r="Q103" s="1278"/>
    </row>
    <row r="104" spans="1:17" ht="15" customHeight="1" x14ac:dyDescent="0.3">
      <c r="A104" s="404"/>
      <c r="B104" s="1277"/>
      <c r="C104" s="1277"/>
      <c r="D104" s="1277"/>
      <c r="E104" s="1277"/>
      <c r="F104" s="1277"/>
      <c r="G104" s="1277"/>
      <c r="H104" s="1277"/>
      <c r="I104" s="1277"/>
      <c r="J104" s="1277"/>
      <c r="K104" s="1277"/>
      <c r="L104" s="1277"/>
      <c r="M104" s="1277"/>
      <c r="N104" s="1277"/>
      <c r="O104" s="1277"/>
      <c r="P104" s="1277"/>
      <c r="Q104" s="1278"/>
    </row>
    <row r="105" spans="1:17" ht="15" customHeight="1" x14ac:dyDescent="0.3">
      <c r="A105" s="404"/>
      <c r="B105" s="21"/>
      <c r="C105" s="21"/>
      <c r="D105" s="21"/>
      <c r="E105" s="21"/>
      <c r="F105" s="21"/>
      <c r="G105" s="21"/>
      <c r="H105" s="21"/>
      <c r="I105" s="21"/>
      <c r="J105" s="21"/>
      <c r="K105" s="21"/>
      <c r="L105" s="21"/>
      <c r="M105" s="21"/>
      <c r="N105" s="21"/>
      <c r="O105" s="21"/>
      <c r="P105" s="21"/>
      <c r="Q105" s="26"/>
    </row>
    <row r="106" spans="1:17" ht="14.5" x14ac:dyDescent="0.3">
      <c r="A106" s="404"/>
      <c r="B106" s="21"/>
      <c r="C106" s="21"/>
      <c r="D106" s="21"/>
      <c r="E106" s="21"/>
      <c r="F106" s="21"/>
      <c r="G106" s="21"/>
      <c r="H106" s="21"/>
      <c r="I106" s="21"/>
      <c r="J106" s="21"/>
      <c r="K106" s="21"/>
      <c r="L106" s="21"/>
      <c r="M106" s="21"/>
      <c r="N106" s="21"/>
      <c r="O106" s="21"/>
      <c r="P106" s="21"/>
      <c r="Q106" s="26"/>
    </row>
    <row r="107" spans="1:17" ht="14.5" x14ac:dyDescent="0.3">
      <c r="A107" s="404"/>
      <c r="B107" s="21"/>
      <c r="C107" s="21"/>
      <c r="D107" s="21"/>
      <c r="E107" s="21"/>
      <c r="F107" s="21"/>
      <c r="G107" s="21"/>
      <c r="H107" s="21"/>
      <c r="I107" s="21"/>
      <c r="J107" s="21"/>
      <c r="K107" s="21"/>
      <c r="L107" s="21"/>
      <c r="M107" s="21"/>
      <c r="N107" s="21"/>
      <c r="O107" s="21"/>
      <c r="P107" s="21"/>
      <c r="Q107" s="26"/>
    </row>
    <row r="108" spans="1:17" ht="14.5" x14ac:dyDescent="0.3">
      <c r="A108" s="404"/>
      <c r="B108" s="21"/>
      <c r="C108" s="21"/>
      <c r="D108" s="21"/>
      <c r="E108" s="21"/>
      <c r="F108" s="21"/>
      <c r="G108" s="21"/>
      <c r="H108" s="21"/>
      <c r="I108" s="21"/>
      <c r="J108" s="21"/>
      <c r="K108" s="21"/>
      <c r="L108" s="21"/>
      <c r="M108" s="21"/>
      <c r="N108" s="21"/>
      <c r="O108" s="21"/>
      <c r="P108" s="21"/>
      <c r="Q108" s="26"/>
    </row>
    <row r="109" spans="1:17" ht="14.5" x14ac:dyDescent="0.3">
      <c r="A109" s="404"/>
      <c r="B109" s="21"/>
      <c r="C109" s="21"/>
      <c r="D109" s="21"/>
      <c r="E109" s="21"/>
      <c r="F109" s="21"/>
      <c r="G109" s="21"/>
      <c r="H109" s="21"/>
      <c r="I109" s="21"/>
      <c r="J109" s="21"/>
      <c r="K109" s="21"/>
      <c r="L109" s="21"/>
      <c r="M109" s="21"/>
      <c r="N109" s="21"/>
      <c r="O109" s="21"/>
      <c r="P109" s="21"/>
      <c r="Q109" s="26"/>
    </row>
    <row r="110" spans="1:17" ht="15" customHeight="1" x14ac:dyDescent="0.3">
      <c r="A110" s="404"/>
      <c r="B110" s="25"/>
      <c r="C110" s="21"/>
      <c r="D110" s="21"/>
      <c r="E110" s="21"/>
      <c r="F110" s="21"/>
      <c r="G110" s="21"/>
      <c r="H110" s="21"/>
      <c r="I110" s="21"/>
      <c r="J110" s="21"/>
      <c r="K110" s="21"/>
      <c r="L110" s="21"/>
      <c r="M110" s="21"/>
      <c r="N110" s="21"/>
      <c r="O110" s="21"/>
      <c r="P110" s="21"/>
      <c r="Q110" s="26"/>
    </row>
    <row r="111" spans="1:17" ht="15" customHeight="1" x14ac:dyDescent="0.3">
      <c r="A111" s="404"/>
      <c r="B111" s="1279"/>
      <c r="C111" s="1280"/>
      <c r="D111" s="1280"/>
      <c r="E111" s="1280"/>
      <c r="F111" s="1280"/>
      <c r="G111" s="1280"/>
      <c r="H111" s="1280"/>
      <c r="I111" s="1280"/>
      <c r="J111" s="1280"/>
      <c r="K111" s="1280"/>
      <c r="L111" s="1280"/>
      <c r="M111" s="1280"/>
      <c r="N111" s="1280"/>
      <c r="O111" s="1280"/>
      <c r="P111" s="1280"/>
      <c r="Q111" s="1281"/>
    </row>
    <row r="112" spans="1:17" x14ac:dyDescent="0.3">
      <c r="A112" s="404"/>
      <c r="B112" s="1279"/>
      <c r="C112" s="1280"/>
      <c r="D112" s="1280"/>
      <c r="E112" s="1280"/>
      <c r="F112" s="1280"/>
      <c r="G112" s="1280"/>
      <c r="H112" s="1280"/>
      <c r="I112" s="1280"/>
      <c r="J112" s="1280"/>
      <c r="K112" s="1280"/>
      <c r="L112" s="1280"/>
      <c r="M112" s="1280"/>
      <c r="N112" s="1280"/>
      <c r="O112" s="1280"/>
      <c r="P112" s="1280"/>
      <c r="Q112" s="1281"/>
    </row>
    <row r="113" spans="1:17" ht="14.5" x14ac:dyDescent="0.3">
      <c r="A113" s="404"/>
      <c r="B113" s="25"/>
      <c r="C113" s="405"/>
      <c r="D113" s="405"/>
      <c r="E113" s="405"/>
      <c r="F113" s="405"/>
      <c r="G113" s="405"/>
      <c r="H113" s="405"/>
      <c r="I113" s="405"/>
      <c r="J113" s="405"/>
      <c r="K113" s="405"/>
      <c r="L113" s="405"/>
      <c r="M113" s="405"/>
      <c r="N113" s="405"/>
      <c r="O113" s="405"/>
      <c r="P113" s="405"/>
      <c r="Q113" s="406"/>
    </row>
    <row r="114" spans="1:17" ht="15.75" customHeight="1" x14ac:dyDescent="0.3">
      <c r="A114" s="404"/>
      <c r="B114" s="25"/>
      <c r="C114" s="21"/>
      <c r="D114" s="21"/>
      <c r="E114" s="21"/>
      <c r="F114" s="21"/>
      <c r="G114" s="21"/>
      <c r="H114" s="21"/>
      <c r="I114" s="21"/>
      <c r="J114" s="21"/>
      <c r="K114" s="21"/>
      <c r="L114" s="21"/>
      <c r="M114" s="21"/>
      <c r="N114" s="21"/>
      <c r="O114" s="21"/>
      <c r="P114" s="21"/>
      <c r="Q114" s="26"/>
    </row>
    <row r="115" spans="1:17" ht="14.5" x14ac:dyDescent="0.3">
      <c r="A115" s="404"/>
      <c r="B115" s="21"/>
      <c r="C115" s="21"/>
      <c r="D115" s="21"/>
      <c r="E115" s="21"/>
      <c r="F115" s="21"/>
      <c r="G115" s="21"/>
      <c r="H115" s="21"/>
      <c r="I115" s="21"/>
      <c r="J115" s="21"/>
      <c r="K115" s="21"/>
      <c r="L115" s="21"/>
      <c r="M115" s="21"/>
      <c r="N115" s="21"/>
      <c r="O115" s="21"/>
      <c r="P115" s="21"/>
      <c r="Q115" s="26"/>
    </row>
    <row r="116" spans="1:17" ht="14.25" customHeight="1" x14ac:dyDescent="0.3">
      <c r="A116" s="404"/>
      <c r="B116" s="21"/>
      <c r="C116" s="21"/>
      <c r="D116" s="21"/>
      <c r="E116" s="21"/>
      <c r="F116" s="21"/>
      <c r="G116" s="21"/>
      <c r="H116" s="21"/>
      <c r="I116" s="21"/>
      <c r="J116" s="21"/>
      <c r="K116" s="21"/>
      <c r="L116" s="21"/>
      <c r="M116" s="21"/>
      <c r="N116" s="21"/>
      <c r="O116" s="21"/>
      <c r="P116" s="21"/>
      <c r="Q116" s="26"/>
    </row>
    <row r="117" spans="1:17" ht="12.75" customHeight="1" x14ac:dyDescent="0.3">
      <c r="A117" s="404"/>
      <c r="B117" s="1279"/>
      <c r="C117" s="1280"/>
      <c r="D117" s="1280"/>
      <c r="E117" s="1280"/>
      <c r="F117" s="1280"/>
      <c r="G117" s="1280"/>
      <c r="H117" s="1280"/>
      <c r="I117" s="1280"/>
      <c r="J117" s="1280"/>
      <c r="K117" s="1280"/>
      <c r="L117" s="1280"/>
      <c r="M117" s="1280"/>
      <c r="N117" s="1280"/>
      <c r="O117" s="1280"/>
      <c r="P117" s="1280"/>
      <c r="Q117" s="1281"/>
    </row>
    <row r="118" spans="1:17" x14ac:dyDescent="0.3">
      <c r="A118" s="404"/>
      <c r="B118" s="1279"/>
      <c r="C118" s="1280"/>
      <c r="D118" s="1280"/>
      <c r="E118" s="1280"/>
      <c r="F118" s="1280"/>
      <c r="G118" s="1280"/>
      <c r="H118" s="1280"/>
      <c r="I118" s="1280"/>
      <c r="J118" s="1280"/>
      <c r="K118" s="1280"/>
      <c r="L118" s="1280"/>
      <c r="M118" s="1280"/>
      <c r="N118" s="1280"/>
      <c r="O118" s="1280"/>
      <c r="P118" s="1280"/>
      <c r="Q118" s="1281"/>
    </row>
    <row r="119" spans="1:17" ht="14.5" x14ac:dyDescent="0.3">
      <c r="A119" s="404"/>
      <c r="B119" s="21"/>
      <c r="C119" s="21"/>
      <c r="D119" s="21"/>
      <c r="E119" s="21"/>
      <c r="F119" s="21"/>
      <c r="G119" s="21"/>
      <c r="H119" s="21"/>
      <c r="I119" s="21"/>
      <c r="J119" s="21"/>
      <c r="K119" s="21"/>
      <c r="L119" s="21"/>
      <c r="M119" s="21"/>
      <c r="N119" s="21"/>
      <c r="O119" s="21"/>
      <c r="P119" s="21"/>
      <c r="Q119" s="26"/>
    </row>
    <row r="120" spans="1:17" ht="14.5" x14ac:dyDescent="0.3">
      <c r="A120" s="404"/>
      <c r="B120" s="1279"/>
      <c r="C120" s="1280"/>
      <c r="D120" s="1280"/>
      <c r="E120" s="1280"/>
      <c r="F120" s="1280"/>
      <c r="G120" s="1280"/>
      <c r="H120" s="1280"/>
      <c r="I120" s="1280"/>
      <c r="J120" s="1280"/>
      <c r="K120" s="1280"/>
      <c r="L120" s="1280"/>
      <c r="M120" s="1280"/>
      <c r="N120" s="1280"/>
      <c r="O120" s="1280"/>
      <c r="P120" s="1280"/>
      <c r="Q120" s="1281"/>
    </row>
    <row r="121" spans="1:17" ht="15" customHeight="1" x14ac:dyDescent="0.3">
      <c r="A121" s="404"/>
      <c r="B121" s="1280"/>
      <c r="C121" s="1280"/>
      <c r="D121" s="1280"/>
      <c r="E121" s="1280"/>
      <c r="F121" s="1280"/>
      <c r="G121" s="1280"/>
      <c r="H121" s="1280"/>
      <c r="I121" s="1280"/>
      <c r="J121" s="1280"/>
      <c r="K121" s="1280"/>
      <c r="L121" s="1280"/>
      <c r="M121" s="1280"/>
      <c r="N121" s="1280"/>
      <c r="O121" s="1280"/>
      <c r="P121" s="1280"/>
      <c r="Q121" s="1281"/>
    </row>
    <row r="122" spans="1:17" ht="15" customHeight="1" x14ac:dyDescent="0.3">
      <c r="A122" s="404"/>
      <c r="B122" s="21"/>
      <c r="C122" s="21"/>
      <c r="D122" s="21"/>
      <c r="E122" s="21"/>
      <c r="F122" s="21"/>
      <c r="G122" s="21"/>
      <c r="H122" s="21"/>
      <c r="I122" s="21"/>
      <c r="J122" s="21"/>
      <c r="K122" s="21"/>
      <c r="L122" s="21"/>
      <c r="M122" s="21"/>
      <c r="N122" s="21"/>
      <c r="O122" s="21"/>
      <c r="P122" s="21"/>
      <c r="Q122" s="26"/>
    </row>
    <row r="123" spans="1:17" ht="26.25" customHeight="1" x14ac:dyDescent="0.3">
      <c r="A123" s="404"/>
      <c r="B123" s="1299"/>
      <c r="C123" s="1277"/>
      <c r="D123" s="1277"/>
      <c r="E123" s="1277"/>
      <c r="F123" s="1277"/>
      <c r="G123" s="1277"/>
      <c r="H123" s="1277"/>
      <c r="I123" s="1277"/>
      <c r="J123" s="1277"/>
      <c r="K123" s="1277"/>
      <c r="L123" s="1277"/>
      <c r="M123" s="1277"/>
      <c r="N123" s="1277"/>
      <c r="O123" s="1277"/>
      <c r="P123" s="1277"/>
      <c r="Q123" s="1278"/>
    </row>
    <row r="124" spans="1:17" ht="12.75" customHeight="1" x14ac:dyDescent="0.3">
      <c r="A124" s="404"/>
      <c r="B124" s="1279"/>
      <c r="C124" s="1280"/>
      <c r="D124" s="1280"/>
      <c r="E124" s="1280"/>
      <c r="F124" s="1280"/>
      <c r="G124" s="1280"/>
      <c r="H124" s="1280"/>
      <c r="I124" s="1280"/>
      <c r="J124" s="1280"/>
      <c r="K124" s="1280"/>
      <c r="L124" s="1280"/>
      <c r="M124" s="1280"/>
      <c r="N124" s="1280"/>
      <c r="O124" s="1280"/>
      <c r="P124" s="1280"/>
      <c r="Q124" s="1281"/>
    </row>
    <row r="125" spans="1:17" ht="17.25" customHeight="1" x14ac:dyDescent="0.3">
      <c r="A125" s="404"/>
      <c r="B125" s="21"/>
      <c r="C125" s="21"/>
      <c r="D125" s="21"/>
      <c r="E125" s="21"/>
      <c r="F125" s="21"/>
      <c r="G125" s="21"/>
      <c r="H125" s="21"/>
      <c r="I125" s="21"/>
      <c r="J125" s="21"/>
      <c r="K125" s="21"/>
      <c r="L125" s="21"/>
      <c r="M125" s="21"/>
      <c r="N125" s="21"/>
      <c r="O125" s="21"/>
      <c r="P125" s="21"/>
      <c r="Q125" s="26"/>
    </row>
    <row r="126" spans="1:17" ht="14.5" x14ac:dyDescent="0.3">
      <c r="A126" s="404"/>
      <c r="B126" s="21"/>
      <c r="C126" s="21"/>
      <c r="D126" s="21"/>
      <c r="E126" s="21"/>
      <c r="F126" s="21"/>
      <c r="G126" s="21"/>
      <c r="H126" s="21"/>
      <c r="I126" s="21"/>
      <c r="J126" s="21"/>
      <c r="K126" s="21"/>
      <c r="L126" s="21"/>
      <c r="M126" s="21"/>
      <c r="N126" s="21"/>
      <c r="O126" s="21"/>
      <c r="P126" s="21"/>
      <c r="Q126" s="26"/>
    </row>
    <row r="127" spans="1:17" ht="14.5" x14ac:dyDescent="0.3">
      <c r="A127" s="404"/>
      <c r="B127" s="21"/>
      <c r="C127" s="21"/>
      <c r="D127" s="21"/>
      <c r="E127" s="21"/>
      <c r="F127" s="21"/>
      <c r="G127" s="21"/>
      <c r="H127" s="21"/>
      <c r="I127" s="21"/>
      <c r="J127" s="21"/>
      <c r="K127" s="21"/>
      <c r="L127" s="21"/>
      <c r="M127" s="21"/>
      <c r="N127" s="21"/>
      <c r="O127" s="21"/>
      <c r="P127" s="21"/>
      <c r="Q127" s="26"/>
    </row>
    <row r="128" spans="1:17" ht="26.25" customHeight="1" x14ac:dyDescent="0.3">
      <c r="A128" s="404"/>
      <c r="B128" s="1279"/>
      <c r="C128" s="1280"/>
      <c r="D128" s="1280"/>
      <c r="E128" s="1280"/>
      <c r="F128" s="1280"/>
      <c r="G128" s="1280"/>
      <c r="H128" s="1280"/>
      <c r="I128" s="1280"/>
      <c r="J128" s="1280"/>
      <c r="K128" s="1280"/>
      <c r="L128" s="1280"/>
      <c r="M128" s="1280"/>
      <c r="N128" s="1280"/>
      <c r="O128" s="1280"/>
      <c r="P128" s="1280"/>
      <c r="Q128" s="1281"/>
    </row>
    <row r="129" spans="1:17" ht="31.5" customHeight="1" x14ac:dyDescent="0.3">
      <c r="A129" s="404"/>
      <c r="B129" s="1279"/>
      <c r="C129" s="1280"/>
      <c r="D129" s="1280"/>
      <c r="E129" s="1280"/>
      <c r="F129" s="1280"/>
      <c r="G129" s="1280"/>
      <c r="H129" s="1280"/>
      <c r="I129" s="1280"/>
      <c r="J129" s="1280"/>
      <c r="K129" s="1280"/>
      <c r="L129" s="1280"/>
      <c r="M129" s="1280"/>
      <c r="N129" s="1280"/>
      <c r="O129" s="1280"/>
      <c r="P129" s="1280"/>
      <c r="Q129" s="1281"/>
    </row>
    <row r="130" spans="1:17" ht="30.75" customHeight="1" x14ac:dyDescent="0.3">
      <c r="A130" s="404"/>
      <c r="B130" s="1279"/>
      <c r="C130" s="1280"/>
      <c r="D130" s="1280"/>
      <c r="E130" s="1280"/>
      <c r="F130" s="1280"/>
      <c r="G130" s="1280"/>
      <c r="H130" s="1280"/>
      <c r="I130" s="1280"/>
      <c r="J130" s="1280"/>
      <c r="K130" s="1280"/>
      <c r="L130" s="1280"/>
      <c r="M130" s="1280"/>
      <c r="N130" s="1280"/>
      <c r="O130" s="1280"/>
      <c r="P130" s="1280"/>
      <c r="Q130" s="1281"/>
    </row>
    <row r="131" spans="1:17" ht="14.5" x14ac:dyDescent="0.3">
      <c r="A131" s="404"/>
      <c r="B131" s="25"/>
      <c r="C131" s="21"/>
      <c r="D131" s="21"/>
      <c r="E131" s="21"/>
      <c r="F131" s="21"/>
      <c r="G131" s="21"/>
      <c r="H131" s="21"/>
      <c r="I131" s="21"/>
      <c r="J131" s="21"/>
      <c r="K131" s="21"/>
      <c r="L131" s="21"/>
      <c r="M131" s="21"/>
      <c r="N131" s="21"/>
      <c r="O131" s="21"/>
      <c r="P131" s="21"/>
      <c r="Q131" s="26"/>
    </row>
    <row r="132" spans="1:17" ht="28.5" customHeight="1" x14ac:dyDescent="0.3">
      <c r="A132" s="404"/>
      <c r="B132" s="25"/>
      <c r="C132" s="21"/>
      <c r="D132" s="21"/>
      <c r="E132" s="21"/>
      <c r="F132" s="21"/>
      <c r="G132" s="21"/>
      <c r="H132" s="21"/>
      <c r="I132" s="21"/>
      <c r="J132" s="21"/>
      <c r="K132" s="21"/>
      <c r="L132" s="21"/>
      <c r="M132" s="21"/>
      <c r="N132" s="21"/>
      <c r="O132" s="21"/>
      <c r="P132" s="21"/>
      <c r="Q132" s="26"/>
    </row>
    <row r="133" spans="1:17" ht="14.5" x14ac:dyDescent="0.3">
      <c r="A133" s="404"/>
      <c r="B133" s="25"/>
      <c r="C133" s="21"/>
      <c r="D133" s="21"/>
      <c r="E133" s="21"/>
      <c r="F133" s="21"/>
      <c r="G133" s="21"/>
      <c r="H133" s="21"/>
      <c r="I133" s="21"/>
      <c r="J133" s="21"/>
      <c r="K133" s="21"/>
      <c r="L133" s="21"/>
      <c r="M133" s="21"/>
      <c r="N133" s="21"/>
      <c r="O133" s="21"/>
      <c r="P133" s="21"/>
      <c r="Q133" s="26"/>
    </row>
    <row r="134" spans="1:17" ht="14.5" x14ac:dyDescent="0.3">
      <c r="A134" s="404"/>
      <c r="B134" s="1280"/>
      <c r="C134" s="1280"/>
      <c r="D134" s="1280"/>
      <c r="E134" s="1280"/>
      <c r="F134" s="1280"/>
      <c r="G134" s="1280"/>
      <c r="H134" s="1280"/>
      <c r="I134" s="1280"/>
      <c r="J134" s="1280"/>
      <c r="K134" s="1280"/>
      <c r="L134" s="1280"/>
      <c r="M134" s="1280"/>
      <c r="N134" s="1280"/>
      <c r="O134" s="1280"/>
      <c r="P134" s="1280"/>
      <c r="Q134" s="1281"/>
    </row>
    <row r="135" spans="1:17" ht="14.5" x14ac:dyDescent="0.3">
      <c r="A135" s="404"/>
      <c r="B135" s="1279"/>
      <c r="C135" s="1280"/>
      <c r="D135" s="1280"/>
      <c r="E135" s="1280"/>
      <c r="F135" s="1280"/>
      <c r="G135" s="1280"/>
      <c r="H135" s="1280"/>
      <c r="I135" s="1280"/>
      <c r="J135" s="1280"/>
      <c r="K135" s="1280"/>
      <c r="L135" s="1280"/>
      <c r="M135" s="1280"/>
      <c r="N135" s="1280"/>
      <c r="O135" s="1280"/>
      <c r="P135" s="1280"/>
      <c r="Q135" s="1281"/>
    </row>
    <row r="136" spans="1:17" ht="14.5" x14ac:dyDescent="0.3">
      <c r="A136" s="404"/>
      <c r="B136" s="1279"/>
      <c r="C136" s="1280"/>
      <c r="D136" s="1280"/>
      <c r="E136" s="1280"/>
      <c r="F136" s="1280"/>
      <c r="G136" s="1280"/>
      <c r="H136" s="1280"/>
      <c r="I136" s="1280"/>
      <c r="J136" s="1280"/>
      <c r="K136" s="1280"/>
      <c r="L136" s="1280"/>
      <c r="M136" s="1280"/>
      <c r="N136" s="1280"/>
      <c r="O136" s="1280"/>
      <c r="P136" s="1280"/>
      <c r="Q136" s="1281"/>
    </row>
    <row r="137" spans="1:17" ht="14.5" x14ac:dyDescent="0.3">
      <c r="A137" s="404"/>
      <c r="B137" s="1280"/>
      <c r="C137" s="1280"/>
      <c r="D137" s="1280"/>
      <c r="E137" s="1280"/>
      <c r="F137" s="1280"/>
      <c r="G137" s="1280"/>
      <c r="H137" s="1280"/>
      <c r="I137" s="1280"/>
      <c r="J137" s="1280"/>
      <c r="K137" s="1280"/>
      <c r="L137" s="1280"/>
      <c r="M137" s="1280"/>
      <c r="N137" s="1280"/>
      <c r="O137" s="1280"/>
      <c r="P137" s="1280"/>
      <c r="Q137" s="1281"/>
    </row>
    <row r="138" spans="1:17" ht="14.5" x14ac:dyDescent="0.3">
      <c r="A138" s="404"/>
      <c r="B138" s="1299"/>
      <c r="C138" s="1277"/>
      <c r="D138" s="1277"/>
      <c r="E138" s="1277"/>
      <c r="F138" s="1277"/>
      <c r="G138" s="1277"/>
      <c r="H138" s="1277"/>
      <c r="I138" s="1277"/>
      <c r="J138" s="1277"/>
      <c r="K138" s="1277"/>
      <c r="L138" s="1277"/>
      <c r="M138" s="1277"/>
      <c r="N138" s="1277"/>
      <c r="O138" s="1277"/>
      <c r="P138" s="1277"/>
      <c r="Q138" s="1278"/>
    </row>
    <row r="139" spans="1:17" ht="14.5" x14ac:dyDescent="0.3">
      <c r="A139" s="404"/>
      <c r="B139" s="1279"/>
      <c r="C139" s="1280"/>
      <c r="D139" s="1280"/>
      <c r="E139" s="1280"/>
      <c r="F139" s="1280"/>
      <c r="G139" s="1280"/>
      <c r="H139" s="1280"/>
      <c r="I139" s="1280"/>
      <c r="J139" s="1280"/>
      <c r="K139" s="1280"/>
      <c r="L139" s="1280"/>
      <c r="M139" s="1280"/>
      <c r="N139" s="1280"/>
      <c r="O139" s="1280"/>
      <c r="P139" s="1280"/>
      <c r="Q139" s="1281"/>
    </row>
    <row r="140" spans="1:17" ht="14.5" x14ac:dyDescent="0.3">
      <c r="A140" s="404"/>
      <c r="B140" s="1302"/>
      <c r="C140" s="1303"/>
      <c r="D140" s="1303"/>
      <c r="E140" s="1303"/>
      <c r="F140" s="1303"/>
      <c r="G140" s="1303"/>
      <c r="H140" s="1303"/>
      <c r="I140" s="1303"/>
      <c r="J140" s="1303"/>
      <c r="K140" s="1303"/>
      <c r="L140" s="1303"/>
      <c r="M140" s="1303"/>
      <c r="N140" s="1303"/>
      <c r="O140" s="1303"/>
      <c r="P140" s="1303"/>
      <c r="Q140" s="1304"/>
    </row>
    <row r="141" spans="1:17" ht="14.5" x14ac:dyDescent="0.3">
      <c r="A141" s="404"/>
      <c r="B141" s="35"/>
      <c r="C141" s="190"/>
      <c r="D141" s="190"/>
      <c r="E141" s="190"/>
      <c r="F141" s="190"/>
      <c r="G141" s="190"/>
      <c r="H141" s="190"/>
      <c r="I141" s="190"/>
      <c r="J141" s="190"/>
      <c r="K141" s="190"/>
      <c r="L141" s="190"/>
      <c r="M141" s="190"/>
      <c r="N141" s="190"/>
      <c r="O141" s="190"/>
      <c r="P141" s="190"/>
      <c r="Q141" s="503"/>
    </row>
    <row r="142" spans="1:17" ht="14.5" x14ac:dyDescent="0.3">
      <c r="A142" s="404"/>
      <c r="B142" s="35"/>
      <c r="C142" s="190"/>
      <c r="D142" s="190"/>
      <c r="E142" s="190"/>
      <c r="F142" s="190"/>
      <c r="G142" s="190"/>
      <c r="H142" s="190"/>
      <c r="I142" s="190"/>
      <c r="J142" s="190"/>
      <c r="K142" s="190"/>
      <c r="L142" s="190"/>
      <c r="M142" s="190"/>
      <c r="N142" s="190"/>
      <c r="O142" s="190"/>
      <c r="P142" s="190"/>
      <c r="Q142" s="503"/>
    </row>
    <row r="143" spans="1:17" ht="14.5" x14ac:dyDescent="0.3">
      <c r="A143" s="404"/>
      <c r="B143" s="35"/>
      <c r="C143" s="190"/>
      <c r="D143" s="190"/>
      <c r="E143" s="190"/>
      <c r="F143" s="190"/>
      <c r="G143" s="190"/>
      <c r="H143" s="190"/>
      <c r="I143" s="190"/>
      <c r="J143" s="190"/>
      <c r="K143" s="190"/>
      <c r="L143" s="190"/>
      <c r="M143" s="190"/>
      <c r="N143" s="190"/>
      <c r="O143" s="190"/>
      <c r="P143" s="190"/>
      <c r="Q143" s="503"/>
    </row>
    <row r="144" spans="1:17" ht="14.5" x14ac:dyDescent="0.3">
      <c r="A144" s="404"/>
      <c r="B144" s="35"/>
      <c r="C144" s="190"/>
      <c r="D144" s="190"/>
      <c r="E144" s="190"/>
      <c r="F144" s="190"/>
      <c r="G144" s="190"/>
      <c r="H144" s="190"/>
      <c r="I144" s="190"/>
      <c r="J144" s="190"/>
      <c r="K144" s="190"/>
      <c r="L144" s="190"/>
      <c r="M144" s="190"/>
      <c r="N144" s="190"/>
      <c r="O144" s="190"/>
      <c r="P144" s="190"/>
      <c r="Q144" s="503"/>
    </row>
    <row r="145" spans="1:17" ht="14.5" x14ac:dyDescent="0.3">
      <c r="A145" s="404"/>
      <c r="B145" s="35"/>
      <c r="C145" s="190"/>
      <c r="D145" s="190"/>
      <c r="E145" s="190"/>
      <c r="F145" s="190"/>
      <c r="G145" s="190"/>
      <c r="H145" s="190"/>
      <c r="I145" s="190"/>
      <c r="J145" s="190"/>
      <c r="K145" s="190"/>
      <c r="L145" s="190"/>
      <c r="M145" s="190"/>
      <c r="N145" s="190"/>
      <c r="O145" s="190"/>
      <c r="P145" s="190"/>
      <c r="Q145" s="503"/>
    </row>
    <row r="146" spans="1:17" ht="14.5" x14ac:dyDescent="0.3">
      <c r="A146" s="404"/>
      <c r="B146" s="35"/>
      <c r="C146" s="190"/>
      <c r="D146" s="190"/>
      <c r="E146" s="190"/>
      <c r="F146" s="190"/>
      <c r="G146" s="190"/>
      <c r="H146" s="190"/>
      <c r="I146" s="190"/>
      <c r="J146" s="190"/>
      <c r="K146" s="190"/>
      <c r="L146" s="190"/>
      <c r="M146" s="190"/>
      <c r="N146" s="190"/>
      <c r="O146" s="190"/>
      <c r="P146" s="190"/>
      <c r="Q146" s="503"/>
    </row>
    <row r="147" spans="1:17" ht="14.5" x14ac:dyDescent="0.3">
      <c r="A147" s="404"/>
      <c r="B147" s="35"/>
      <c r="C147" s="190"/>
      <c r="D147" s="190"/>
      <c r="E147" s="190"/>
      <c r="F147" s="190"/>
      <c r="G147" s="190"/>
      <c r="H147" s="190"/>
      <c r="I147" s="190"/>
      <c r="J147" s="190"/>
      <c r="K147" s="190"/>
      <c r="L147" s="190"/>
      <c r="M147" s="190"/>
      <c r="N147" s="190"/>
      <c r="O147" s="190"/>
      <c r="P147" s="190"/>
      <c r="Q147" s="503"/>
    </row>
    <row r="148" spans="1:17" ht="14.5" x14ac:dyDescent="0.3">
      <c r="A148" s="404"/>
      <c r="B148" s="35"/>
      <c r="C148" s="190"/>
      <c r="D148" s="190"/>
      <c r="E148" s="190"/>
      <c r="F148" s="190"/>
      <c r="G148" s="190"/>
      <c r="H148" s="190"/>
      <c r="I148" s="190"/>
      <c r="J148" s="190"/>
      <c r="K148" s="190"/>
      <c r="L148" s="190"/>
      <c r="M148" s="190"/>
      <c r="N148" s="190"/>
      <c r="O148" s="190"/>
      <c r="P148" s="190"/>
      <c r="Q148" s="503"/>
    </row>
    <row r="149" spans="1:17" ht="14.5" x14ac:dyDescent="0.3">
      <c r="A149" s="404"/>
      <c r="B149" s="35"/>
      <c r="C149" s="190"/>
      <c r="D149" s="190"/>
      <c r="E149" s="190"/>
      <c r="F149" s="190"/>
      <c r="G149" s="190"/>
      <c r="H149" s="190"/>
      <c r="I149" s="190"/>
      <c r="J149" s="190"/>
      <c r="K149" s="190"/>
      <c r="L149" s="190"/>
      <c r="M149" s="190"/>
      <c r="N149" s="190"/>
      <c r="O149" s="190"/>
      <c r="P149" s="190"/>
      <c r="Q149" s="503"/>
    </row>
    <row r="150" spans="1:17" ht="29.25" customHeight="1" x14ac:dyDescent="0.3">
      <c r="A150" s="404"/>
      <c r="B150" s="35"/>
      <c r="C150" s="190"/>
      <c r="D150" s="190"/>
      <c r="E150" s="190"/>
      <c r="F150" s="190"/>
      <c r="G150" s="190"/>
      <c r="H150" s="190"/>
      <c r="I150" s="190"/>
      <c r="J150" s="190"/>
      <c r="K150" s="190"/>
      <c r="L150" s="190"/>
      <c r="M150" s="190"/>
      <c r="N150" s="190"/>
      <c r="O150" s="190"/>
      <c r="P150" s="190"/>
      <c r="Q150" s="503"/>
    </row>
    <row r="151" spans="1:17" ht="14.5" x14ac:dyDescent="0.3">
      <c r="A151" s="404"/>
      <c r="B151" s="1279"/>
      <c r="C151" s="1280"/>
      <c r="D151" s="1280"/>
      <c r="E151" s="1280"/>
      <c r="F151" s="1280"/>
      <c r="G151" s="1280"/>
      <c r="H151" s="1280"/>
      <c r="I151" s="1280"/>
      <c r="J151" s="1280"/>
      <c r="K151" s="1280"/>
      <c r="L151" s="1280"/>
      <c r="M151" s="1280"/>
      <c r="N151" s="1280"/>
      <c r="O151" s="1280"/>
      <c r="P151" s="1280"/>
      <c r="Q151" s="1281"/>
    </row>
    <row r="152" spans="1:17" ht="14.5" x14ac:dyDescent="0.3">
      <c r="A152" s="404"/>
      <c r="B152" s="35"/>
      <c r="C152" s="190"/>
      <c r="D152" s="190"/>
      <c r="E152" s="190"/>
      <c r="F152" s="190"/>
      <c r="G152" s="190"/>
      <c r="H152" s="190"/>
      <c r="I152" s="190"/>
      <c r="J152" s="190"/>
      <c r="K152" s="190"/>
      <c r="L152" s="190"/>
      <c r="M152" s="190"/>
      <c r="N152" s="190"/>
      <c r="O152" s="190"/>
      <c r="P152" s="190"/>
      <c r="Q152" s="503"/>
    </row>
    <row r="153" spans="1:17" ht="14.5" x14ac:dyDescent="0.3">
      <c r="A153" s="404"/>
      <c r="B153" s="35"/>
      <c r="C153" s="190"/>
      <c r="D153" s="190"/>
      <c r="E153" s="190"/>
      <c r="F153" s="190"/>
      <c r="G153" s="190"/>
      <c r="H153" s="190"/>
      <c r="I153" s="190"/>
      <c r="J153" s="190"/>
      <c r="K153" s="190"/>
      <c r="L153" s="190"/>
      <c r="M153" s="190"/>
      <c r="N153" s="190"/>
      <c r="O153" s="190"/>
      <c r="P153" s="190"/>
      <c r="Q153" s="503"/>
    </row>
    <row r="154" spans="1:17" ht="14.5" x14ac:dyDescent="0.3">
      <c r="A154" s="404"/>
      <c r="B154" s="35"/>
      <c r="C154" s="190"/>
      <c r="D154" s="190"/>
      <c r="E154" s="190"/>
      <c r="F154" s="190"/>
      <c r="G154" s="190"/>
      <c r="H154" s="190"/>
      <c r="I154" s="190"/>
      <c r="J154" s="190"/>
      <c r="K154" s="190"/>
      <c r="L154" s="190"/>
      <c r="M154" s="190"/>
      <c r="N154" s="190"/>
      <c r="O154" s="190"/>
      <c r="P154" s="190"/>
      <c r="Q154" s="503"/>
    </row>
    <row r="155" spans="1:17" ht="14.5" x14ac:dyDescent="0.3">
      <c r="A155" s="404"/>
      <c r="B155" s="35"/>
      <c r="C155" s="190"/>
      <c r="D155" s="190"/>
      <c r="E155" s="190"/>
      <c r="F155" s="190"/>
      <c r="G155" s="190"/>
      <c r="H155" s="190"/>
      <c r="I155" s="190"/>
      <c r="J155" s="190"/>
      <c r="K155" s="190"/>
      <c r="L155" s="190"/>
      <c r="M155" s="190"/>
      <c r="N155" s="190"/>
      <c r="O155" s="190"/>
      <c r="P155" s="190"/>
      <c r="Q155" s="503"/>
    </row>
    <row r="156" spans="1:17" ht="14.5" x14ac:dyDescent="0.3">
      <c r="A156" s="404"/>
      <c r="B156" s="35"/>
      <c r="C156" s="190"/>
      <c r="D156" s="190"/>
      <c r="E156" s="190"/>
      <c r="F156" s="190"/>
      <c r="G156" s="190"/>
      <c r="H156" s="190"/>
      <c r="I156" s="190"/>
      <c r="J156" s="190"/>
      <c r="K156" s="190"/>
      <c r="L156" s="190"/>
      <c r="M156" s="190"/>
      <c r="N156" s="190"/>
      <c r="O156" s="190"/>
      <c r="P156" s="190"/>
      <c r="Q156" s="503"/>
    </row>
    <row r="157" spans="1:17" ht="28.5" customHeight="1" x14ac:dyDescent="0.3">
      <c r="A157" s="404"/>
      <c r="B157" s="1279"/>
      <c r="C157" s="1280"/>
      <c r="D157" s="1280"/>
      <c r="E157" s="1280"/>
      <c r="F157" s="1280"/>
      <c r="G157" s="1280"/>
      <c r="H157" s="1280"/>
      <c r="I157" s="1280"/>
      <c r="J157" s="1280"/>
      <c r="K157" s="1280"/>
      <c r="L157" s="1280"/>
      <c r="M157" s="1280"/>
      <c r="N157" s="1280"/>
      <c r="O157" s="1280"/>
      <c r="P157" s="1280"/>
      <c r="Q157" s="1281"/>
    </row>
    <row r="158" spans="1:17" ht="14.5" x14ac:dyDescent="0.3">
      <c r="A158" s="404"/>
      <c r="B158" s="35"/>
      <c r="C158" s="190"/>
      <c r="D158" s="190"/>
      <c r="E158" s="190"/>
      <c r="F158" s="190"/>
      <c r="G158" s="190"/>
      <c r="H158" s="190"/>
      <c r="I158" s="190"/>
      <c r="J158" s="190"/>
      <c r="K158" s="190"/>
      <c r="L158" s="190"/>
      <c r="M158" s="190"/>
      <c r="N158" s="190"/>
      <c r="O158" s="190"/>
      <c r="P158" s="190"/>
      <c r="Q158" s="503"/>
    </row>
    <row r="159" spans="1:17" ht="31.5" customHeight="1" x14ac:dyDescent="0.3">
      <c r="A159" s="404"/>
      <c r="B159" s="35"/>
      <c r="C159" s="190"/>
      <c r="D159" s="190"/>
      <c r="E159" s="190"/>
      <c r="F159" s="190"/>
      <c r="G159" s="190"/>
      <c r="H159" s="190"/>
      <c r="I159" s="190"/>
      <c r="J159" s="190"/>
      <c r="K159" s="190"/>
      <c r="L159" s="190"/>
      <c r="M159" s="190"/>
      <c r="N159" s="190"/>
      <c r="O159" s="190"/>
      <c r="P159" s="190"/>
      <c r="Q159" s="503"/>
    </row>
    <row r="160" spans="1:17" ht="30" customHeight="1" x14ac:dyDescent="0.3">
      <c r="A160" s="404"/>
      <c r="B160" s="35"/>
      <c r="C160" s="190"/>
      <c r="D160" s="190"/>
      <c r="E160" s="190"/>
      <c r="F160" s="190"/>
      <c r="G160" s="190"/>
      <c r="H160" s="190"/>
      <c r="I160" s="190"/>
      <c r="J160" s="190"/>
      <c r="K160" s="190"/>
      <c r="L160" s="190"/>
      <c r="M160" s="190"/>
      <c r="N160" s="190"/>
      <c r="O160" s="190"/>
      <c r="P160" s="190"/>
      <c r="Q160" s="503"/>
    </row>
    <row r="161" spans="1:17" ht="25.5" customHeight="1" x14ac:dyDescent="0.3">
      <c r="A161" s="404"/>
      <c r="B161" s="1279"/>
      <c r="C161" s="1280"/>
      <c r="D161" s="1280"/>
      <c r="E161" s="1280"/>
      <c r="F161" s="1280"/>
      <c r="G161" s="1280"/>
      <c r="H161" s="1280"/>
      <c r="I161" s="1280"/>
      <c r="J161" s="1280"/>
      <c r="K161" s="1280"/>
      <c r="L161" s="1280"/>
      <c r="M161" s="1280"/>
      <c r="N161" s="1280"/>
      <c r="O161" s="1280"/>
      <c r="P161" s="1280"/>
      <c r="Q161" s="1281"/>
    </row>
    <row r="162" spans="1:17" ht="14.5" x14ac:dyDescent="0.3">
      <c r="A162" s="404"/>
      <c r="B162" s="35"/>
      <c r="C162" s="190"/>
      <c r="D162" s="190"/>
      <c r="E162" s="190"/>
      <c r="F162" s="190"/>
      <c r="G162" s="190"/>
      <c r="H162" s="190"/>
      <c r="I162" s="190"/>
      <c r="J162" s="190"/>
      <c r="K162" s="190"/>
      <c r="L162" s="190"/>
      <c r="M162" s="190"/>
      <c r="N162" s="190"/>
      <c r="O162" s="190"/>
      <c r="P162" s="190"/>
      <c r="Q162" s="503"/>
    </row>
    <row r="163" spans="1:17" ht="14.5" x14ac:dyDescent="0.3">
      <c r="A163" s="404"/>
      <c r="B163" s="35"/>
      <c r="C163" s="190"/>
      <c r="D163" s="190"/>
      <c r="E163" s="190"/>
      <c r="F163" s="190"/>
      <c r="G163" s="190"/>
      <c r="H163" s="190"/>
      <c r="I163" s="190"/>
      <c r="J163" s="190"/>
      <c r="K163" s="190"/>
      <c r="L163" s="190"/>
      <c r="M163" s="190"/>
      <c r="N163" s="190"/>
      <c r="O163" s="190"/>
      <c r="P163" s="190"/>
      <c r="Q163" s="503"/>
    </row>
    <row r="164" spans="1:17" ht="14.5" x14ac:dyDescent="0.3">
      <c r="A164" s="404"/>
      <c r="B164" s="1279"/>
      <c r="C164" s="1280"/>
      <c r="D164" s="1280"/>
      <c r="E164" s="1280"/>
      <c r="F164" s="1280"/>
      <c r="G164" s="1280"/>
      <c r="H164" s="1280"/>
      <c r="I164" s="1280"/>
      <c r="J164" s="1280"/>
      <c r="K164" s="1280"/>
      <c r="L164" s="1280"/>
      <c r="M164" s="1280"/>
      <c r="N164" s="1280"/>
      <c r="O164" s="1280"/>
      <c r="P164" s="1280"/>
      <c r="Q164" s="1281"/>
    </row>
    <row r="165" spans="1:17" ht="14.5" x14ac:dyDescent="0.3">
      <c r="A165" s="404"/>
      <c r="B165" s="35"/>
      <c r="C165" s="190"/>
      <c r="D165" s="190"/>
      <c r="E165" s="190"/>
      <c r="F165" s="190"/>
      <c r="G165" s="190"/>
      <c r="H165" s="190"/>
      <c r="I165" s="190"/>
      <c r="J165" s="190"/>
      <c r="K165" s="190"/>
      <c r="L165" s="190"/>
      <c r="M165" s="190"/>
      <c r="N165" s="190"/>
      <c r="O165" s="190"/>
      <c r="P165" s="190"/>
      <c r="Q165" s="503"/>
    </row>
    <row r="166" spans="1:17" ht="14.5" x14ac:dyDescent="0.3">
      <c r="A166" s="404"/>
      <c r="B166" s="1279"/>
      <c r="C166" s="1280"/>
      <c r="D166" s="1280"/>
      <c r="E166" s="1280"/>
      <c r="F166" s="1280"/>
      <c r="G166" s="1280"/>
      <c r="H166" s="1280"/>
      <c r="I166" s="1280"/>
      <c r="J166" s="1280"/>
      <c r="K166" s="1280"/>
      <c r="L166" s="1280"/>
      <c r="M166" s="1280"/>
      <c r="N166" s="1280"/>
      <c r="O166" s="1280"/>
      <c r="P166" s="1280"/>
      <c r="Q166" s="1281"/>
    </row>
    <row r="167" spans="1:17" ht="14.5" x14ac:dyDescent="0.3">
      <c r="A167" s="404"/>
      <c r="B167" s="1279"/>
      <c r="C167" s="1280"/>
      <c r="D167" s="1280"/>
      <c r="E167" s="1280"/>
      <c r="F167" s="1280"/>
      <c r="G167" s="1280"/>
      <c r="H167" s="1280"/>
      <c r="I167" s="1280"/>
      <c r="J167" s="1280"/>
      <c r="K167" s="1280"/>
      <c r="L167" s="1280"/>
      <c r="M167" s="1280"/>
      <c r="N167" s="1280"/>
      <c r="O167" s="1280"/>
      <c r="P167" s="1280"/>
      <c r="Q167" s="1281"/>
    </row>
    <row r="168" spans="1:17" ht="14.5" x14ac:dyDescent="0.3">
      <c r="A168" s="404"/>
      <c r="B168" s="1279"/>
      <c r="C168" s="1280"/>
      <c r="D168" s="1280"/>
      <c r="E168" s="1280"/>
      <c r="F168" s="1280"/>
      <c r="G168" s="1280"/>
      <c r="H168" s="1280"/>
      <c r="I168" s="1280"/>
      <c r="J168" s="1280"/>
      <c r="K168" s="1280"/>
      <c r="L168" s="1280"/>
      <c r="M168" s="1280"/>
      <c r="N168" s="1280"/>
      <c r="O168" s="1280"/>
      <c r="P168" s="1280"/>
      <c r="Q168" s="1281"/>
    </row>
    <row r="169" spans="1:17" ht="29.25" customHeight="1" x14ac:dyDescent="0.3">
      <c r="A169" s="404"/>
      <c r="B169" s="35"/>
      <c r="C169" s="190"/>
      <c r="D169" s="190"/>
      <c r="E169" s="190"/>
      <c r="F169" s="190"/>
      <c r="G169" s="190"/>
      <c r="H169" s="190"/>
      <c r="I169" s="190"/>
      <c r="J169" s="190"/>
      <c r="K169" s="190"/>
      <c r="L169" s="190"/>
      <c r="M169" s="190"/>
      <c r="N169" s="190"/>
      <c r="O169" s="190"/>
      <c r="P169" s="190"/>
      <c r="Q169" s="503"/>
    </row>
    <row r="170" spans="1:17" ht="32.25" customHeight="1" x14ac:dyDescent="0.3">
      <c r="A170" s="404"/>
      <c r="B170" s="35"/>
      <c r="C170" s="190"/>
      <c r="D170" s="190"/>
      <c r="E170" s="190"/>
      <c r="F170" s="190"/>
      <c r="G170" s="190"/>
      <c r="H170" s="190"/>
      <c r="I170" s="190"/>
      <c r="J170" s="190"/>
      <c r="K170" s="190"/>
      <c r="L170" s="190"/>
      <c r="M170" s="190"/>
      <c r="N170" s="190"/>
      <c r="O170" s="190"/>
      <c r="P170" s="190"/>
      <c r="Q170" s="503"/>
    </row>
    <row r="171" spans="1:17" ht="14.5" x14ac:dyDescent="0.3">
      <c r="A171" s="404"/>
      <c r="B171" s="35"/>
      <c r="C171" s="190"/>
      <c r="D171" s="190"/>
      <c r="E171" s="190"/>
      <c r="F171" s="190"/>
      <c r="G171" s="190"/>
      <c r="H171" s="190"/>
      <c r="I171" s="190"/>
      <c r="J171" s="190"/>
      <c r="K171" s="190"/>
      <c r="L171" s="190"/>
      <c r="M171" s="190"/>
      <c r="N171" s="190"/>
      <c r="O171" s="190"/>
      <c r="P171" s="190"/>
      <c r="Q171" s="503"/>
    </row>
    <row r="172" spans="1:17" ht="14.5" x14ac:dyDescent="0.3">
      <c r="A172" s="404"/>
      <c r="B172" s="35"/>
      <c r="C172" s="190"/>
      <c r="D172" s="190"/>
      <c r="E172" s="190"/>
      <c r="F172" s="190"/>
      <c r="G172" s="190"/>
      <c r="H172" s="190"/>
      <c r="I172" s="190"/>
      <c r="J172" s="190"/>
      <c r="K172" s="190"/>
      <c r="L172" s="190"/>
      <c r="M172" s="190"/>
      <c r="N172" s="190"/>
      <c r="O172" s="190"/>
      <c r="P172" s="190"/>
      <c r="Q172" s="503"/>
    </row>
    <row r="173" spans="1:17" ht="14.5" x14ac:dyDescent="0.3">
      <c r="A173" s="404"/>
      <c r="B173" s="35"/>
      <c r="C173" s="190"/>
      <c r="D173" s="190"/>
      <c r="E173" s="190"/>
      <c r="F173" s="190"/>
      <c r="G173" s="190"/>
      <c r="H173" s="190"/>
      <c r="I173" s="190"/>
      <c r="J173" s="190"/>
      <c r="K173" s="190"/>
      <c r="L173" s="190"/>
      <c r="M173" s="190"/>
      <c r="N173" s="190"/>
      <c r="O173" s="190"/>
      <c r="P173" s="190"/>
      <c r="Q173" s="503"/>
    </row>
    <row r="174" spans="1:17" ht="14.5" x14ac:dyDescent="0.3">
      <c r="A174" s="404"/>
      <c r="B174" s="35"/>
      <c r="C174" s="190"/>
      <c r="D174" s="190"/>
      <c r="E174" s="190"/>
      <c r="F174" s="190"/>
      <c r="G174" s="190"/>
      <c r="H174" s="190"/>
      <c r="I174" s="190"/>
      <c r="J174" s="190"/>
      <c r="K174" s="190"/>
      <c r="L174" s="190"/>
      <c r="M174" s="190"/>
      <c r="N174" s="190"/>
      <c r="O174" s="190"/>
      <c r="P174" s="190"/>
      <c r="Q174" s="503"/>
    </row>
    <row r="175" spans="1:17" ht="14.5" x14ac:dyDescent="0.3">
      <c r="A175" s="404"/>
      <c r="B175" s="35"/>
      <c r="C175" s="190"/>
      <c r="D175" s="190"/>
      <c r="E175" s="190"/>
      <c r="F175" s="190"/>
      <c r="G175" s="190"/>
      <c r="H175" s="190"/>
      <c r="I175" s="190"/>
      <c r="J175" s="190"/>
      <c r="K175" s="190"/>
      <c r="L175" s="190"/>
      <c r="M175" s="190"/>
      <c r="N175" s="190"/>
      <c r="O175" s="190"/>
      <c r="P175" s="190"/>
      <c r="Q175" s="503"/>
    </row>
    <row r="176" spans="1:17" ht="14.5" x14ac:dyDescent="0.3">
      <c r="A176" s="404"/>
      <c r="B176" s="1279"/>
      <c r="C176" s="1280"/>
      <c r="D176" s="1280"/>
      <c r="E176" s="1280"/>
      <c r="F176" s="1280"/>
      <c r="G176" s="1280"/>
      <c r="H176" s="1280"/>
      <c r="I176" s="1280"/>
      <c r="J176" s="1280"/>
      <c r="K176" s="1280"/>
      <c r="L176" s="1280"/>
      <c r="M176" s="1280"/>
      <c r="N176" s="1280"/>
      <c r="O176" s="1280"/>
      <c r="P176" s="1280"/>
      <c r="Q176" s="1281"/>
    </row>
    <row r="177" spans="1:17" ht="14.5" x14ac:dyDescent="0.3">
      <c r="A177" s="404"/>
      <c r="B177" s="1279"/>
      <c r="C177" s="1280"/>
      <c r="D177" s="1280"/>
      <c r="E177" s="1280"/>
      <c r="F177" s="1280"/>
      <c r="G177" s="1280"/>
      <c r="H177" s="1280"/>
      <c r="I177" s="1280"/>
      <c r="J177" s="1280"/>
      <c r="K177" s="1280"/>
      <c r="L177" s="1280"/>
      <c r="M177" s="1280"/>
      <c r="N177" s="1280"/>
      <c r="O177" s="1280"/>
      <c r="P177" s="1280"/>
      <c r="Q177" s="1281"/>
    </row>
    <row r="178" spans="1:17" ht="14.5" x14ac:dyDescent="0.3">
      <c r="A178" s="404"/>
      <c r="B178" s="35"/>
      <c r="C178" s="190"/>
      <c r="D178" s="190"/>
      <c r="E178" s="190"/>
      <c r="F178" s="190"/>
      <c r="G178" s="190"/>
      <c r="H178" s="190"/>
      <c r="I178" s="190"/>
      <c r="J178" s="190"/>
      <c r="K178" s="190"/>
      <c r="L178" s="190"/>
      <c r="M178" s="190"/>
      <c r="N178" s="190"/>
      <c r="O178" s="190"/>
      <c r="P178" s="190"/>
      <c r="Q178" s="503"/>
    </row>
    <row r="179" spans="1:17" ht="28.5" customHeight="1" x14ac:dyDescent="0.3">
      <c r="A179" s="404"/>
      <c r="B179" s="35"/>
      <c r="C179" s="190"/>
      <c r="D179" s="190"/>
      <c r="E179" s="190"/>
      <c r="F179" s="190"/>
      <c r="G179" s="190"/>
      <c r="H179" s="190"/>
      <c r="I179" s="190"/>
      <c r="J179" s="190"/>
      <c r="K179" s="190"/>
      <c r="L179" s="190"/>
      <c r="M179" s="190"/>
      <c r="N179" s="190"/>
      <c r="O179" s="190"/>
      <c r="P179" s="190"/>
      <c r="Q179" s="503"/>
    </row>
    <row r="180" spans="1:17" ht="14.5" x14ac:dyDescent="0.3">
      <c r="A180" s="404"/>
      <c r="B180" s="35"/>
      <c r="C180" s="190"/>
      <c r="D180" s="190"/>
      <c r="E180" s="190"/>
      <c r="F180" s="190"/>
      <c r="G180" s="190"/>
      <c r="H180" s="190"/>
      <c r="I180" s="190"/>
      <c r="J180" s="190"/>
      <c r="K180" s="190"/>
      <c r="L180" s="190"/>
      <c r="M180" s="190"/>
      <c r="N180" s="190"/>
      <c r="O180" s="190"/>
      <c r="P180" s="190"/>
      <c r="Q180" s="503"/>
    </row>
    <row r="181" spans="1:17" ht="14.5" x14ac:dyDescent="0.3">
      <c r="A181" s="404"/>
      <c r="B181" s="35"/>
      <c r="C181" s="190"/>
      <c r="D181" s="190"/>
      <c r="E181" s="190"/>
      <c r="F181" s="190"/>
      <c r="G181" s="190"/>
      <c r="H181" s="190"/>
      <c r="I181" s="190"/>
      <c r="J181" s="190"/>
      <c r="K181" s="190"/>
      <c r="L181" s="190"/>
      <c r="M181" s="190"/>
      <c r="N181" s="190"/>
      <c r="O181" s="190"/>
      <c r="P181" s="190"/>
      <c r="Q181" s="503"/>
    </row>
    <row r="182" spans="1:17" ht="14.5" x14ac:dyDescent="0.3">
      <c r="A182" s="404"/>
      <c r="B182" s="35"/>
      <c r="C182" s="190"/>
      <c r="D182" s="190"/>
      <c r="E182" s="190"/>
      <c r="F182" s="190"/>
      <c r="G182" s="190"/>
      <c r="H182" s="190"/>
      <c r="I182" s="190"/>
      <c r="J182" s="190"/>
      <c r="K182" s="190"/>
      <c r="L182" s="190"/>
      <c r="M182" s="190"/>
      <c r="N182" s="190"/>
      <c r="O182" s="190"/>
      <c r="P182" s="190"/>
      <c r="Q182" s="503"/>
    </row>
    <row r="183" spans="1:17" ht="14.5" x14ac:dyDescent="0.3">
      <c r="A183" s="404"/>
      <c r="B183" s="35"/>
      <c r="C183" s="190"/>
      <c r="D183" s="190"/>
      <c r="E183" s="190"/>
      <c r="F183" s="190"/>
      <c r="G183" s="190"/>
      <c r="H183" s="190"/>
      <c r="I183" s="190"/>
      <c r="J183" s="190"/>
      <c r="K183" s="190"/>
      <c r="L183" s="190"/>
      <c r="M183" s="190"/>
      <c r="N183" s="190"/>
      <c r="O183" s="190"/>
      <c r="P183" s="190"/>
      <c r="Q183" s="503"/>
    </row>
    <row r="184" spans="1:17" ht="14.5" x14ac:dyDescent="0.3">
      <c r="A184" s="404"/>
      <c r="B184" s="35"/>
      <c r="C184" s="190"/>
      <c r="D184" s="190"/>
      <c r="E184" s="190"/>
      <c r="F184" s="190"/>
      <c r="G184" s="190"/>
      <c r="H184" s="190"/>
      <c r="I184" s="190"/>
      <c r="J184" s="190"/>
      <c r="K184" s="190"/>
      <c r="L184" s="190"/>
      <c r="M184" s="190"/>
      <c r="N184" s="190"/>
      <c r="O184" s="190"/>
      <c r="P184" s="190"/>
      <c r="Q184" s="503"/>
    </row>
    <row r="185" spans="1:17" ht="14.5" x14ac:dyDescent="0.3">
      <c r="A185" s="404"/>
      <c r="B185" s="35"/>
      <c r="C185" s="190"/>
      <c r="D185" s="190"/>
      <c r="E185" s="190"/>
      <c r="F185" s="190"/>
      <c r="G185" s="190"/>
      <c r="H185" s="190"/>
      <c r="I185" s="190"/>
      <c r="J185" s="190"/>
      <c r="K185" s="190"/>
      <c r="L185" s="190"/>
      <c r="M185" s="190"/>
      <c r="N185" s="190"/>
      <c r="O185" s="190"/>
      <c r="P185" s="190"/>
      <c r="Q185" s="503"/>
    </row>
    <row r="186" spans="1:17" ht="14.25" customHeight="1" x14ac:dyDescent="0.3">
      <c r="A186" s="404"/>
      <c r="B186" s="1279"/>
      <c r="C186" s="1280"/>
      <c r="D186" s="1280"/>
      <c r="E186" s="1280"/>
      <c r="F186" s="1280"/>
      <c r="G186" s="1280"/>
      <c r="H186" s="1280"/>
      <c r="I186" s="1280"/>
      <c r="J186" s="1280"/>
      <c r="K186" s="1280"/>
      <c r="L186" s="1280"/>
      <c r="M186" s="1280"/>
      <c r="N186" s="1280"/>
      <c r="O186" s="1280"/>
      <c r="P186" s="1280"/>
      <c r="Q186" s="1281"/>
    </row>
    <row r="187" spans="1:17" ht="34.5" customHeight="1" x14ac:dyDescent="0.3">
      <c r="A187" s="404"/>
      <c r="B187" s="35"/>
      <c r="C187" s="190"/>
      <c r="D187" s="190"/>
      <c r="E187" s="190"/>
      <c r="F187" s="190"/>
      <c r="G187" s="190"/>
      <c r="H187" s="190"/>
      <c r="I187" s="190"/>
      <c r="J187" s="190"/>
      <c r="K187" s="190"/>
      <c r="L187" s="190"/>
      <c r="M187" s="190"/>
      <c r="N187" s="190"/>
      <c r="O187" s="190"/>
      <c r="P187" s="190"/>
      <c r="Q187" s="503"/>
    </row>
    <row r="188" spans="1:17" ht="14.5" x14ac:dyDescent="0.3">
      <c r="A188" s="404"/>
      <c r="B188" s="35"/>
      <c r="C188" s="190"/>
      <c r="D188" s="190"/>
      <c r="E188" s="190"/>
      <c r="F188" s="190"/>
      <c r="G188" s="190"/>
      <c r="H188" s="190"/>
      <c r="I188" s="190"/>
      <c r="J188" s="190"/>
      <c r="K188" s="190"/>
      <c r="L188" s="190"/>
      <c r="M188" s="190"/>
      <c r="N188" s="190"/>
      <c r="O188" s="190"/>
      <c r="P188" s="190"/>
      <c r="Q188" s="503"/>
    </row>
    <row r="189" spans="1:17" ht="31.5" customHeight="1" x14ac:dyDescent="0.3">
      <c r="A189" s="404"/>
      <c r="B189" s="35"/>
      <c r="C189" s="190"/>
      <c r="D189" s="190"/>
      <c r="E189" s="190"/>
      <c r="F189" s="190"/>
      <c r="G189" s="190"/>
      <c r="H189" s="190"/>
      <c r="I189" s="190"/>
      <c r="J189" s="190"/>
      <c r="K189" s="190"/>
      <c r="L189" s="190"/>
      <c r="M189" s="190"/>
      <c r="N189" s="190"/>
      <c r="O189" s="190"/>
      <c r="P189" s="190"/>
      <c r="Q189" s="503"/>
    </row>
    <row r="190" spans="1:17" ht="14.5" x14ac:dyDescent="0.3">
      <c r="A190" s="404"/>
      <c r="B190" s="35"/>
      <c r="C190" s="190"/>
      <c r="D190" s="190"/>
      <c r="E190" s="190"/>
      <c r="F190" s="190"/>
      <c r="G190" s="190"/>
      <c r="H190" s="190"/>
      <c r="I190" s="190"/>
      <c r="J190" s="190"/>
      <c r="K190" s="190"/>
      <c r="L190" s="190"/>
      <c r="M190" s="190"/>
      <c r="N190" s="190"/>
      <c r="O190" s="190"/>
      <c r="P190" s="190"/>
      <c r="Q190" s="503"/>
    </row>
    <row r="191" spans="1:17" ht="14.5" x14ac:dyDescent="0.3">
      <c r="A191" s="404"/>
      <c r="B191" s="35"/>
      <c r="C191" s="190"/>
      <c r="D191" s="190"/>
      <c r="E191" s="190"/>
      <c r="F191" s="190"/>
      <c r="G191" s="190"/>
      <c r="H191" s="190"/>
      <c r="I191" s="190"/>
      <c r="J191" s="190"/>
      <c r="K191" s="190"/>
      <c r="L191" s="190"/>
      <c r="M191" s="190"/>
      <c r="N191" s="190"/>
      <c r="O191" s="190"/>
      <c r="P191" s="190"/>
      <c r="Q191" s="503"/>
    </row>
    <row r="192" spans="1:17" ht="14.5" x14ac:dyDescent="0.3">
      <c r="A192" s="404"/>
      <c r="B192" s="35"/>
      <c r="C192" s="190"/>
      <c r="D192" s="190"/>
      <c r="E192" s="190"/>
      <c r="F192" s="190"/>
      <c r="G192" s="190"/>
      <c r="H192" s="190"/>
      <c r="I192" s="190"/>
      <c r="J192" s="190"/>
      <c r="K192" s="190"/>
      <c r="L192" s="190"/>
      <c r="M192" s="190"/>
      <c r="N192" s="190"/>
      <c r="O192" s="190"/>
      <c r="P192" s="190"/>
      <c r="Q192" s="503"/>
    </row>
    <row r="193" spans="1:17" ht="14.5" x14ac:dyDescent="0.3">
      <c r="A193" s="404"/>
      <c r="B193" s="35"/>
      <c r="C193" s="190"/>
      <c r="D193" s="190"/>
      <c r="E193" s="190"/>
      <c r="F193" s="190"/>
      <c r="G193" s="190"/>
      <c r="H193" s="190"/>
      <c r="I193" s="190"/>
      <c r="J193" s="190"/>
      <c r="K193" s="190"/>
      <c r="L193" s="190"/>
      <c r="M193" s="190"/>
      <c r="N193" s="190"/>
      <c r="O193" s="190"/>
      <c r="P193" s="190"/>
      <c r="Q193" s="503"/>
    </row>
    <row r="194" spans="1:17" ht="14.5" x14ac:dyDescent="0.3">
      <c r="A194" s="404"/>
      <c r="B194" s="1250"/>
      <c r="C194" s="1073"/>
      <c r="D194" s="1073"/>
      <c r="E194" s="1073"/>
      <c r="F194" s="1073"/>
      <c r="G194" s="1073"/>
      <c r="H194" s="1073"/>
      <c r="I194" s="1073"/>
      <c r="J194" s="1073"/>
      <c r="K194" s="1073"/>
      <c r="L194" s="1073"/>
      <c r="M194" s="1073"/>
      <c r="N194" s="1073"/>
      <c r="O194" s="1073"/>
      <c r="P194" s="1073"/>
      <c r="Q194" s="1251"/>
    </row>
    <row r="195" spans="1:17" ht="14.5" x14ac:dyDescent="0.3">
      <c r="A195" s="404"/>
      <c r="B195" s="35"/>
      <c r="C195" s="190"/>
      <c r="D195" s="190"/>
      <c r="E195" s="190"/>
      <c r="F195" s="190"/>
      <c r="G195" s="190"/>
      <c r="H195" s="190"/>
      <c r="I195" s="190"/>
      <c r="J195" s="190"/>
      <c r="K195" s="190"/>
      <c r="L195" s="190"/>
      <c r="M195" s="190"/>
      <c r="N195" s="190"/>
      <c r="O195" s="190"/>
      <c r="P195" s="190"/>
      <c r="Q195" s="503"/>
    </row>
    <row r="196" spans="1:17" ht="14.5" x14ac:dyDescent="0.3">
      <c r="A196" s="404"/>
      <c r="B196" s="1279"/>
      <c r="C196" s="1280"/>
      <c r="D196" s="1280"/>
      <c r="E196" s="1280"/>
      <c r="F196" s="1280"/>
      <c r="G196" s="1280"/>
      <c r="H196" s="1280"/>
      <c r="I196" s="1280"/>
      <c r="J196" s="1280"/>
      <c r="K196" s="1280"/>
      <c r="L196" s="1280"/>
      <c r="M196" s="1280"/>
      <c r="N196" s="1280"/>
      <c r="O196" s="1280"/>
      <c r="P196" s="1280"/>
      <c r="Q196" s="1281"/>
    </row>
    <row r="197" spans="1:17" ht="14.5" x14ac:dyDescent="0.3">
      <c r="A197" s="404"/>
      <c r="B197" s="35"/>
      <c r="C197" s="190"/>
      <c r="D197" s="190"/>
      <c r="E197" s="190"/>
      <c r="F197" s="190"/>
      <c r="G197" s="190"/>
      <c r="H197" s="190"/>
      <c r="I197" s="190"/>
      <c r="J197" s="190"/>
      <c r="K197" s="190"/>
      <c r="L197" s="190"/>
      <c r="M197" s="190"/>
      <c r="N197" s="190"/>
      <c r="O197" s="190"/>
      <c r="P197" s="190"/>
      <c r="Q197" s="503"/>
    </row>
    <row r="198" spans="1:17" ht="33" customHeight="1" x14ac:dyDescent="0.3">
      <c r="A198" s="404"/>
      <c r="B198" s="35"/>
      <c r="C198" s="190"/>
      <c r="D198" s="190"/>
      <c r="E198" s="190"/>
      <c r="F198" s="190"/>
      <c r="G198" s="190"/>
      <c r="H198" s="190"/>
      <c r="I198" s="190"/>
      <c r="J198" s="190"/>
      <c r="K198" s="190"/>
      <c r="L198" s="190"/>
      <c r="M198" s="190"/>
      <c r="N198" s="190"/>
      <c r="O198" s="190"/>
      <c r="P198" s="190"/>
      <c r="Q198" s="503"/>
    </row>
    <row r="199" spans="1:17" ht="14.5" x14ac:dyDescent="0.3">
      <c r="A199" s="404"/>
      <c r="B199" s="35"/>
      <c r="C199" s="190"/>
      <c r="D199" s="190"/>
      <c r="E199" s="190"/>
      <c r="F199" s="190"/>
      <c r="G199" s="190"/>
      <c r="H199" s="190"/>
      <c r="I199" s="190"/>
      <c r="J199" s="190"/>
      <c r="K199" s="190"/>
      <c r="L199" s="190"/>
      <c r="M199" s="190"/>
      <c r="N199" s="190"/>
      <c r="O199" s="190"/>
      <c r="P199" s="190"/>
      <c r="Q199" s="503"/>
    </row>
    <row r="200" spans="1:17" ht="14.5" x14ac:dyDescent="0.3">
      <c r="A200" s="404"/>
      <c r="B200" s="35"/>
      <c r="C200" s="190"/>
      <c r="D200" s="190"/>
      <c r="E200" s="190"/>
      <c r="F200" s="190"/>
      <c r="G200" s="190"/>
      <c r="H200" s="190"/>
      <c r="I200" s="190"/>
      <c r="J200" s="190"/>
      <c r="K200" s="190"/>
      <c r="L200" s="190"/>
      <c r="M200" s="190"/>
      <c r="N200" s="190"/>
      <c r="O200" s="190"/>
      <c r="P200" s="190"/>
      <c r="Q200" s="503"/>
    </row>
    <row r="201" spans="1:17" ht="14.5" x14ac:dyDescent="0.3">
      <c r="A201" s="404"/>
      <c r="B201" s="35"/>
      <c r="C201" s="190"/>
      <c r="D201" s="190"/>
      <c r="E201" s="190"/>
      <c r="F201" s="190"/>
      <c r="G201" s="190"/>
      <c r="H201" s="190"/>
      <c r="I201" s="190"/>
      <c r="J201" s="190"/>
      <c r="K201" s="190"/>
      <c r="L201" s="190"/>
      <c r="M201" s="190"/>
      <c r="N201" s="190"/>
      <c r="O201" s="190"/>
      <c r="P201" s="190"/>
      <c r="Q201" s="503"/>
    </row>
    <row r="202" spans="1:17" ht="28.5" customHeight="1" x14ac:dyDescent="0.3">
      <c r="A202" s="404"/>
      <c r="B202" s="35"/>
      <c r="C202" s="190"/>
      <c r="D202" s="190"/>
      <c r="E202" s="190"/>
      <c r="F202" s="190"/>
      <c r="G202" s="190"/>
      <c r="H202" s="190"/>
      <c r="I202" s="190"/>
      <c r="J202" s="190"/>
      <c r="K202" s="190"/>
      <c r="L202" s="190"/>
      <c r="M202" s="190"/>
      <c r="N202" s="190"/>
      <c r="O202" s="190"/>
      <c r="P202" s="190"/>
      <c r="Q202" s="503"/>
    </row>
    <row r="203" spans="1:17" ht="14.5" x14ac:dyDescent="0.3">
      <c r="A203" s="404"/>
      <c r="B203" s="35"/>
      <c r="C203" s="190"/>
      <c r="D203" s="190"/>
      <c r="E203" s="190"/>
      <c r="F203" s="190"/>
      <c r="G203" s="190"/>
      <c r="H203" s="190"/>
      <c r="I203" s="190"/>
      <c r="J203" s="190"/>
      <c r="K203" s="190"/>
      <c r="L203" s="190"/>
      <c r="M203" s="190"/>
      <c r="N203" s="190"/>
      <c r="O203" s="190"/>
      <c r="P203" s="190"/>
      <c r="Q203" s="503"/>
    </row>
    <row r="204" spans="1:17" ht="33.75" customHeight="1" x14ac:dyDescent="0.3">
      <c r="A204" s="404"/>
      <c r="B204" s="35"/>
      <c r="C204" s="190"/>
      <c r="D204" s="190"/>
      <c r="E204" s="190"/>
      <c r="F204" s="190"/>
      <c r="G204" s="190"/>
      <c r="H204" s="190"/>
      <c r="I204" s="190"/>
      <c r="J204" s="190"/>
      <c r="K204" s="190"/>
      <c r="L204" s="190"/>
      <c r="M204" s="190"/>
      <c r="N204" s="190"/>
      <c r="O204" s="190"/>
      <c r="P204" s="190"/>
      <c r="Q204" s="503"/>
    </row>
    <row r="205" spans="1:17" ht="14.5" x14ac:dyDescent="0.3">
      <c r="A205" s="404"/>
      <c r="B205" s="1279"/>
      <c r="C205" s="1280"/>
      <c r="D205" s="1280"/>
      <c r="E205" s="1280"/>
      <c r="F205" s="1280"/>
      <c r="G205" s="1280"/>
      <c r="H205" s="1280"/>
      <c r="I205" s="1280"/>
      <c r="J205" s="1280"/>
      <c r="K205" s="1280"/>
      <c r="L205" s="1280"/>
      <c r="M205" s="1280"/>
      <c r="N205" s="1280"/>
      <c r="O205" s="1280"/>
      <c r="P205" s="1280"/>
      <c r="Q205" s="1281"/>
    </row>
    <row r="206" spans="1:17" ht="14.5" x14ac:dyDescent="0.3">
      <c r="A206" s="404"/>
      <c r="B206" s="35"/>
      <c r="C206" s="190"/>
      <c r="D206" s="190"/>
      <c r="E206" s="190"/>
      <c r="F206" s="190"/>
      <c r="G206" s="190"/>
      <c r="H206" s="190"/>
      <c r="I206" s="190"/>
      <c r="J206" s="190"/>
      <c r="K206" s="190"/>
      <c r="L206" s="190"/>
      <c r="M206" s="190"/>
      <c r="N206" s="190"/>
      <c r="O206" s="190"/>
      <c r="P206" s="190"/>
      <c r="Q206" s="503"/>
    </row>
    <row r="207" spans="1:17" ht="14.5" x14ac:dyDescent="0.3">
      <c r="A207" s="404"/>
      <c r="B207" s="35"/>
      <c r="C207" s="190"/>
      <c r="D207" s="190"/>
      <c r="E207" s="190"/>
      <c r="F207" s="190"/>
      <c r="G207" s="190"/>
      <c r="H207" s="190"/>
      <c r="I207" s="190"/>
      <c r="J207" s="190"/>
      <c r="K207" s="190"/>
      <c r="L207" s="190"/>
      <c r="M207" s="190"/>
      <c r="N207" s="190"/>
      <c r="O207" s="190"/>
      <c r="P207" s="190"/>
      <c r="Q207" s="503"/>
    </row>
    <row r="208" spans="1:17" ht="14.5" x14ac:dyDescent="0.3">
      <c r="A208" s="404"/>
      <c r="B208" s="35"/>
      <c r="C208" s="190"/>
      <c r="D208" s="190"/>
      <c r="E208" s="190"/>
      <c r="F208" s="190"/>
      <c r="G208" s="190"/>
      <c r="H208" s="190"/>
      <c r="I208" s="190"/>
      <c r="J208" s="190"/>
      <c r="K208" s="190"/>
      <c r="L208" s="190"/>
      <c r="M208" s="190"/>
      <c r="N208" s="190"/>
      <c r="O208" s="190"/>
      <c r="P208" s="190"/>
      <c r="Q208" s="503"/>
    </row>
    <row r="209" spans="1:17" ht="14.5" x14ac:dyDescent="0.3">
      <c r="A209" s="404"/>
      <c r="B209" s="1279"/>
      <c r="C209" s="1280"/>
      <c r="D209" s="1280"/>
      <c r="E209" s="1280"/>
      <c r="F209" s="1280"/>
      <c r="G209" s="1280"/>
      <c r="H209" s="1280"/>
      <c r="I209" s="1280"/>
      <c r="J209" s="1280"/>
      <c r="K209" s="1280"/>
      <c r="L209" s="1280"/>
      <c r="M209" s="1280"/>
      <c r="N209" s="1280"/>
      <c r="O209" s="1280"/>
      <c r="P209" s="1280"/>
      <c r="Q209" s="1281"/>
    </row>
    <row r="210" spans="1:17" ht="14.5" x14ac:dyDescent="0.3">
      <c r="A210" s="404"/>
      <c r="B210" s="35"/>
      <c r="C210" s="190"/>
      <c r="D210" s="190"/>
      <c r="E210" s="190"/>
      <c r="F210" s="190"/>
      <c r="G210" s="190"/>
      <c r="H210" s="190"/>
      <c r="I210" s="190"/>
      <c r="J210" s="190"/>
      <c r="K210" s="190"/>
      <c r="L210" s="190"/>
      <c r="M210" s="190"/>
      <c r="N210" s="190"/>
      <c r="O210" s="190"/>
      <c r="P210" s="190"/>
      <c r="Q210" s="503"/>
    </row>
    <row r="211" spans="1:17" ht="14.5" x14ac:dyDescent="0.3">
      <c r="A211" s="404"/>
      <c r="B211" s="1279"/>
      <c r="C211" s="1280"/>
      <c r="D211" s="1280"/>
      <c r="E211" s="1280"/>
      <c r="F211" s="1280"/>
      <c r="G211" s="1280"/>
      <c r="H211" s="1280"/>
      <c r="I211" s="1280"/>
      <c r="J211" s="1280"/>
      <c r="K211" s="1280"/>
      <c r="L211" s="1280"/>
      <c r="M211" s="1280"/>
      <c r="N211" s="1280"/>
      <c r="O211" s="1280"/>
      <c r="P211" s="1280"/>
      <c r="Q211" s="1281"/>
    </row>
    <row r="212" spans="1:17" ht="14.5" x14ac:dyDescent="0.3">
      <c r="A212" s="404"/>
      <c r="B212" s="1299"/>
      <c r="C212" s="1277"/>
      <c r="D212" s="1277"/>
      <c r="E212" s="1277"/>
      <c r="F212" s="1277"/>
      <c r="G212" s="1277"/>
      <c r="H212" s="1277"/>
      <c r="I212" s="1277"/>
      <c r="J212" s="1277"/>
      <c r="K212" s="1277"/>
      <c r="L212" s="1277"/>
      <c r="M212" s="1277"/>
      <c r="N212" s="1277"/>
      <c r="O212" s="1277"/>
      <c r="P212" s="1277"/>
      <c r="Q212" s="1278"/>
    </row>
    <row r="213" spans="1:17" ht="29.25" customHeight="1" x14ac:dyDescent="0.3">
      <c r="A213" s="404"/>
      <c r="B213" s="1279"/>
      <c r="C213" s="1280"/>
      <c r="D213" s="1280"/>
      <c r="E213" s="1280"/>
      <c r="F213" s="1280"/>
      <c r="G213" s="1280"/>
      <c r="H213" s="1280"/>
      <c r="I213" s="1280"/>
      <c r="J213" s="1280"/>
      <c r="K213" s="1280"/>
      <c r="L213" s="1280"/>
      <c r="M213" s="1280"/>
      <c r="N213" s="1280"/>
      <c r="O213" s="1280"/>
      <c r="P213" s="1280"/>
      <c r="Q213" s="1281"/>
    </row>
    <row r="214" spans="1:17" ht="14.5" x14ac:dyDescent="0.3">
      <c r="A214" s="404"/>
      <c r="B214" s="1279"/>
      <c r="C214" s="1280"/>
      <c r="D214" s="1280"/>
      <c r="E214" s="1280"/>
      <c r="F214" s="1280"/>
      <c r="G214" s="1280"/>
      <c r="H214" s="1280"/>
      <c r="I214" s="1280"/>
      <c r="J214" s="1280"/>
      <c r="K214" s="1280"/>
      <c r="L214" s="1280"/>
      <c r="M214" s="1280"/>
      <c r="N214" s="1280"/>
      <c r="O214" s="1280"/>
      <c r="P214" s="1280"/>
      <c r="Q214" s="1281"/>
    </row>
    <row r="215" spans="1:17" ht="46.5" customHeight="1" x14ac:dyDescent="0.3">
      <c r="A215" s="404"/>
      <c r="B215" s="1299"/>
      <c r="C215" s="1277"/>
      <c r="D215" s="1277"/>
      <c r="E215" s="1277"/>
      <c r="F215" s="1277"/>
      <c r="G215" s="1277"/>
      <c r="H215" s="1277"/>
      <c r="I215" s="1277"/>
      <c r="J215" s="1277"/>
      <c r="K215" s="1277"/>
      <c r="L215" s="1277"/>
      <c r="M215" s="1277"/>
      <c r="N215" s="1277"/>
      <c r="O215" s="1277"/>
      <c r="P215" s="1277"/>
      <c r="Q215" s="1278"/>
    </row>
    <row r="216" spans="1:17" ht="14.5" x14ac:dyDescent="0.3">
      <c r="A216" s="404"/>
      <c r="B216" s="35"/>
      <c r="C216" s="190"/>
      <c r="D216" s="190"/>
      <c r="E216" s="190"/>
      <c r="F216" s="190"/>
      <c r="G216" s="190"/>
      <c r="H216" s="190"/>
      <c r="I216" s="190"/>
      <c r="J216" s="190"/>
      <c r="K216" s="190"/>
      <c r="L216" s="190"/>
      <c r="M216" s="190"/>
      <c r="N216" s="190"/>
      <c r="O216" s="190"/>
      <c r="P216" s="190"/>
      <c r="Q216" s="503"/>
    </row>
    <row r="217" spans="1:17" ht="14.5" x14ac:dyDescent="0.3">
      <c r="A217" s="404"/>
      <c r="B217" s="35"/>
      <c r="C217" s="190"/>
      <c r="D217" s="190"/>
      <c r="E217" s="190"/>
      <c r="F217" s="190"/>
      <c r="G217" s="190"/>
      <c r="H217" s="190"/>
      <c r="I217" s="190"/>
      <c r="J217" s="190"/>
      <c r="K217" s="190"/>
      <c r="L217" s="190"/>
      <c r="M217" s="190"/>
      <c r="N217" s="190"/>
      <c r="O217" s="190"/>
      <c r="P217" s="190"/>
      <c r="Q217" s="503"/>
    </row>
    <row r="218" spans="1:17" ht="14.5" x14ac:dyDescent="0.3">
      <c r="A218" s="404"/>
      <c r="B218" s="35"/>
      <c r="C218" s="190"/>
      <c r="D218" s="190"/>
      <c r="E218" s="190"/>
      <c r="F218" s="190"/>
      <c r="G218" s="190"/>
      <c r="H218" s="190"/>
      <c r="I218" s="190"/>
      <c r="J218" s="190"/>
      <c r="K218" s="190"/>
      <c r="L218" s="190"/>
      <c r="M218" s="190"/>
      <c r="N218" s="190"/>
      <c r="O218" s="190"/>
      <c r="P218" s="190"/>
      <c r="Q218" s="503"/>
    </row>
    <row r="219" spans="1:17" ht="14.5" x14ac:dyDescent="0.3">
      <c r="A219" s="404"/>
      <c r="B219" s="35"/>
      <c r="C219" s="190"/>
      <c r="D219" s="190"/>
      <c r="E219" s="190"/>
      <c r="F219" s="190"/>
      <c r="G219" s="190"/>
      <c r="H219" s="190"/>
      <c r="I219" s="190"/>
      <c r="J219" s="190"/>
      <c r="K219" s="190"/>
      <c r="L219" s="190"/>
      <c r="M219" s="190"/>
      <c r="N219" s="190"/>
      <c r="O219" s="190"/>
      <c r="P219" s="190"/>
      <c r="Q219" s="503"/>
    </row>
    <row r="220" spans="1:17" ht="61.5" customHeight="1" x14ac:dyDescent="0.3">
      <c r="A220" s="404"/>
      <c r="B220" s="1279"/>
      <c r="C220" s="1280"/>
      <c r="D220" s="1280"/>
      <c r="E220" s="1280"/>
      <c r="F220" s="1280"/>
      <c r="G220" s="1280"/>
      <c r="H220" s="1280"/>
      <c r="I220" s="1280"/>
      <c r="J220" s="1280"/>
      <c r="K220" s="1280"/>
      <c r="L220" s="1280"/>
      <c r="M220" s="1280"/>
      <c r="N220" s="1280"/>
      <c r="O220" s="1280"/>
      <c r="P220" s="1280"/>
      <c r="Q220" s="1281"/>
    </row>
    <row r="221" spans="1:17" ht="14.5" x14ac:dyDescent="0.3">
      <c r="A221" s="404"/>
      <c r="B221" s="35"/>
      <c r="C221" s="190"/>
      <c r="D221" s="190"/>
      <c r="E221" s="190"/>
      <c r="F221" s="190"/>
      <c r="G221" s="190"/>
      <c r="H221" s="190"/>
      <c r="I221" s="190"/>
      <c r="J221" s="190"/>
      <c r="K221" s="190"/>
      <c r="L221" s="190"/>
      <c r="M221" s="190"/>
      <c r="N221" s="190"/>
      <c r="O221" s="190"/>
      <c r="P221" s="190"/>
      <c r="Q221" s="503"/>
    </row>
    <row r="222" spans="1:17" ht="14.5" x14ac:dyDescent="0.3">
      <c r="A222" s="404"/>
      <c r="B222" s="1279"/>
      <c r="C222" s="1280"/>
      <c r="D222" s="1280"/>
      <c r="E222" s="1280"/>
      <c r="F222" s="1280"/>
      <c r="G222" s="1280"/>
      <c r="H222" s="1280"/>
      <c r="I222" s="1280"/>
      <c r="J222" s="1280"/>
      <c r="K222" s="1280"/>
      <c r="L222" s="1280"/>
      <c r="M222" s="1280"/>
      <c r="N222" s="1280"/>
      <c r="O222" s="1280"/>
      <c r="P222" s="1280"/>
      <c r="Q222" s="1281"/>
    </row>
    <row r="223" spans="1:17" ht="14.5" x14ac:dyDescent="0.3">
      <c r="A223" s="404"/>
      <c r="B223" s="35"/>
      <c r="C223" s="190"/>
      <c r="D223" s="190"/>
      <c r="E223" s="190"/>
      <c r="F223" s="190"/>
      <c r="G223" s="190"/>
      <c r="H223" s="190"/>
      <c r="I223" s="190"/>
      <c r="J223" s="190"/>
      <c r="K223" s="190"/>
      <c r="L223" s="190"/>
      <c r="M223" s="190"/>
      <c r="N223" s="190"/>
      <c r="O223" s="190"/>
      <c r="P223" s="190"/>
      <c r="Q223" s="503"/>
    </row>
    <row r="224" spans="1:17" ht="14.5" x14ac:dyDescent="0.3">
      <c r="A224" s="404"/>
      <c r="B224" s="35"/>
      <c r="C224" s="190"/>
      <c r="D224" s="190"/>
      <c r="E224" s="190"/>
      <c r="F224" s="190"/>
      <c r="G224" s="190"/>
      <c r="H224" s="190"/>
      <c r="I224" s="190"/>
      <c r="J224" s="190"/>
      <c r="K224" s="190"/>
      <c r="L224" s="190"/>
      <c r="M224" s="190"/>
      <c r="N224" s="190"/>
      <c r="O224" s="190"/>
      <c r="P224" s="190"/>
      <c r="Q224" s="503"/>
    </row>
    <row r="225" spans="1:17" ht="14.5" x14ac:dyDescent="0.3">
      <c r="A225" s="404"/>
      <c r="B225" s="35"/>
      <c r="C225" s="190"/>
      <c r="D225" s="190"/>
      <c r="E225" s="190"/>
      <c r="F225" s="190"/>
      <c r="G225" s="190"/>
      <c r="H225" s="190"/>
      <c r="I225" s="190"/>
      <c r="J225" s="190"/>
      <c r="K225" s="190"/>
      <c r="L225" s="190"/>
      <c r="M225" s="190"/>
      <c r="N225" s="190"/>
      <c r="O225" s="190"/>
      <c r="P225" s="190"/>
      <c r="Q225" s="503"/>
    </row>
    <row r="226" spans="1:17" ht="14.5" x14ac:dyDescent="0.3">
      <c r="A226" s="404"/>
      <c r="B226" s="35"/>
      <c r="C226" s="190"/>
      <c r="D226" s="190"/>
      <c r="E226" s="190"/>
      <c r="F226" s="190"/>
      <c r="G226" s="190"/>
      <c r="H226" s="190"/>
      <c r="I226" s="190"/>
      <c r="J226" s="190"/>
      <c r="K226" s="190"/>
      <c r="L226" s="190"/>
      <c r="M226" s="190"/>
      <c r="N226" s="190"/>
      <c r="O226" s="190"/>
      <c r="P226" s="190"/>
      <c r="Q226" s="503"/>
    </row>
    <row r="227" spans="1:17" ht="14.5" x14ac:dyDescent="0.3">
      <c r="A227" s="404"/>
      <c r="B227" s="1279"/>
      <c r="C227" s="1280"/>
      <c r="D227" s="1280"/>
      <c r="E227" s="1280"/>
      <c r="F227" s="1280"/>
      <c r="G227" s="1280"/>
      <c r="H227" s="1280"/>
      <c r="I227" s="1280"/>
      <c r="J227" s="1280"/>
      <c r="K227" s="1280"/>
      <c r="L227" s="1280"/>
      <c r="M227" s="1280"/>
      <c r="N227" s="1280"/>
      <c r="O227" s="1280"/>
      <c r="P227" s="1280"/>
      <c r="Q227" s="1281"/>
    </row>
    <row r="228" spans="1:17" ht="14.5" x14ac:dyDescent="0.3">
      <c r="B228" s="35"/>
      <c r="C228" s="190"/>
      <c r="D228" s="190"/>
      <c r="E228" s="190"/>
      <c r="F228" s="190"/>
      <c r="G228" s="190"/>
      <c r="H228" s="190"/>
      <c r="I228" s="190"/>
      <c r="J228" s="190"/>
      <c r="K228" s="190"/>
      <c r="L228" s="190"/>
      <c r="M228" s="190"/>
      <c r="N228" s="190"/>
      <c r="O228" s="190"/>
      <c r="P228" s="190"/>
      <c r="Q228" s="503"/>
    </row>
    <row r="229" spans="1:17" ht="14.5" x14ac:dyDescent="0.3">
      <c r="B229" s="35"/>
      <c r="C229" s="190"/>
      <c r="D229" s="190"/>
      <c r="E229" s="190"/>
      <c r="F229" s="190"/>
      <c r="G229" s="190"/>
      <c r="H229" s="190"/>
      <c r="I229" s="190"/>
      <c r="J229" s="190"/>
      <c r="K229" s="190"/>
      <c r="L229" s="190"/>
      <c r="M229" s="190"/>
      <c r="N229" s="190"/>
      <c r="O229" s="190"/>
      <c r="P229" s="190"/>
      <c r="Q229" s="503"/>
    </row>
    <row r="230" spans="1:17" ht="14.5" x14ac:dyDescent="0.3">
      <c r="B230" s="35"/>
      <c r="C230" s="190"/>
      <c r="D230" s="190"/>
      <c r="E230" s="190"/>
      <c r="F230" s="190"/>
      <c r="G230" s="190"/>
      <c r="H230" s="190"/>
      <c r="I230" s="190"/>
      <c r="J230" s="190"/>
      <c r="K230" s="190"/>
      <c r="L230" s="190"/>
      <c r="M230" s="190"/>
      <c r="N230" s="190"/>
      <c r="O230" s="190"/>
      <c r="P230" s="190"/>
      <c r="Q230" s="503"/>
    </row>
    <row r="231" spans="1:17" ht="14.5" x14ac:dyDescent="0.3">
      <c r="B231" s="35"/>
      <c r="C231" s="190"/>
      <c r="D231" s="190"/>
      <c r="E231" s="190"/>
      <c r="F231" s="190"/>
      <c r="G231" s="190"/>
      <c r="H231" s="190"/>
      <c r="I231" s="190"/>
      <c r="J231" s="190"/>
      <c r="K231" s="190"/>
      <c r="L231" s="190"/>
      <c r="M231" s="190"/>
      <c r="N231" s="190"/>
      <c r="O231" s="190"/>
      <c r="P231" s="190"/>
      <c r="Q231" s="503"/>
    </row>
    <row r="232" spans="1:17" ht="14.5" x14ac:dyDescent="0.3">
      <c r="B232" s="35"/>
      <c r="C232" s="190"/>
      <c r="D232" s="190"/>
      <c r="E232" s="190"/>
      <c r="F232" s="190"/>
      <c r="G232" s="190"/>
      <c r="H232" s="190"/>
      <c r="I232" s="190"/>
      <c r="J232" s="190"/>
      <c r="K232" s="190"/>
      <c r="L232" s="190"/>
      <c r="M232" s="190"/>
      <c r="N232" s="190"/>
      <c r="O232" s="190"/>
      <c r="P232" s="190"/>
      <c r="Q232" s="503"/>
    </row>
    <row r="233" spans="1:17" ht="14.5" x14ac:dyDescent="0.3">
      <c r="B233" s="35"/>
      <c r="C233" s="190"/>
      <c r="D233" s="190"/>
      <c r="E233" s="190"/>
      <c r="F233" s="190"/>
      <c r="G233" s="190"/>
      <c r="H233" s="190"/>
      <c r="I233" s="190"/>
      <c r="J233" s="190"/>
      <c r="K233" s="190"/>
      <c r="L233" s="190"/>
      <c r="M233" s="190"/>
      <c r="N233" s="190"/>
      <c r="O233" s="190"/>
      <c r="P233" s="190"/>
      <c r="Q233" s="503"/>
    </row>
    <row r="234" spans="1:17" ht="15" thickBot="1" x14ac:dyDescent="0.35">
      <c r="B234" s="102"/>
      <c r="C234" s="102"/>
      <c r="D234" s="102"/>
      <c r="E234" s="102"/>
      <c r="F234" s="102"/>
      <c r="G234" s="102"/>
      <c r="H234" s="102"/>
      <c r="I234" s="102"/>
      <c r="J234" s="102"/>
      <c r="K234" s="102"/>
      <c r="L234" s="102"/>
      <c r="M234" s="102"/>
      <c r="N234" s="102"/>
      <c r="O234" s="102"/>
      <c r="P234" s="102"/>
      <c r="Q234" s="133"/>
    </row>
    <row r="235" spans="1:17" ht="14.5" x14ac:dyDescent="0.3">
      <c r="B235" s="2"/>
      <c r="C235" s="2"/>
      <c r="D235" s="2"/>
      <c r="E235" s="2"/>
      <c r="F235" s="2"/>
      <c r="G235" s="2"/>
      <c r="H235" s="2"/>
      <c r="I235" s="2"/>
      <c r="J235" s="2"/>
      <c r="K235" s="2"/>
      <c r="L235" s="2"/>
      <c r="M235" s="2"/>
      <c r="N235" s="2"/>
      <c r="O235" s="2"/>
      <c r="P235" s="2"/>
      <c r="Q235" s="2"/>
    </row>
    <row r="236" spans="1:17" ht="14.5" x14ac:dyDescent="0.3">
      <c r="B236" s="2"/>
      <c r="C236" s="2"/>
      <c r="D236" s="2"/>
      <c r="E236" s="2"/>
      <c r="F236" s="2"/>
      <c r="G236" s="2"/>
      <c r="H236" s="2"/>
      <c r="I236" s="2"/>
      <c r="J236" s="2"/>
      <c r="K236" s="2"/>
      <c r="L236" s="2"/>
      <c r="M236" s="2"/>
      <c r="N236" s="2"/>
      <c r="O236" s="2"/>
      <c r="P236" s="2"/>
      <c r="Q236" s="2"/>
    </row>
    <row r="237" spans="1:17" ht="14.5" x14ac:dyDescent="0.3">
      <c r="B237" s="2"/>
      <c r="C237" s="2"/>
      <c r="D237" s="2"/>
      <c r="E237" s="2"/>
      <c r="F237" s="2"/>
      <c r="G237" s="2"/>
      <c r="H237" s="2"/>
      <c r="I237" s="2"/>
      <c r="J237" s="2"/>
      <c r="K237" s="2"/>
      <c r="L237" s="2"/>
      <c r="M237" s="2"/>
      <c r="N237" s="2"/>
      <c r="O237" s="2"/>
      <c r="P237" s="2"/>
      <c r="Q237" s="2"/>
    </row>
    <row r="238" spans="1:17" ht="14.5" x14ac:dyDescent="0.3">
      <c r="B238" s="2"/>
      <c r="C238" s="2"/>
      <c r="D238" s="2"/>
      <c r="E238" s="2"/>
      <c r="F238" s="2"/>
      <c r="G238" s="2"/>
      <c r="H238" s="2"/>
      <c r="I238" s="2"/>
      <c r="J238" s="2"/>
      <c r="K238" s="2"/>
      <c r="L238" s="2"/>
      <c r="M238" s="2"/>
      <c r="N238" s="2"/>
      <c r="O238" s="2"/>
      <c r="P238" s="2"/>
      <c r="Q238" s="2"/>
    </row>
    <row r="239" spans="1:17" ht="14.5" x14ac:dyDescent="0.3">
      <c r="B239" s="2"/>
      <c r="C239" s="2"/>
      <c r="D239" s="2"/>
      <c r="E239" s="2"/>
      <c r="F239" s="2"/>
      <c r="G239" s="2"/>
      <c r="H239" s="2"/>
      <c r="I239" s="2"/>
      <c r="J239" s="2"/>
      <c r="K239" s="2"/>
      <c r="L239" s="2"/>
      <c r="M239" s="2"/>
      <c r="N239" s="2"/>
      <c r="O239" s="2"/>
      <c r="P239" s="2"/>
      <c r="Q239" s="2"/>
    </row>
    <row r="240" spans="1:17" ht="14.5" x14ac:dyDescent="0.3">
      <c r="B240" s="2"/>
      <c r="C240" s="2"/>
      <c r="D240" s="2"/>
      <c r="E240" s="2"/>
      <c r="F240" s="2"/>
      <c r="G240" s="2"/>
      <c r="H240" s="2"/>
      <c r="I240" s="2"/>
      <c r="J240" s="2"/>
      <c r="K240" s="2"/>
      <c r="L240" s="2"/>
      <c r="M240" s="2"/>
      <c r="N240" s="2"/>
      <c r="O240" s="2"/>
      <c r="P240" s="2"/>
      <c r="Q240" s="2"/>
    </row>
    <row r="241" spans="2:17" ht="14.5" x14ac:dyDescent="0.3">
      <c r="B241" s="2"/>
      <c r="C241" s="2"/>
      <c r="D241" s="2"/>
      <c r="E241" s="2"/>
      <c r="F241" s="2"/>
      <c r="G241" s="2"/>
      <c r="H241" s="2"/>
      <c r="I241" s="2"/>
      <c r="J241" s="2"/>
      <c r="K241" s="2"/>
      <c r="L241" s="2"/>
      <c r="M241" s="2"/>
      <c r="N241" s="2"/>
      <c r="O241" s="2"/>
      <c r="P241" s="2"/>
      <c r="Q241" s="2"/>
    </row>
    <row r="242" spans="2:17" ht="14.5" x14ac:dyDescent="0.3">
      <c r="B242" s="2"/>
      <c r="C242" s="2"/>
      <c r="D242" s="2"/>
      <c r="E242" s="2"/>
      <c r="F242" s="2"/>
      <c r="G242" s="2"/>
      <c r="H242" s="2"/>
      <c r="I242" s="2"/>
      <c r="J242" s="2"/>
      <c r="K242" s="2"/>
      <c r="L242" s="2"/>
      <c r="M242" s="2"/>
      <c r="N242" s="2"/>
      <c r="O242" s="2"/>
      <c r="P242" s="2"/>
      <c r="Q242" s="2"/>
    </row>
    <row r="243" spans="2:17" ht="14.5" x14ac:dyDescent="0.3">
      <c r="B243" s="2"/>
      <c r="C243" s="2"/>
      <c r="D243" s="2"/>
      <c r="E243" s="2"/>
      <c r="F243" s="2"/>
      <c r="G243" s="2"/>
      <c r="H243" s="2"/>
      <c r="I243" s="2"/>
      <c r="J243" s="2"/>
      <c r="K243" s="2"/>
      <c r="L243" s="2"/>
      <c r="M243" s="2"/>
      <c r="N243" s="2"/>
      <c r="O243" s="2"/>
      <c r="P243" s="2"/>
      <c r="Q243" s="2"/>
    </row>
    <row r="244" spans="2:17" ht="14.5" x14ac:dyDescent="0.3">
      <c r="B244" s="2"/>
      <c r="C244" s="2"/>
      <c r="D244" s="2"/>
      <c r="E244" s="2"/>
      <c r="F244" s="2"/>
      <c r="G244" s="2"/>
      <c r="H244" s="2"/>
      <c r="I244" s="2"/>
      <c r="J244" s="2"/>
      <c r="K244" s="2"/>
      <c r="L244" s="2"/>
      <c r="M244" s="2"/>
      <c r="N244" s="2"/>
      <c r="O244" s="2"/>
      <c r="P244" s="2"/>
      <c r="Q244" s="2"/>
    </row>
    <row r="245" spans="2:17" ht="14.5" x14ac:dyDescent="0.3">
      <c r="B245" s="2"/>
      <c r="C245" s="2"/>
      <c r="D245" s="2"/>
      <c r="E245" s="2"/>
      <c r="F245" s="2"/>
      <c r="G245" s="2"/>
      <c r="H245" s="2"/>
      <c r="I245" s="2"/>
      <c r="J245" s="2"/>
      <c r="K245" s="2"/>
      <c r="L245" s="2"/>
      <c r="M245" s="2"/>
      <c r="N245" s="2"/>
      <c r="O245" s="2"/>
      <c r="P245" s="2"/>
      <c r="Q245" s="2"/>
    </row>
    <row r="246" spans="2:17" ht="14.5" x14ac:dyDescent="0.3">
      <c r="B246" s="2"/>
      <c r="C246" s="2"/>
      <c r="D246" s="2"/>
      <c r="E246" s="2"/>
      <c r="F246" s="2"/>
      <c r="G246" s="2"/>
      <c r="H246" s="2"/>
      <c r="I246" s="2"/>
      <c r="J246" s="2"/>
      <c r="K246" s="2"/>
      <c r="L246" s="2"/>
      <c r="M246" s="2"/>
      <c r="N246" s="2"/>
      <c r="O246" s="2"/>
      <c r="P246" s="2"/>
      <c r="Q246" s="2"/>
    </row>
    <row r="247" spans="2:17" ht="14.5" x14ac:dyDescent="0.3">
      <c r="B247" s="2"/>
      <c r="C247" s="2"/>
      <c r="D247" s="2"/>
      <c r="E247" s="2"/>
      <c r="F247" s="2"/>
      <c r="G247" s="2"/>
      <c r="H247" s="2"/>
      <c r="I247" s="2"/>
      <c r="J247" s="2"/>
      <c r="K247" s="2"/>
      <c r="L247" s="2"/>
      <c r="M247" s="2"/>
      <c r="N247" s="2"/>
      <c r="O247" s="2"/>
      <c r="P247" s="2"/>
      <c r="Q247" s="2"/>
    </row>
    <row r="248" spans="2:17" ht="14.5" x14ac:dyDescent="0.3">
      <c r="B248" s="2"/>
      <c r="C248" s="2"/>
      <c r="D248" s="2"/>
      <c r="E248" s="2"/>
      <c r="F248" s="2"/>
      <c r="G248" s="2"/>
      <c r="H248" s="2"/>
      <c r="I248" s="2"/>
      <c r="J248" s="2"/>
      <c r="K248" s="2"/>
      <c r="L248" s="2"/>
      <c r="M248" s="2"/>
      <c r="N248" s="2"/>
      <c r="O248" s="2"/>
      <c r="P248" s="2"/>
      <c r="Q248" s="2"/>
    </row>
    <row r="249" spans="2:17" ht="14.5" x14ac:dyDescent="0.3">
      <c r="B249" s="2"/>
      <c r="C249" s="2"/>
      <c r="D249" s="2"/>
      <c r="E249" s="2"/>
      <c r="F249" s="2"/>
      <c r="G249" s="2"/>
      <c r="H249" s="2"/>
      <c r="I249" s="2"/>
      <c r="J249" s="2"/>
      <c r="K249" s="2"/>
      <c r="L249" s="2"/>
      <c r="M249" s="2"/>
      <c r="N249" s="2"/>
      <c r="O249" s="2"/>
      <c r="P249" s="2"/>
      <c r="Q249" s="2"/>
    </row>
    <row r="250" spans="2:17" ht="14.5" x14ac:dyDescent="0.3">
      <c r="B250" s="2"/>
      <c r="C250" s="2"/>
      <c r="D250" s="2"/>
      <c r="E250" s="2"/>
      <c r="F250" s="2"/>
      <c r="G250" s="2"/>
      <c r="H250" s="2"/>
      <c r="I250" s="2"/>
      <c r="J250" s="2"/>
      <c r="K250" s="2"/>
      <c r="L250" s="2"/>
      <c r="M250" s="2"/>
      <c r="N250" s="2"/>
      <c r="O250" s="2"/>
      <c r="P250" s="2"/>
      <c r="Q250" s="2"/>
    </row>
    <row r="251" spans="2:17" ht="14.5" x14ac:dyDescent="0.3">
      <c r="B251" s="2"/>
      <c r="C251" s="2"/>
      <c r="D251" s="2"/>
      <c r="E251" s="2"/>
      <c r="F251" s="2"/>
      <c r="G251" s="2"/>
      <c r="H251" s="2"/>
      <c r="I251" s="2"/>
      <c r="J251" s="2"/>
      <c r="K251" s="2"/>
      <c r="L251" s="2"/>
      <c r="M251" s="2"/>
      <c r="N251" s="2"/>
      <c r="O251" s="2"/>
      <c r="P251" s="2"/>
      <c r="Q251" s="2"/>
    </row>
    <row r="252" spans="2:17" ht="14.5" x14ac:dyDescent="0.3">
      <c r="B252" s="2"/>
      <c r="C252" s="2"/>
      <c r="D252" s="2"/>
      <c r="E252" s="2"/>
      <c r="F252" s="2"/>
      <c r="G252" s="2"/>
      <c r="H252" s="2"/>
      <c r="I252" s="2"/>
      <c r="J252" s="2"/>
      <c r="K252" s="2"/>
      <c r="L252" s="2"/>
      <c r="M252" s="2"/>
      <c r="N252" s="2"/>
      <c r="O252" s="2"/>
      <c r="P252" s="2"/>
      <c r="Q252" s="2"/>
    </row>
    <row r="253" spans="2:17" ht="14.5" x14ac:dyDescent="0.3">
      <c r="B253" s="2"/>
      <c r="C253" s="2"/>
      <c r="D253" s="2"/>
      <c r="E253" s="2"/>
      <c r="F253" s="2"/>
      <c r="G253" s="2"/>
      <c r="H253" s="2"/>
      <c r="I253" s="2"/>
      <c r="J253" s="2"/>
      <c r="K253" s="2"/>
      <c r="L253" s="2"/>
      <c r="M253" s="2"/>
      <c r="N253" s="2"/>
      <c r="O253" s="2"/>
      <c r="P253" s="2"/>
      <c r="Q253" s="2"/>
    </row>
    <row r="254" spans="2:17" ht="14.5" x14ac:dyDescent="0.3">
      <c r="B254" s="2"/>
      <c r="C254" s="2"/>
      <c r="D254" s="2"/>
      <c r="E254" s="2"/>
      <c r="F254" s="2"/>
      <c r="G254" s="2"/>
      <c r="H254" s="2"/>
      <c r="I254" s="2"/>
      <c r="J254" s="2"/>
      <c r="K254" s="2"/>
      <c r="L254" s="2"/>
      <c r="M254" s="2"/>
      <c r="N254" s="2"/>
      <c r="O254" s="2"/>
      <c r="P254" s="2"/>
      <c r="Q254" s="2"/>
    </row>
    <row r="255" spans="2:17" ht="14.5" x14ac:dyDescent="0.3">
      <c r="B255" s="2"/>
      <c r="C255" s="2"/>
      <c r="D255" s="2"/>
      <c r="E255" s="2"/>
      <c r="F255" s="2"/>
      <c r="G255" s="2"/>
      <c r="H255" s="2"/>
      <c r="I255" s="2"/>
      <c r="J255" s="2"/>
      <c r="K255" s="2"/>
      <c r="L255" s="2"/>
      <c r="M255" s="2"/>
      <c r="N255" s="2"/>
      <c r="O255" s="2"/>
      <c r="P255" s="2"/>
      <c r="Q255" s="2"/>
    </row>
    <row r="256" spans="2:17" ht="14.5" x14ac:dyDescent="0.3">
      <c r="B256" s="2"/>
      <c r="C256" s="2"/>
      <c r="D256" s="2"/>
      <c r="E256" s="2"/>
      <c r="F256" s="2"/>
      <c r="G256" s="2"/>
      <c r="H256" s="2"/>
      <c r="I256" s="2"/>
      <c r="J256" s="2"/>
      <c r="K256" s="2"/>
      <c r="L256" s="2"/>
      <c r="M256" s="2"/>
      <c r="N256" s="2"/>
      <c r="O256" s="2"/>
      <c r="P256" s="2"/>
      <c r="Q256" s="2"/>
    </row>
    <row r="257" spans="2:17" ht="14.5" x14ac:dyDescent="0.3">
      <c r="B257" s="2"/>
      <c r="C257" s="2"/>
      <c r="D257" s="2"/>
      <c r="E257" s="2"/>
      <c r="F257" s="2"/>
      <c r="G257" s="2"/>
      <c r="H257" s="2"/>
      <c r="I257" s="2"/>
      <c r="J257" s="2"/>
      <c r="K257" s="2"/>
      <c r="L257" s="2"/>
      <c r="M257" s="2"/>
      <c r="N257" s="2"/>
      <c r="O257" s="2"/>
      <c r="P257" s="2"/>
      <c r="Q257" s="2"/>
    </row>
    <row r="258" spans="2:17" ht="14.5" x14ac:dyDescent="0.3">
      <c r="B258" s="2"/>
      <c r="C258" s="2"/>
      <c r="D258" s="2"/>
      <c r="E258" s="2"/>
      <c r="F258" s="2"/>
      <c r="G258" s="2"/>
      <c r="H258" s="2"/>
      <c r="I258" s="2"/>
      <c r="J258" s="2"/>
      <c r="K258" s="2"/>
      <c r="L258" s="2"/>
      <c r="M258" s="2"/>
      <c r="N258" s="2"/>
      <c r="O258" s="2"/>
      <c r="P258" s="2"/>
      <c r="Q258" s="2"/>
    </row>
    <row r="259" spans="2:17" ht="14.5" x14ac:dyDescent="0.3">
      <c r="B259" s="2"/>
      <c r="C259" s="2"/>
      <c r="D259" s="2"/>
      <c r="E259" s="2"/>
      <c r="F259" s="2"/>
      <c r="G259" s="2"/>
      <c r="H259" s="2"/>
      <c r="I259" s="2"/>
      <c r="J259" s="2"/>
      <c r="K259" s="2"/>
      <c r="L259" s="2"/>
      <c r="M259" s="2"/>
      <c r="N259" s="2"/>
      <c r="O259" s="2"/>
      <c r="P259" s="2"/>
      <c r="Q259" s="2"/>
    </row>
    <row r="260" spans="2:17" ht="14.5" x14ac:dyDescent="0.3">
      <c r="B260" s="2"/>
      <c r="C260" s="2"/>
      <c r="D260" s="2"/>
      <c r="E260" s="2"/>
      <c r="F260" s="2"/>
      <c r="G260" s="2"/>
      <c r="H260" s="2"/>
      <c r="I260" s="2"/>
      <c r="J260" s="2"/>
      <c r="K260" s="2"/>
      <c r="L260" s="2"/>
      <c r="M260" s="2"/>
      <c r="N260" s="2"/>
      <c r="O260" s="2"/>
      <c r="P260" s="2"/>
      <c r="Q260" s="2"/>
    </row>
    <row r="261" spans="2:17" ht="14.5" x14ac:dyDescent="0.3">
      <c r="B261" s="2"/>
      <c r="C261" s="2"/>
      <c r="D261" s="2"/>
      <c r="E261" s="2"/>
      <c r="F261" s="2"/>
      <c r="G261" s="2"/>
      <c r="H261" s="2"/>
      <c r="I261" s="2"/>
      <c r="J261" s="2"/>
      <c r="K261" s="2"/>
      <c r="L261" s="2"/>
      <c r="M261" s="2"/>
      <c r="N261" s="2"/>
      <c r="O261" s="2"/>
      <c r="P261" s="2"/>
      <c r="Q261" s="2"/>
    </row>
    <row r="262" spans="2:17" ht="14.5" x14ac:dyDescent="0.3">
      <c r="B262" s="2"/>
      <c r="C262" s="2"/>
      <c r="D262" s="2"/>
      <c r="E262" s="2"/>
      <c r="F262" s="2"/>
      <c r="G262" s="2"/>
      <c r="H262" s="2"/>
      <c r="I262" s="2"/>
      <c r="J262" s="2"/>
      <c r="K262" s="2"/>
      <c r="L262" s="2"/>
      <c r="M262" s="2"/>
      <c r="N262" s="2"/>
      <c r="O262" s="2"/>
      <c r="P262" s="2"/>
      <c r="Q262" s="2"/>
    </row>
    <row r="263" spans="2:17" ht="14.5" x14ac:dyDescent="0.3">
      <c r="B263" s="2"/>
      <c r="C263" s="2"/>
      <c r="D263" s="2"/>
      <c r="E263" s="2"/>
      <c r="F263" s="2"/>
      <c r="G263" s="2"/>
      <c r="H263" s="2"/>
      <c r="I263" s="2"/>
      <c r="J263" s="2"/>
      <c r="K263" s="2"/>
      <c r="L263" s="2"/>
      <c r="M263" s="2"/>
      <c r="N263" s="2"/>
      <c r="O263" s="2"/>
      <c r="P263" s="2"/>
      <c r="Q263" s="2"/>
    </row>
    <row r="264" spans="2:17" ht="14.5" x14ac:dyDescent="0.3">
      <c r="B264" s="2"/>
      <c r="C264" s="2"/>
      <c r="D264" s="2"/>
      <c r="E264" s="2"/>
      <c r="F264" s="2"/>
      <c r="G264" s="2"/>
      <c r="H264" s="2"/>
      <c r="I264" s="2"/>
      <c r="J264" s="2"/>
      <c r="K264" s="2"/>
      <c r="L264" s="2"/>
      <c r="M264" s="2"/>
      <c r="N264" s="2"/>
      <c r="O264" s="2"/>
      <c r="P264" s="2"/>
      <c r="Q264" s="2"/>
    </row>
    <row r="265" spans="2:17" ht="14.5" x14ac:dyDescent="0.3">
      <c r="B265" s="2"/>
      <c r="C265" s="2"/>
      <c r="D265" s="2"/>
      <c r="E265" s="2"/>
      <c r="F265" s="2"/>
      <c r="G265" s="2"/>
      <c r="H265" s="2"/>
      <c r="I265" s="2"/>
      <c r="J265" s="2"/>
      <c r="K265" s="2"/>
      <c r="L265" s="2"/>
      <c r="M265" s="2"/>
      <c r="N265" s="2"/>
      <c r="O265" s="2"/>
      <c r="P265" s="2"/>
      <c r="Q265" s="2"/>
    </row>
    <row r="266" spans="2:17" ht="14.5" x14ac:dyDescent="0.3">
      <c r="B266" s="2"/>
      <c r="C266" s="2"/>
      <c r="D266" s="2"/>
      <c r="E266" s="2"/>
      <c r="F266" s="2"/>
      <c r="G266" s="2"/>
      <c r="H266" s="2"/>
      <c r="I266" s="2"/>
      <c r="J266" s="2"/>
      <c r="K266" s="2"/>
      <c r="L266" s="2"/>
      <c r="M266" s="2"/>
      <c r="N266" s="2"/>
      <c r="O266" s="2"/>
      <c r="P266" s="2"/>
      <c r="Q266" s="2"/>
    </row>
    <row r="267" spans="2:17" ht="14.5" x14ac:dyDescent="0.3">
      <c r="B267" s="2"/>
      <c r="C267" s="2"/>
      <c r="D267" s="2"/>
      <c r="E267" s="2"/>
      <c r="F267" s="2"/>
      <c r="G267" s="2"/>
      <c r="H267" s="2"/>
      <c r="I267" s="2"/>
      <c r="J267" s="2"/>
      <c r="K267" s="2"/>
      <c r="L267" s="2"/>
      <c r="M267" s="2"/>
      <c r="N267" s="2"/>
      <c r="O267" s="2"/>
      <c r="P267" s="2"/>
      <c r="Q267" s="2"/>
    </row>
    <row r="268" spans="2:17" ht="14.5" x14ac:dyDescent="0.3">
      <c r="B268" s="2"/>
      <c r="C268" s="2"/>
      <c r="D268" s="2"/>
      <c r="E268" s="2"/>
      <c r="F268" s="2"/>
      <c r="G268" s="2"/>
      <c r="H268" s="2"/>
      <c r="I268" s="2"/>
      <c r="J268" s="2"/>
      <c r="K268" s="2"/>
      <c r="L268" s="2"/>
      <c r="M268" s="2"/>
      <c r="N268" s="2"/>
      <c r="O268" s="2"/>
      <c r="P268" s="2"/>
      <c r="Q268" s="2"/>
    </row>
    <row r="269" spans="2:17" ht="14.5" x14ac:dyDescent="0.3">
      <c r="B269" s="2"/>
      <c r="C269" s="2"/>
      <c r="D269" s="2"/>
      <c r="E269" s="2"/>
      <c r="F269" s="2"/>
      <c r="G269" s="2"/>
      <c r="H269" s="2"/>
      <c r="I269" s="2"/>
      <c r="J269" s="2"/>
      <c r="K269" s="2"/>
      <c r="L269" s="2"/>
      <c r="M269" s="2"/>
      <c r="N269" s="2"/>
      <c r="O269" s="2"/>
      <c r="P269" s="2"/>
      <c r="Q269" s="2"/>
    </row>
    <row r="270" spans="2:17" ht="14.5" x14ac:dyDescent="0.3">
      <c r="B270" s="2"/>
      <c r="C270" s="2"/>
      <c r="D270" s="2"/>
      <c r="E270" s="2"/>
      <c r="F270" s="2"/>
      <c r="G270" s="2"/>
      <c r="H270" s="2"/>
      <c r="I270" s="2"/>
      <c r="J270" s="2"/>
      <c r="K270" s="2"/>
      <c r="L270" s="2"/>
      <c r="M270" s="2"/>
      <c r="N270" s="2"/>
      <c r="O270" s="2"/>
      <c r="P270" s="2"/>
      <c r="Q270" s="2"/>
    </row>
    <row r="271" spans="2:17" ht="14.5" x14ac:dyDescent="0.3">
      <c r="B271" s="2"/>
      <c r="C271" s="2"/>
      <c r="D271" s="2"/>
      <c r="E271" s="2"/>
      <c r="F271" s="2"/>
      <c r="G271" s="2"/>
      <c r="H271" s="2"/>
      <c r="I271" s="2"/>
      <c r="J271" s="2"/>
      <c r="K271" s="2"/>
      <c r="L271" s="2"/>
      <c r="M271" s="2"/>
      <c r="N271" s="2"/>
      <c r="O271" s="2"/>
      <c r="P271" s="2"/>
      <c r="Q271" s="2"/>
    </row>
    <row r="272" spans="2:17" ht="14.5" x14ac:dyDescent="0.3">
      <c r="B272" s="2"/>
      <c r="C272" s="2"/>
      <c r="D272" s="2"/>
      <c r="E272" s="2"/>
      <c r="F272" s="2"/>
      <c r="G272" s="2"/>
      <c r="H272" s="2"/>
      <c r="I272" s="2"/>
      <c r="J272" s="2"/>
      <c r="K272" s="2"/>
      <c r="L272" s="2"/>
      <c r="M272" s="2"/>
      <c r="N272" s="2"/>
      <c r="O272" s="2"/>
      <c r="P272" s="2"/>
      <c r="Q272" s="2"/>
    </row>
    <row r="273" spans="2:17" ht="14.5" x14ac:dyDescent="0.3">
      <c r="B273" s="2"/>
      <c r="C273" s="2"/>
      <c r="D273" s="2"/>
      <c r="E273" s="2"/>
      <c r="F273" s="2"/>
      <c r="G273" s="2"/>
      <c r="H273" s="2"/>
      <c r="I273" s="2"/>
      <c r="J273" s="2"/>
      <c r="K273" s="2"/>
      <c r="L273" s="2"/>
      <c r="M273" s="2"/>
      <c r="N273" s="2"/>
      <c r="O273" s="2"/>
      <c r="P273" s="2"/>
      <c r="Q273" s="2"/>
    </row>
    <row r="274" spans="2:17" ht="14.5" x14ac:dyDescent="0.3">
      <c r="B274" s="2"/>
      <c r="C274" s="2"/>
      <c r="D274" s="2"/>
      <c r="E274" s="2"/>
      <c r="F274" s="2"/>
      <c r="G274" s="2"/>
      <c r="H274" s="2"/>
      <c r="I274" s="2"/>
      <c r="J274" s="2"/>
      <c r="K274" s="2"/>
      <c r="L274" s="2"/>
      <c r="M274" s="2"/>
      <c r="N274" s="2"/>
      <c r="O274" s="2"/>
      <c r="P274" s="2"/>
      <c r="Q274" s="2"/>
    </row>
    <row r="275" spans="2:17" ht="14.5" x14ac:dyDescent="0.3">
      <c r="B275" s="2"/>
      <c r="C275" s="2"/>
      <c r="D275" s="2"/>
      <c r="E275" s="2"/>
      <c r="F275" s="2"/>
      <c r="G275" s="2"/>
      <c r="H275" s="2"/>
      <c r="I275" s="2"/>
      <c r="J275" s="2"/>
      <c r="K275" s="2"/>
      <c r="L275" s="2"/>
      <c r="M275" s="2"/>
      <c r="N275" s="2"/>
      <c r="O275" s="2"/>
      <c r="P275" s="2"/>
      <c r="Q275" s="2"/>
    </row>
    <row r="276" spans="2:17" ht="14.5" x14ac:dyDescent="0.3">
      <c r="B276" s="2"/>
      <c r="C276" s="2"/>
      <c r="D276" s="2"/>
      <c r="E276" s="2"/>
      <c r="F276" s="2"/>
      <c r="G276" s="2"/>
      <c r="H276" s="2"/>
      <c r="I276" s="2"/>
      <c r="J276" s="2"/>
      <c r="K276" s="2"/>
      <c r="L276" s="2"/>
      <c r="M276" s="2"/>
      <c r="N276" s="2"/>
      <c r="O276" s="2"/>
      <c r="P276" s="2"/>
      <c r="Q276" s="2"/>
    </row>
    <row r="277" spans="2:17" ht="14.5" x14ac:dyDescent="0.3">
      <c r="B277" s="2"/>
      <c r="C277" s="2"/>
      <c r="D277" s="2"/>
      <c r="E277" s="2"/>
      <c r="F277" s="2"/>
      <c r="G277" s="2"/>
      <c r="H277" s="2"/>
      <c r="I277" s="2"/>
      <c r="J277" s="2"/>
      <c r="K277" s="2"/>
      <c r="L277" s="2"/>
      <c r="M277" s="2"/>
      <c r="N277" s="2"/>
      <c r="O277" s="2"/>
      <c r="P277" s="2"/>
      <c r="Q277" s="2"/>
    </row>
    <row r="278" spans="2:17" ht="14.5" x14ac:dyDescent="0.3">
      <c r="B278" s="2"/>
      <c r="C278" s="2"/>
      <c r="D278" s="2"/>
      <c r="E278" s="2"/>
      <c r="F278" s="2"/>
      <c r="G278" s="2"/>
      <c r="H278" s="2"/>
      <c r="I278" s="2"/>
      <c r="J278" s="2"/>
      <c r="K278" s="2"/>
      <c r="L278" s="2"/>
      <c r="M278" s="2"/>
      <c r="N278" s="2"/>
      <c r="O278" s="2"/>
      <c r="P278" s="2"/>
      <c r="Q278" s="2"/>
    </row>
    <row r="279" spans="2:17" ht="14.5" x14ac:dyDescent="0.3">
      <c r="B279" s="2"/>
      <c r="C279" s="2"/>
      <c r="D279" s="2"/>
      <c r="E279" s="2"/>
      <c r="F279" s="2"/>
      <c r="G279" s="2"/>
      <c r="H279" s="2"/>
      <c r="I279" s="2"/>
      <c r="J279" s="2"/>
      <c r="K279" s="2"/>
      <c r="L279" s="2"/>
      <c r="M279" s="2"/>
      <c r="N279" s="2"/>
      <c r="O279" s="2"/>
      <c r="P279" s="2"/>
      <c r="Q279" s="2"/>
    </row>
    <row r="280" spans="2:17" ht="14.5" x14ac:dyDescent="0.3">
      <c r="B280" s="2"/>
      <c r="C280" s="2"/>
      <c r="D280" s="2"/>
      <c r="E280" s="2"/>
      <c r="F280" s="2"/>
      <c r="G280" s="2"/>
      <c r="H280" s="2"/>
      <c r="I280" s="2"/>
      <c r="J280" s="2"/>
      <c r="K280" s="2"/>
      <c r="L280" s="2"/>
      <c r="M280" s="2"/>
      <c r="N280" s="2"/>
      <c r="O280" s="2"/>
      <c r="P280" s="2"/>
      <c r="Q280" s="2"/>
    </row>
    <row r="281" spans="2:17" ht="14.5" x14ac:dyDescent="0.3">
      <c r="B281" s="2"/>
      <c r="C281" s="2"/>
      <c r="D281" s="2"/>
      <c r="E281" s="2"/>
      <c r="F281" s="2"/>
      <c r="G281" s="2"/>
      <c r="H281" s="2"/>
      <c r="I281" s="2"/>
      <c r="J281" s="2"/>
      <c r="K281" s="2"/>
      <c r="L281" s="2"/>
      <c r="M281" s="2"/>
      <c r="N281" s="2"/>
      <c r="O281" s="2"/>
      <c r="P281" s="2"/>
      <c r="Q281" s="2"/>
    </row>
    <row r="282" spans="2:17" ht="14.5" x14ac:dyDescent="0.3">
      <c r="B282" s="2"/>
      <c r="C282" s="2"/>
      <c r="D282" s="2"/>
      <c r="E282" s="2"/>
      <c r="F282" s="2"/>
      <c r="G282" s="2"/>
      <c r="H282" s="2"/>
      <c r="I282" s="2"/>
      <c r="J282" s="2"/>
      <c r="K282" s="2"/>
      <c r="L282" s="2"/>
      <c r="M282" s="2"/>
      <c r="N282" s="2"/>
      <c r="O282" s="2"/>
      <c r="P282" s="2"/>
      <c r="Q282" s="2"/>
    </row>
    <row r="283" spans="2:17" ht="14.5" x14ac:dyDescent="0.3">
      <c r="B283" s="2"/>
      <c r="C283" s="2"/>
      <c r="D283" s="2"/>
      <c r="E283" s="2"/>
      <c r="F283" s="2"/>
      <c r="G283" s="2"/>
      <c r="H283" s="2"/>
      <c r="I283" s="2"/>
      <c r="J283" s="2"/>
      <c r="K283" s="2"/>
      <c r="L283" s="2"/>
      <c r="M283" s="2"/>
      <c r="N283" s="2"/>
      <c r="O283" s="2"/>
      <c r="P283" s="2"/>
      <c r="Q283" s="2"/>
    </row>
    <row r="284" spans="2:17" ht="14.5" x14ac:dyDescent="0.3">
      <c r="B284" s="2"/>
      <c r="C284" s="2"/>
      <c r="D284" s="2"/>
      <c r="E284" s="2"/>
      <c r="F284" s="2"/>
      <c r="G284" s="2"/>
      <c r="H284" s="2"/>
      <c r="I284" s="2"/>
      <c r="J284" s="2"/>
      <c r="K284" s="2"/>
      <c r="L284" s="2"/>
      <c r="M284" s="2"/>
      <c r="N284" s="2"/>
      <c r="O284" s="2"/>
      <c r="P284" s="2"/>
      <c r="Q284" s="2"/>
    </row>
    <row r="285" spans="2:17" ht="14.5" x14ac:dyDescent="0.3">
      <c r="B285" s="2"/>
      <c r="C285" s="2"/>
      <c r="D285" s="2"/>
      <c r="E285" s="2"/>
      <c r="F285" s="2"/>
      <c r="G285" s="2"/>
      <c r="H285" s="2"/>
      <c r="I285" s="2"/>
      <c r="J285" s="2"/>
      <c r="K285" s="2"/>
      <c r="L285" s="2"/>
      <c r="M285" s="2"/>
      <c r="N285" s="2"/>
      <c r="O285" s="2"/>
      <c r="P285" s="2"/>
      <c r="Q285" s="2"/>
    </row>
    <row r="286" spans="2:17" ht="14.5" x14ac:dyDescent="0.3">
      <c r="B286" s="2"/>
      <c r="C286" s="2"/>
      <c r="D286" s="2"/>
      <c r="E286" s="2"/>
      <c r="F286" s="2"/>
      <c r="G286" s="2"/>
      <c r="H286" s="2"/>
      <c r="I286" s="2"/>
      <c r="J286" s="2"/>
      <c r="K286" s="2"/>
      <c r="L286" s="2"/>
      <c r="M286" s="2"/>
      <c r="N286" s="2"/>
      <c r="O286" s="2"/>
      <c r="P286" s="2"/>
      <c r="Q286" s="2"/>
    </row>
    <row r="287" spans="2:17" ht="14.5" x14ac:dyDescent="0.3">
      <c r="B287" s="2"/>
      <c r="C287" s="2"/>
      <c r="D287" s="2"/>
      <c r="E287" s="2"/>
      <c r="F287" s="2"/>
      <c r="G287" s="2"/>
      <c r="H287" s="2"/>
      <c r="I287" s="2"/>
      <c r="J287" s="2"/>
      <c r="K287" s="2"/>
      <c r="L287" s="2"/>
      <c r="M287" s="2"/>
      <c r="N287" s="2"/>
      <c r="O287" s="2"/>
      <c r="P287" s="2"/>
      <c r="Q287" s="2"/>
    </row>
    <row r="288" spans="2:17" ht="14.5" x14ac:dyDescent="0.3">
      <c r="B288" s="2"/>
      <c r="C288" s="2"/>
      <c r="D288" s="2"/>
      <c r="E288" s="2"/>
      <c r="F288" s="2"/>
      <c r="G288" s="2"/>
      <c r="H288" s="2"/>
      <c r="I288" s="2"/>
      <c r="J288" s="2"/>
      <c r="K288" s="2"/>
      <c r="L288" s="2"/>
      <c r="M288" s="2"/>
      <c r="N288" s="2"/>
      <c r="O288" s="2"/>
      <c r="P288" s="2"/>
      <c r="Q288" s="2"/>
    </row>
    <row r="289" spans="2:17" ht="14.5" x14ac:dyDescent="0.3">
      <c r="B289" s="2"/>
      <c r="C289" s="2"/>
      <c r="D289" s="2"/>
      <c r="E289" s="2"/>
      <c r="F289" s="2"/>
      <c r="G289" s="2"/>
      <c r="H289" s="2"/>
      <c r="I289" s="2"/>
      <c r="J289" s="2"/>
      <c r="K289" s="2"/>
      <c r="L289" s="2"/>
      <c r="M289" s="2"/>
      <c r="N289" s="2"/>
      <c r="O289" s="2"/>
      <c r="P289" s="2"/>
      <c r="Q289" s="2"/>
    </row>
    <row r="290" spans="2:17" ht="14.5" x14ac:dyDescent="0.3">
      <c r="B290" s="2"/>
      <c r="C290" s="2"/>
      <c r="D290" s="2"/>
      <c r="E290" s="2"/>
      <c r="F290" s="2"/>
      <c r="G290" s="2"/>
      <c r="H290" s="2"/>
      <c r="I290" s="2"/>
      <c r="J290" s="2"/>
      <c r="K290" s="2"/>
      <c r="L290" s="2"/>
      <c r="M290" s="2"/>
      <c r="N290" s="2"/>
      <c r="O290" s="2"/>
      <c r="P290" s="2"/>
      <c r="Q290" s="2"/>
    </row>
    <row r="291" spans="2:17" ht="14.5" x14ac:dyDescent="0.3">
      <c r="B291" s="2"/>
      <c r="C291" s="2"/>
      <c r="D291" s="2"/>
      <c r="E291" s="2"/>
      <c r="F291" s="2"/>
      <c r="G291" s="2"/>
      <c r="H291" s="2"/>
      <c r="I291" s="2"/>
      <c r="J291" s="2"/>
      <c r="K291" s="2"/>
      <c r="L291" s="2"/>
      <c r="M291" s="2"/>
      <c r="N291" s="2"/>
      <c r="O291" s="2"/>
      <c r="P291" s="2"/>
      <c r="Q291" s="2"/>
    </row>
    <row r="292" spans="2:17" ht="14.5" x14ac:dyDescent="0.3">
      <c r="B292" s="2"/>
      <c r="C292" s="2"/>
      <c r="D292" s="2"/>
      <c r="E292" s="2"/>
      <c r="F292" s="2"/>
      <c r="G292" s="2"/>
      <c r="H292" s="2"/>
      <c r="I292" s="2"/>
      <c r="J292" s="2"/>
      <c r="K292" s="2"/>
      <c r="L292" s="2"/>
      <c r="M292" s="2"/>
      <c r="N292" s="2"/>
      <c r="O292" s="2"/>
      <c r="P292" s="2"/>
      <c r="Q292" s="2"/>
    </row>
    <row r="293" spans="2:17" ht="14.5" x14ac:dyDescent="0.3">
      <c r="B293" s="2"/>
      <c r="C293" s="2"/>
      <c r="D293" s="2"/>
      <c r="E293" s="2"/>
      <c r="F293" s="2"/>
      <c r="G293" s="2"/>
      <c r="H293" s="2"/>
      <c r="I293" s="2"/>
      <c r="J293" s="2"/>
      <c r="K293" s="2"/>
      <c r="L293" s="2"/>
      <c r="M293" s="2"/>
      <c r="N293" s="2"/>
      <c r="O293" s="2"/>
      <c r="P293" s="2"/>
      <c r="Q293" s="2"/>
    </row>
    <row r="294" spans="2:17" ht="14.5" x14ac:dyDescent="0.3">
      <c r="B294" s="2"/>
      <c r="C294" s="2"/>
      <c r="D294" s="2"/>
      <c r="E294" s="2"/>
      <c r="F294" s="2"/>
      <c r="G294" s="2"/>
      <c r="H294" s="2"/>
      <c r="I294" s="2"/>
      <c r="J294" s="2"/>
      <c r="K294" s="2"/>
      <c r="L294" s="2"/>
      <c r="M294" s="2"/>
      <c r="N294" s="2"/>
      <c r="O294" s="2"/>
      <c r="P294" s="2"/>
      <c r="Q294" s="2"/>
    </row>
    <row r="295" spans="2:17" ht="14.5" x14ac:dyDescent="0.3">
      <c r="B295" s="2"/>
      <c r="C295" s="2"/>
      <c r="D295" s="2"/>
      <c r="E295" s="2"/>
      <c r="F295" s="2"/>
      <c r="G295" s="2"/>
      <c r="H295" s="2"/>
      <c r="I295" s="2"/>
      <c r="J295" s="2"/>
      <c r="K295" s="2"/>
      <c r="L295" s="2"/>
      <c r="M295" s="2"/>
      <c r="N295" s="2"/>
      <c r="O295" s="2"/>
      <c r="P295" s="2"/>
      <c r="Q295" s="2"/>
    </row>
    <row r="296" spans="2:17" ht="14.5" x14ac:dyDescent="0.3">
      <c r="B296" s="2"/>
      <c r="C296" s="2"/>
      <c r="D296" s="2"/>
      <c r="E296" s="2"/>
      <c r="F296" s="2"/>
      <c r="G296" s="2"/>
      <c r="H296" s="2"/>
      <c r="I296" s="2"/>
      <c r="J296" s="2"/>
      <c r="K296" s="2"/>
      <c r="L296" s="2"/>
      <c r="M296" s="2"/>
      <c r="N296" s="2"/>
      <c r="O296" s="2"/>
      <c r="P296" s="2"/>
      <c r="Q296" s="2"/>
    </row>
    <row r="297" spans="2:17" ht="14.5" x14ac:dyDescent="0.3">
      <c r="B297" s="2"/>
      <c r="C297" s="2"/>
      <c r="D297" s="2"/>
      <c r="E297" s="2"/>
      <c r="F297" s="2"/>
      <c r="G297" s="2"/>
      <c r="H297" s="2"/>
      <c r="I297" s="2"/>
      <c r="J297" s="2"/>
      <c r="K297" s="2"/>
      <c r="L297" s="2"/>
      <c r="M297" s="2"/>
      <c r="N297" s="2"/>
      <c r="O297" s="2"/>
      <c r="P297" s="2"/>
      <c r="Q297" s="2"/>
    </row>
    <row r="298" spans="2:17" ht="14.5" x14ac:dyDescent="0.3">
      <c r="B298" s="2"/>
      <c r="C298" s="2"/>
      <c r="D298" s="2"/>
      <c r="E298" s="2"/>
      <c r="F298" s="2"/>
      <c r="G298" s="2"/>
      <c r="H298" s="2"/>
      <c r="I298" s="2"/>
      <c r="J298" s="2"/>
      <c r="K298" s="2"/>
      <c r="L298" s="2"/>
      <c r="M298" s="2"/>
      <c r="N298" s="2"/>
      <c r="O298" s="2"/>
      <c r="P298" s="2"/>
      <c r="Q298" s="2"/>
    </row>
    <row r="299" spans="2:17" ht="14.5" x14ac:dyDescent="0.3">
      <c r="B299" s="2"/>
      <c r="C299" s="2"/>
      <c r="D299" s="2"/>
      <c r="E299" s="2"/>
      <c r="F299" s="2"/>
      <c r="G299" s="2"/>
      <c r="H299" s="2"/>
      <c r="I299" s="2"/>
      <c r="J299" s="2"/>
      <c r="K299" s="2"/>
      <c r="L299" s="2"/>
      <c r="M299" s="2"/>
      <c r="N299" s="2"/>
      <c r="O299" s="2"/>
      <c r="P299" s="2"/>
      <c r="Q299" s="2"/>
    </row>
    <row r="300" spans="2:17" ht="14.5" x14ac:dyDescent="0.3">
      <c r="B300" s="2"/>
      <c r="C300" s="2"/>
      <c r="D300" s="2"/>
      <c r="E300" s="2"/>
      <c r="F300" s="2"/>
      <c r="G300" s="2"/>
      <c r="H300" s="2"/>
      <c r="I300" s="2"/>
      <c r="J300" s="2"/>
      <c r="K300" s="2"/>
      <c r="L300" s="2"/>
      <c r="M300" s="2"/>
      <c r="N300" s="2"/>
      <c r="O300" s="2"/>
      <c r="P300" s="2"/>
      <c r="Q300" s="2"/>
    </row>
    <row r="301" spans="2:17" ht="14.5" x14ac:dyDescent="0.3">
      <c r="B301" s="2"/>
      <c r="C301" s="2"/>
      <c r="D301" s="2"/>
      <c r="E301" s="2"/>
      <c r="F301" s="2"/>
      <c r="G301" s="2"/>
      <c r="H301" s="2"/>
      <c r="I301" s="2"/>
      <c r="J301" s="2"/>
      <c r="K301" s="2"/>
      <c r="L301" s="2"/>
      <c r="M301" s="2"/>
      <c r="N301" s="2"/>
      <c r="O301" s="2"/>
      <c r="P301" s="2"/>
      <c r="Q301" s="2"/>
    </row>
    <row r="302" spans="2:17" ht="14.5" x14ac:dyDescent="0.3">
      <c r="B302" s="2"/>
      <c r="C302" s="2"/>
      <c r="D302" s="2"/>
      <c r="E302" s="2"/>
      <c r="F302" s="2"/>
      <c r="G302" s="2"/>
      <c r="H302" s="2"/>
      <c r="I302" s="2"/>
      <c r="J302" s="2"/>
      <c r="K302" s="2"/>
      <c r="L302" s="2"/>
      <c r="M302" s="2"/>
      <c r="N302" s="2"/>
      <c r="O302" s="2"/>
      <c r="P302" s="2"/>
      <c r="Q302" s="2"/>
    </row>
    <row r="303" spans="2:17" ht="14.5" x14ac:dyDescent="0.3">
      <c r="B303" s="2"/>
      <c r="C303" s="2"/>
      <c r="D303" s="2"/>
      <c r="E303" s="2"/>
      <c r="F303" s="2"/>
      <c r="G303" s="2"/>
      <c r="H303" s="2"/>
      <c r="I303" s="2"/>
      <c r="J303" s="2"/>
      <c r="K303" s="2"/>
      <c r="L303" s="2"/>
      <c r="M303" s="2"/>
      <c r="N303" s="2"/>
      <c r="O303" s="2"/>
      <c r="P303" s="2"/>
      <c r="Q303" s="2"/>
    </row>
    <row r="304" spans="2:17" ht="14.5" x14ac:dyDescent="0.3">
      <c r="B304" s="2"/>
      <c r="C304" s="2"/>
      <c r="D304" s="2"/>
      <c r="E304" s="2"/>
      <c r="F304" s="2"/>
      <c r="G304" s="2"/>
      <c r="H304" s="2"/>
      <c r="I304" s="2"/>
      <c r="J304" s="2"/>
      <c r="K304" s="2"/>
      <c r="L304" s="2"/>
      <c r="M304" s="2"/>
      <c r="N304" s="2"/>
      <c r="O304" s="2"/>
      <c r="P304" s="2"/>
      <c r="Q304" s="2"/>
    </row>
    <row r="305" spans="2:17" ht="14.5" x14ac:dyDescent="0.3">
      <c r="B305" s="2"/>
      <c r="C305" s="2"/>
      <c r="D305" s="2"/>
      <c r="E305" s="2"/>
      <c r="F305" s="2"/>
      <c r="G305" s="2"/>
      <c r="H305" s="2"/>
      <c r="I305" s="2"/>
      <c r="J305" s="2"/>
      <c r="K305" s="2"/>
      <c r="L305" s="2"/>
      <c r="M305" s="2"/>
      <c r="N305" s="2"/>
      <c r="O305" s="2"/>
      <c r="P305" s="2"/>
      <c r="Q305" s="2"/>
    </row>
    <row r="306" spans="2:17" ht="14.5" x14ac:dyDescent="0.3">
      <c r="B306" s="2"/>
      <c r="C306" s="2"/>
      <c r="D306" s="2"/>
      <c r="E306" s="2"/>
      <c r="F306" s="2"/>
      <c r="G306" s="2"/>
      <c r="H306" s="2"/>
      <c r="I306" s="2"/>
      <c r="J306" s="2"/>
      <c r="K306" s="2"/>
      <c r="L306" s="2"/>
      <c r="M306" s="2"/>
      <c r="N306" s="2"/>
      <c r="O306" s="2"/>
      <c r="P306" s="2"/>
      <c r="Q306" s="2"/>
    </row>
    <row r="307" spans="2:17" ht="14.5" x14ac:dyDescent="0.3">
      <c r="B307" s="2"/>
      <c r="C307" s="2"/>
      <c r="D307" s="2"/>
      <c r="E307" s="2"/>
      <c r="F307" s="2"/>
      <c r="G307" s="2"/>
      <c r="H307" s="2"/>
      <c r="I307" s="2"/>
      <c r="J307" s="2"/>
      <c r="K307" s="2"/>
      <c r="L307" s="2"/>
      <c r="M307" s="2"/>
      <c r="N307" s="2"/>
      <c r="O307" s="2"/>
      <c r="P307" s="2"/>
      <c r="Q307" s="2"/>
    </row>
    <row r="308" spans="2:17" ht="14.5" x14ac:dyDescent="0.3">
      <c r="B308" s="2"/>
      <c r="C308" s="2"/>
      <c r="D308" s="2"/>
      <c r="E308" s="2"/>
      <c r="F308" s="2"/>
      <c r="G308" s="2"/>
      <c r="H308" s="2"/>
      <c r="I308" s="2"/>
      <c r="J308" s="2"/>
      <c r="K308" s="2"/>
      <c r="L308" s="2"/>
      <c r="M308" s="2"/>
      <c r="N308" s="2"/>
      <c r="O308" s="2"/>
      <c r="P308" s="2"/>
      <c r="Q308" s="2"/>
    </row>
    <row r="309" spans="2:17" ht="14.5" x14ac:dyDescent="0.3">
      <c r="B309" s="2"/>
      <c r="C309" s="2"/>
      <c r="D309" s="2"/>
      <c r="E309" s="2"/>
      <c r="F309" s="2"/>
      <c r="G309" s="2"/>
      <c r="H309" s="2"/>
      <c r="I309" s="2"/>
      <c r="J309" s="2"/>
      <c r="K309" s="2"/>
      <c r="L309" s="2"/>
      <c r="M309" s="2"/>
      <c r="N309" s="2"/>
      <c r="O309" s="2"/>
      <c r="P309" s="2"/>
      <c r="Q309" s="2"/>
    </row>
    <row r="310" spans="2:17" ht="14.5" x14ac:dyDescent="0.3">
      <c r="B310" s="2"/>
      <c r="C310" s="2"/>
      <c r="D310" s="2"/>
      <c r="E310" s="2"/>
      <c r="F310" s="2"/>
      <c r="G310" s="2"/>
      <c r="H310" s="2"/>
      <c r="I310" s="2"/>
      <c r="J310" s="2"/>
      <c r="K310" s="2"/>
      <c r="L310" s="2"/>
      <c r="M310" s="2"/>
      <c r="N310" s="2"/>
      <c r="O310" s="2"/>
      <c r="P310" s="2"/>
      <c r="Q310" s="2"/>
    </row>
    <row r="311" spans="2:17" ht="14.5" x14ac:dyDescent="0.3">
      <c r="B311" s="2"/>
      <c r="C311" s="2"/>
      <c r="D311" s="2"/>
      <c r="E311" s="2"/>
      <c r="F311" s="2"/>
      <c r="G311" s="2"/>
      <c r="H311" s="2"/>
      <c r="I311" s="2"/>
      <c r="J311" s="2"/>
      <c r="K311" s="2"/>
      <c r="L311" s="2"/>
      <c r="M311" s="2"/>
      <c r="N311" s="2"/>
      <c r="O311" s="2"/>
      <c r="P311" s="2"/>
      <c r="Q311" s="2"/>
    </row>
    <row r="312" spans="2:17" ht="14.5" x14ac:dyDescent="0.3">
      <c r="B312" s="2"/>
      <c r="C312" s="2"/>
      <c r="D312" s="2"/>
      <c r="E312" s="2"/>
      <c r="F312" s="2"/>
      <c r="G312" s="2"/>
      <c r="H312" s="2"/>
      <c r="I312" s="2"/>
      <c r="J312" s="2"/>
      <c r="K312" s="2"/>
      <c r="L312" s="2"/>
      <c r="M312" s="2"/>
      <c r="N312" s="2"/>
      <c r="O312" s="2"/>
      <c r="P312" s="2"/>
      <c r="Q312" s="2"/>
    </row>
    <row r="313" spans="2:17" ht="14.5" x14ac:dyDescent="0.3">
      <c r="B313" s="2"/>
      <c r="C313" s="2"/>
      <c r="D313" s="2"/>
      <c r="E313" s="2"/>
      <c r="F313" s="2"/>
      <c r="G313" s="2"/>
      <c r="H313" s="2"/>
      <c r="I313" s="2"/>
      <c r="J313" s="2"/>
      <c r="K313" s="2"/>
      <c r="L313" s="2"/>
      <c r="M313" s="2"/>
      <c r="N313" s="2"/>
      <c r="O313" s="2"/>
      <c r="P313" s="2"/>
      <c r="Q313" s="2"/>
    </row>
    <row r="314" spans="2:17" ht="14.5" x14ac:dyDescent="0.3">
      <c r="B314" s="2"/>
      <c r="C314" s="2"/>
      <c r="D314" s="2"/>
      <c r="E314" s="2"/>
      <c r="F314" s="2"/>
      <c r="G314" s="2"/>
      <c r="H314" s="2"/>
      <c r="I314" s="2"/>
      <c r="J314" s="2"/>
      <c r="K314" s="2"/>
      <c r="L314" s="2"/>
      <c r="M314" s="2"/>
      <c r="N314" s="2"/>
      <c r="O314" s="2"/>
      <c r="P314" s="2"/>
      <c r="Q314" s="2"/>
    </row>
    <row r="315" spans="2:17" ht="14.5" x14ac:dyDescent="0.3">
      <c r="B315" s="2"/>
      <c r="C315" s="2"/>
      <c r="D315" s="2"/>
      <c r="E315" s="2"/>
      <c r="F315" s="2"/>
      <c r="G315" s="2"/>
      <c r="H315" s="2"/>
      <c r="I315" s="2"/>
      <c r="J315" s="2"/>
      <c r="K315" s="2"/>
      <c r="L315" s="2"/>
      <c r="M315" s="2"/>
      <c r="N315" s="2"/>
      <c r="O315" s="2"/>
      <c r="P315" s="2"/>
      <c r="Q315" s="2"/>
    </row>
    <row r="316" spans="2:17" ht="14.5" x14ac:dyDescent="0.3">
      <c r="B316" s="2"/>
      <c r="C316" s="2"/>
      <c r="D316" s="2"/>
      <c r="E316" s="2"/>
      <c r="F316" s="2"/>
      <c r="G316" s="2"/>
      <c r="H316" s="2"/>
      <c r="I316" s="2"/>
      <c r="J316" s="2"/>
      <c r="K316" s="2"/>
      <c r="L316" s="2"/>
      <c r="M316" s="2"/>
      <c r="N316" s="2"/>
      <c r="O316" s="2"/>
      <c r="P316" s="2"/>
      <c r="Q316" s="2"/>
    </row>
    <row r="317" spans="2:17" ht="14.5" x14ac:dyDescent="0.3">
      <c r="B317" s="2"/>
      <c r="C317" s="2"/>
      <c r="D317" s="2"/>
      <c r="E317" s="2"/>
      <c r="F317" s="2"/>
      <c r="G317" s="2"/>
      <c r="H317" s="2"/>
      <c r="I317" s="2"/>
      <c r="J317" s="2"/>
      <c r="K317" s="2"/>
      <c r="L317" s="2"/>
      <c r="M317" s="2"/>
      <c r="N317" s="2"/>
      <c r="O317" s="2"/>
      <c r="P317" s="2"/>
      <c r="Q317" s="2"/>
    </row>
    <row r="318" spans="2:17" ht="14.5" x14ac:dyDescent="0.3">
      <c r="B318" s="2"/>
      <c r="C318" s="2"/>
      <c r="D318" s="2"/>
      <c r="E318" s="2"/>
      <c r="F318" s="2"/>
      <c r="G318" s="2"/>
      <c r="H318" s="2"/>
      <c r="I318" s="2"/>
      <c r="J318" s="2"/>
      <c r="K318" s="2"/>
      <c r="L318" s="2"/>
      <c r="M318" s="2"/>
      <c r="N318" s="2"/>
      <c r="O318" s="2"/>
      <c r="P318" s="2"/>
      <c r="Q318" s="2"/>
    </row>
    <row r="319" spans="2:17" ht="14.5" x14ac:dyDescent="0.3">
      <c r="B319" s="2"/>
      <c r="C319" s="2"/>
      <c r="D319" s="2"/>
      <c r="E319" s="2"/>
      <c r="F319" s="2"/>
      <c r="G319" s="2"/>
      <c r="H319" s="2"/>
      <c r="I319" s="2"/>
      <c r="J319" s="2"/>
      <c r="K319" s="2"/>
      <c r="L319" s="2"/>
      <c r="M319" s="2"/>
      <c r="N319" s="2"/>
      <c r="O319" s="2"/>
      <c r="P319" s="2"/>
      <c r="Q319" s="2"/>
    </row>
    <row r="320" spans="2:17" ht="14.5" x14ac:dyDescent="0.3">
      <c r="B320" s="2"/>
      <c r="C320" s="2"/>
      <c r="D320" s="2"/>
      <c r="E320" s="2"/>
      <c r="F320" s="2"/>
      <c r="G320" s="2"/>
      <c r="H320" s="2"/>
      <c r="I320" s="2"/>
      <c r="J320" s="2"/>
      <c r="K320" s="2"/>
      <c r="L320" s="2"/>
      <c r="M320" s="2"/>
      <c r="N320" s="2"/>
      <c r="O320" s="2"/>
      <c r="P320" s="2"/>
      <c r="Q320" s="2"/>
    </row>
    <row r="321" spans="2:17" ht="14.5" x14ac:dyDescent="0.3">
      <c r="B321" s="2"/>
      <c r="C321" s="2"/>
      <c r="D321" s="2"/>
      <c r="E321" s="2"/>
      <c r="F321" s="2"/>
      <c r="G321" s="2"/>
      <c r="H321" s="2"/>
      <c r="I321" s="2"/>
      <c r="J321" s="2"/>
      <c r="K321" s="2"/>
      <c r="L321" s="2"/>
      <c r="M321" s="2"/>
      <c r="N321" s="2"/>
      <c r="O321" s="2"/>
      <c r="P321" s="2"/>
      <c r="Q321" s="2"/>
    </row>
    <row r="322" spans="2:17" ht="14.5" x14ac:dyDescent="0.3">
      <c r="B322" s="2"/>
      <c r="C322" s="2"/>
      <c r="D322" s="2"/>
      <c r="E322" s="2"/>
      <c r="F322" s="2"/>
      <c r="G322" s="2"/>
      <c r="H322" s="2"/>
      <c r="I322" s="2"/>
      <c r="J322" s="2"/>
      <c r="K322" s="2"/>
      <c r="L322" s="2"/>
      <c r="M322" s="2"/>
      <c r="N322" s="2"/>
      <c r="O322" s="2"/>
      <c r="P322" s="2"/>
      <c r="Q322" s="2"/>
    </row>
    <row r="323" spans="2:17" ht="14.5" x14ac:dyDescent="0.3">
      <c r="B323" s="2"/>
      <c r="C323" s="2"/>
      <c r="D323" s="2"/>
      <c r="E323" s="2"/>
      <c r="F323" s="2"/>
      <c r="G323" s="2"/>
      <c r="H323" s="2"/>
      <c r="I323" s="2"/>
      <c r="J323" s="2"/>
      <c r="K323" s="2"/>
      <c r="L323" s="2"/>
      <c r="M323" s="2"/>
      <c r="N323" s="2"/>
      <c r="O323" s="2"/>
      <c r="P323" s="2"/>
      <c r="Q323" s="2"/>
    </row>
    <row r="324" spans="2:17" ht="14.5" x14ac:dyDescent="0.3">
      <c r="B324" s="2"/>
      <c r="C324" s="2"/>
      <c r="D324" s="2"/>
      <c r="E324" s="2"/>
      <c r="F324" s="2"/>
      <c r="G324" s="2"/>
      <c r="H324" s="2"/>
      <c r="I324" s="2"/>
      <c r="J324" s="2"/>
      <c r="K324" s="2"/>
      <c r="L324" s="2"/>
      <c r="M324" s="2"/>
      <c r="N324" s="2"/>
      <c r="O324" s="2"/>
      <c r="P324" s="2"/>
      <c r="Q324" s="2"/>
    </row>
    <row r="325" spans="2:17" ht="14.5" x14ac:dyDescent="0.3">
      <c r="B325" s="2"/>
      <c r="C325" s="2"/>
      <c r="D325" s="2"/>
      <c r="E325" s="2"/>
      <c r="F325" s="2"/>
      <c r="G325" s="2"/>
      <c r="H325" s="2"/>
      <c r="I325" s="2"/>
      <c r="J325" s="2"/>
      <c r="K325" s="2"/>
      <c r="L325" s="2"/>
      <c r="M325" s="2"/>
      <c r="N325" s="2"/>
      <c r="O325" s="2"/>
      <c r="P325" s="2"/>
      <c r="Q325" s="2"/>
    </row>
    <row r="326" spans="2:17" ht="14.5" x14ac:dyDescent="0.3">
      <c r="B326" s="2"/>
      <c r="C326" s="2"/>
      <c r="D326" s="2"/>
      <c r="E326" s="2"/>
      <c r="F326" s="2"/>
      <c r="G326" s="2"/>
      <c r="H326" s="2"/>
      <c r="I326" s="2"/>
      <c r="J326" s="2"/>
      <c r="K326" s="2"/>
      <c r="L326" s="2"/>
      <c r="M326" s="2"/>
      <c r="N326" s="2"/>
      <c r="O326" s="2"/>
      <c r="P326" s="2"/>
      <c r="Q326" s="2"/>
    </row>
    <row r="327" spans="2:17" ht="14.5" x14ac:dyDescent="0.3">
      <c r="B327" s="2"/>
      <c r="C327" s="2"/>
      <c r="D327" s="2"/>
      <c r="E327" s="2"/>
      <c r="F327" s="2"/>
      <c r="G327" s="2"/>
      <c r="H327" s="2"/>
      <c r="I327" s="2"/>
      <c r="J327" s="2"/>
      <c r="K327" s="2"/>
      <c r="L327" s="2"/>
      <c r="M327" s="2"/>
      <c r="N327" s="2"/>
      <c r="O327" s="2"/>
      <c r="P327" s="2"/>
      <c r="Q327" s="2"/>
    </row>
    <row r="328" spans="2:17" ht="14.5" x14ac:dyDescent="0.3">
      <c r="B328" s="2"/>
      <c r="C328" s="2"/>
      <c r="D328" s="2"/>
      <c r="E328" s="2"/>
      <c r="F328" s="2"/>
      <c r="G328" s="2"/>
      <c r="H328" s="2"/>
      <c r="I328" s="2"/>
      <c r="J328" s="2"/>
      <c r="K328" s="2"/>
      <c r="L328" s="2"/>
      <c r="M328" s="2"/>
      <c r="N328" s="2"/>
      <c r="O328" s="2"/>
      <c r="P328" s="2"/>
      <c r="Q328" s="2"/>
    </row>
    <row r="329" spans="2:17" ht="14.5" x14ac:dyDescent="0.3">
      <c r="B329" s="2"/>
      <c r="C329" s="2"/>
      <c r="D329" s="2"/>
      <c r="E329" s="2"/>
      <c r="F329" s="2"/>
      <c r="G329" s="2"/>
      <c r="H329" s="2"/>
      <c r="I329" s="2"/>
      <c r="J329" s="2"/>
      <c r="K329" s="2"/>
      <c r="L329" s="2"/>
      <c r="M329" s="2"/>
      <c r="N329" s="2"/>
      <c r="O329" s="2"/>
      <c r="P329" s="2"/>
      <c r="Q329" s="2"/>
    </row>
    <row r="330" spans="2:17" ht="14.5" x14ac:dyDescent="0.3">
      <c r="B330" s="2"/>
      <c r="C330" s="2"/>
      <c r="D330" s="2"/>
      <c r="E330" s="2"/>
      <c r="F330" s="2"/>
      <c r="G330" s="2"/>
      <c r="H330" s="2"/>
      <c r="I330" s="2"/>
      <c r="J330" s="2"/>
      <c r="K330" s="2"/>
      <c r="L330" s="2"/>
      <c r="M330" s="2"/>
      <c r="N330" s="2"/>
      <c r="O330" s="2"/>
      <c r="P330" s="2"/>
      <c r="Q330" s="2"/>
    </row>
    <row r="331" spans="2:17" ht="14.5" x14ac:dyDescent="0.3">
      <c r="B331" s="2"/>
      <c r="C331" s="2"/>
      <c r="D331" s="2"/>
      <c r="E331" s="2"/>
      <c r="F331" s="2"/>
      <c r="G331" s="2"/>
      <c r="H331" s="2"/>
      <c r="I331" s="2"/>
      <c r="J331" s="2"/>
      <c r="K331" s="2"/>
      <c r="L331" s="2"/>
      <c r="M331" s="2"/>
      <c r="N331" s="2"/>
      <c r="O331" s="2"/>
      <c r="P331" s="2"/>
      <c r="Q331" s="2"/>
    </row>
    <row r="332" spans="2:17" ht="14.5" x14ac:dyDescent="0.3">
      <c r="B332" s="2"/>
      <c r="C332" s="2"/>
      <c r="D332" s="2"/>
      <c r="E332" s="2"/>
      <c r="F332" s="2"/>
      <c r="G332" s="2"/>
      <c r="H332" s="2"/>
      <c r="I332" s="2"/>
      <c r="J332" s="2"/>
      <c r="K332" s="2"/>
      <c r="L332" s="2"/>
      <c r="M332" s="2"/>
      <c r="N332" s="2"/>
      <c r="O332" s="2"/>
      <c r="P332" s="2"/>
      <c r="Q332" s="2"/>
    </row>
    <row r="333" spans="2:17" ht="14.5" x14ac:dyDescent="0.3">
      <c r="B333" s="2"/>
      <c r="C333" s="2"/>
      <c r="D333" s="2"/>
      <c r="E333" s="2"/>
      <c r="F333" s="2"/>
      <c r="G333" s="2"/>
      <c r="H333" s="2"/>
      <c r="I333" s="2"/>
      <c r="J333" s="2"/>
      <c r="K333" s="2"/>
      <c r="L333" s="2"/>
      <c r="M333" s="2"/>
      <c r="N333" s="2"/>
      <c r="O333" s="2"/>
      <c r="P333" s="2"/>
      <c r="Q333" s="2"/>
    </row>
    <row r="334" spans="2:17" ht="14.5" x14ac:dyDescent="0.3">
      <c r="B334" s="2"/>
      <c r="C334" s="2"/>
      <c r="D334" s="2"/>
      <c r="E334" s="2"/>
      <c r="F334" s="2"/>
      <c r="G334" s="2"/>
      <c r="H334" s="2"/>
      <c r="I334" s="2"/>
      <c r="J334" s="2"/>
      <c r="K334" s="2"/>
      <c r="L334" s="2"/>
      <c r="M334" s="2"/>
      <c r="N334" s="2"/>
      <c r="O334" s="2"/>
      <c r="P334" s="2"/>
      <c r="Q334" s="2"/>
    </row>
    <row r="335" spans="2:17" ht="14.5" x14ac:dyDescent="0.3">
      <c r="B335" s="2"/>
      <c r="C335" s="2"/>
      <c r="D335" s="2"/>
      <c r="E335" s="2"/>
      <c r="F335" s="2"/>
      <c r="G335" s="2"/>
      <c r="H335" s="2"/>
      <c r="I335" s="2"/>
      <c r="J335" s="2"/>
      <c r="K335" s="2"/>
      <c r="L335" s="2"/>
      <c r="M335" s="2"/>
      <c r="N335" s="2"/>
      <c r="O335" s="2"/>
      <c r="P335" s="2"/>
      <c r="Q335" s="2"/>
    </row>
    <row r="336" spans="2:17" ht="14.5" x14ac:dyDescent="0.3">
      <c r="B336" s="2"/>
      <c r="C336" s="2"/>
      <c r="D336" s="2"/>
      <c r="E336" s="2"/>
      <c r="F336" s="2"/>
      <c r="G336" s="2"/>
      <c r="H336" s="2"/>
      <c r="I336" s="2"/>
      <c r="J336" s="2"/>
      <c r="K336" s="2"/>
      <c r="L336" s="2"/>
      <c r="M336" s="2"/>
      <c r="N336" s="2"/>
      <c r="O336" s="2"/>
      <c r="P336" s="2"/>
      <c r="Q336" s="2"/>
    </row>
    <row r="337" spans="2:17" ht="14.5" x14ac:dyDescent="0.3">
      <c r="B337" s="2"/>
      <c r="C337" s="2"/>
      <c r="D337" s="2"/>
      <c r="E337" s="2"/>
      <c r="F337" s="2"/>
      <c r="G337" s="2"/>
      <c r="H337" s="2"/>
      <c r="I337" s="2"/>
      <c r="J337" s="2"/>
      <c r="K337" s="2"/>
      <c r="L337" s="2"/>
      <c r="M337" s="2"/>
      <c r="N337" s="2"/>
      <c r="O337" s="2"/>
      <c r="P337" s="2"/>
      <c r="Q337" s="2"/>
    </row>
    <row r="338" spans="2:17" ht="14.5" x14ac:dyDescent="0.3">
      <c r="B338" s="2"/>
      <c r="C338" s="2"/>
      <c r="D338" s="2"/>
      <c r="E338" s="2"/>
      <c r="F338" s="2"/>
      <c r="G338" s="2"/>
      <c r="H338" s="2"/>
      <c r="I338" s="2"/>
      <c r="J338" s="2"/>
      <c r="K338" s="2"/>
      <c r="L338" s="2"/>
      <c r="M338" s="2"/>
      <c r="N338" s="2"/>
      <c r="O338" s="2"/>
      <c r="P338" s="2"/>
      <c r="Q338" s="2"/>
    </row>
    <row r="339" spans="2:17" ht="14.5" x14ac:dyDescent="0.3">
      <c r="B339" s="2"/>
      <c r="C339" s="2"/>
      <c r="D339" s="2"/>
      <c r="E339" s="2"/>
      <c r="F339" s="2"/>
      <c r="G339" s="2"/>
      <c r="H339" s="2"/>
      <c r="I339" s="2"/>
      <c r="J339" s="2"/>
      <c r="K339" s="2"/>
      <c r="L339" s="2"/>
      <c r="M339" s="2"/>
      <c r="N339" s="2"/>
      <c r="O339" s="2"/>
      <c r="P339" s="2"/>
      <c r="Q339" s="2"/>
    </row>
    <row r="340" spans="2:17" ht="14.5" x14ac:dyDescent="0.3">
      <c r="B340" s="2"/>
      <c r="C340" s="2"/>
      <c r="D340" s="2"/>
      <c r="E340" s="2"/>
      <c r="F340" s="2"/>
      <c r="G340" s="2"/>
      <c r="H340" s="2"/>
      <c r="I340" s="2"/>
      <c r="J340" s="2"/>
      <c r="K340" s="2"/>
      <c r="L340" s="2"/>
      <c r="M340" s="2"/>
      <c r="N340" s="2"/>
      <c r="O340" s="2"/>
      <c r="P340" s="2"/>
      <c r="Q340" s="2"/>
    </row>
    <row r="341" spans="2:17" ht="14.5" x14ac:dyDescent="0.3">
      <c r="B341" s="2"/>
      <c r="C341" s="2"/>
      <c r="D341" s="2"/>
      <c r="E341" s="2"/>
      <c r="F341" s="2"/>
      <c r="G341" s="2"/>
      <c r="H341" s="2"/>
      <c r="I341" s="2"/>
      <c r="J341" s="2"/>
      <c r="K341" s="2"/>
      <c r="L341" s="2"/>
      <c r="M341" s="2"/>
      <c r="N341" s="2"/>
      <c r="O341" s="2"/>
      <c r="P341" s="2"/>
      <c r="Q341" s="2"/>
    </row>
    <row r="342" spans="2:17" ht="14.5" x14ac:dyDescent="0.3">
      <c r="B342" s="2"/>
      <c r="C342" s="2"/>
      <c r="D342" s="2"/>
      <c r="E342" s="2"/>
      <c r="F342" s="2"/>
      <c r="G342" s="2"/>
      <c r="H342" s="2"/>
      <c r="I342" s="2"/>
      <c r="J342" s="2"/>
      <c r="K342" s="2"/>
      <c r="L342" s="2"/>
      <c r="M342" s="2"/>
      <c r="N342" s="2"/>
      <c r="O342" s="2"/>
      <c r="P342" s="2"/>
      <c r="Q342" s="2"/>
    </row>
    <row r="343" spans="2:17" ht="14.5" x14ac:dyDescent="0.3">
      <c r="B343" s="2"/>
      <c r="C343" s="2"/>
      <c r="D343" s="2"/>
      <c r="E343" s="2"/>
      <c r="F343" s="2"/>
      <c r="G343" s="2"/>
      <c r="H343" s="2"/>
      <c r="I343" s="2"/>
      <c r="J343" s="2"/>
      <c r="K343" s="2"/>
      <c r="L343" s="2"/>
      <c r="M343" s="2"/>
      <c r="N343" s="2"/>
      <c r="O343" s="2"/>
      <c r="P343" s="2"/>
      <c r="Q343" s="2"/>
    </row>
    <row r="344" spans="2:17" ht="14.5" x14ac:dyDescent="0.3">
      <c r="B344" s="2"/>
      <c r="C344" s="2"/>
      <c r="D344" s="2"/>
      <c r="E344" s="2"/>
      <c r="F344" s="2"/>
      <c r="G344" s="2"/>
      <c r="H344" s="2"/>
      <c r="I344" s="2"/>
      <c r="J344" s="2"/>
      <c r="K344" s="2"/>
      <c r="L344" s="2"/>
      <c r="M344" s="2"/>
      <c r="N344" s="2"/>
      <c r="O344" s="2"/>
      <c r="P344" s="2"/>
      <c r="Q344" s="2"/>
    </row>
    <row r="345" spans="2:17" ht="14.5" x14ac:dyDescent="0.3">
      <c r="B345" s="2"/>
      <c r="C345" s="2"/>
      <c r="D345" s="2"/>
      <c r="E345" s="2"/>
      <c r="F345" s="2"/>
      <c r="G345" s="2"/>
      <c r="H345" s="2"/>
      <c r="I345" s="2"/>
      <c r="J345" s="2"/>
      <c r="K345" s="2"/>
      <c r="L345" s="2"/>
      <c r="M345" s="2"/>
      <c r="N345" s="2"/>
      <c r="O345" s="2"/>
      <c r="P345" s="2"/>
      <c r="Q345" s="2"/>
    </row>
    <row r="346" spans="2:17" ht="14.5" x14ac:dyDescent="0.3">
      <c r="B346" s="2"/>
      <c r="C346" s="2"/>
      <c r="D346" s="2"/>
      <c r="E346" s="2"/>
      <c r="F346" s="2"/>
      <c r="G346" s="2"/>
      <c r="H346" s="2"/>
      <c r="I346" s="2"/>
      <c r="J346" s="2"/>
      <c r="K346" s="2"/>
      <c r="L346" s="2"/>
      <c r="M346" s="2"/>
      <c r="N346" s="2"/>
      <c r="O346" s="2"/>
      <c r="P346" s="2"/>
      <c r="Q346" s="2"/>
    </row>
    <row r="347" spans="2:17" ht="14.5" x14ac:dyDescent="0.3">
      <c r="B347" s="2"/>
      <c r="C347" s="2"/>
      <c r="D347" s="2"/>
      <c r="E347" s="2"/>
      <c r="F347" s="2"/>
      <c r="G347" s="2"/>
      <c r="H347" s="2"/>
      <c r="I347" s="2"/>
      <c r="J347" s="2"/>
      <c r="K347" s="2"/>
      <c r="L347" s="2"/>
      <c r="M347" s="2"/>
      <c r="N347" s="2"/>
      <c r="O347" s="2"/>
      <c r="P347" s="2"/>
      <c r="Q347" s="2"/>
    </row>
    <row r="348" spans="2:17" ht="14.5" x14ac:dyDescent="0.3">
      <c r="B348" s="2"/>
      <c r="C348" s="2"/>
      <c r="D348" s="2"/>
      <c r="E348" s="2"/>
      <c r="F348" s="2"/>
      <c r="G348" s="2"/>
      <c r="H348" s="2"/>
      <c r="I348" s="2"/>
      <c r="J348" s="2"/>
      <c r="K348" s="2"/>
      <c r="L348" s="2"/>
      <c r="M348" s="2"/>
      <c r="N348" s="2"/>
      <c r="O348" s="2"/>
      <c r="P348" s="2"/>
      <c r="Q348" s="2"/>
    </row>
    <row r="349" spans="2:17" ht="14.5" x14ac:dyDescent="0.3">
      <c r="B349" s="2"/>
      <c r="C349" s="2"/>
      <c r="D349" s="2"/>
      <c r="E349" s="2"/>
      <c r="F349" s="2"/>
      <c r="G349" s="2"/>
      <c r="H349" s="2"/>
      <c r="I349" s="2"/>
      <c r="J349" s="2"/>
      <c r="K349" s="2"/>
      <c r="L349" s="2"/>
      <c r="M349" s="2"/>
      <c r="N349" s="2"/>
      <c r="O349" s="2"/>
      <c r="P349" s="2"/>
      <c r="Q349" s="2"/>
    </row>
    <row r="350" spans="2:17" ht="14.5" x14ac:dyDescent="0.3">
      <c r="B350" s="2"/>
      <c r="C350" s="2"/>
      <c r="D350" s="2"/>
      <c r="E350" s="2"/>
      <c r="F350" s="2"/>
      <c r="G350" s="2"/>
      <c r="H350" s="2"/>
      <c r="I350" s="2"/>
      <c r="J350" s="2"/>
      <c r="K350" s="2"/>
      <c r="L350" s="2"/>
      <c r="M350" s="2"/>
      <c r="N350" s="2"/>
      <c r="O350" s="2"/>
      <c r="P350" s="2"/>
      <c r="Q350" s="2"/>
    </row>
    <row r="351" spans="2:17" ht="14.5" x14ac:dyDescent="0.3">
      <c r="B351" s="2"/>
      <c r="C351" s="2"/>
      <c r="D351" s="2"/>
      <c r="E351" s="2"/>
      <c r="F351" s="2"/>
      <c r="G351" s="2"/>
      <c r="H351" s="2"/>
      <c r="I351" s="2"/>
      <c r="J351" s="2"/>
      <c r="K351" s="2"/>
      <c r="L351" s="2"/>
      <c r="M351" s="2"/>
      <c r="N351" s="2"/>
      <c r="O351" s="2"/>
      <c r="P351" s="2"/>
      <c r="Q351" s="2"/>
    </row>
    <row r="352" spans="2:17" ht="14.5" x14ac:dyDescent="0.3">
      <c r="B352" s="2"/>
      <c r="C352" s="2"/>
      <c r="D352" s="2"/>
      <c r="E352" s="2"/>
      <c r="F352" s="2"/>
      <c r="G352" s="2"/>
      <c r="H352" s="2"/>
      <c r="I352" s="2"/>
      <c r="J352" s="2"/>
      <c r="K352" s="2"/>
      <c r="L352" s="2"/>
      <c r="M352" s="2"/>
      <c r="N352" s="2"/>
      <c r="O352" s="2"/>
      <c r="P352" s="2"/>
      <c r="Q352" s="2"/>
    </row>
    <row r="353" spans="2:17" ht="14.5" x14ac:dyDescent="0.3">
      <c r="B353" s="2"/>
      <c r="C353" s="2"/>
      <c r="D353" s="2"/>
      <c r="E353" s="2"/>
      <c r="F353" s="2"/>
      <c r="G353" s="2"/>
      <c r="H353" s="2"/>
      <c r="I353" s="2"/>
      <c r="J353" s="2"/>
      <c r="K353" s="2"/>
      <c r="L353" s="2"/>
      <c r="M353" s="2"/>
      <c r="N353" s="2"/>
      <c r="O353" s="2"/>
      <c r="P353" s="2"/>
      <c r="Q353" s="2"/>
    </row>
    <row r="354" spans="2:17" ht="14.5" x14ac:dyDescent="0.3">
      <c r="B354" s="2"/>
      <c r="C354" s="2"/>
      <c r="D354" s="2"/>
      <c r="E354" s="2"/>
      <c r="F354" s="2"/>
      <c r="G354" s="2"/>
      <c r="H354" s="2"/>
      <c r="I354" s="2"/>
      <c r="J354" s="2"/>
      <c r="K354" s="2"/>
      <c r="L354" s="2"/>
      <c r="M354" s="2"/>
      <c r="N354" s="2"/>
      <c r="O354" s="2"/>
      <c r="P354" s="2"/>
      <c r="Q354" s="2"/>
    </row>
    <row r="355" spans="2:17" ht="14.5" x14ac:dyDescent="0.3">
      <c r="B355" s="2"/>
      <c r="C355" s="2"/>
      <c r="D355" s="2"/>
      <c r="E355" s="2"/>
      <c r="F355" s="2"/>
      <c r="G355" s="2"/>
      <c r="H355" s="2"/>
      <c r="I355" s="2"/>
      <c r="J355" s="2"/>
      <c r="K355" s="2"/>
      <c r="L355" s="2"/>
      <c r="M355" s="2"/>
      <c r="N355" s="2"/>
      <c r="O355" s="2"/>
      <c r="P355" s="2"/>
      <c r="Q355" s="2"/>
    </row>
    <row r="356" spans="2:17" ht="14.5" x14ac:dyDescent="0.3">
      <c r="B356" s="2"/>
      <c r="C356" s="2"/>
      <c r="D356" s="2"/>
      <c r="E356" s="2"/>
      <c r="F356" s="2"/>
      <c r="G356" s="2"/>
      <c r="H356" s="2"/>
      <c r="I356" s="2"/>
      <c r="J356" s="2"/>
      <c r="K356" s="2"/>
      <c r="L356" s="2"/>
      <c r="M356" s="2"/>
      <c r="N356" s="2"/>
      <c r="O356" s="2"/>
      <c r="P356" s="2"/>
      <c r="Q356" s="2"/>
    </row>
    <row r="357" spans="2:17" ht="14.5" x14ac:dyDescent="0.3">
      <c r="B357" s="2"/>
      <c r="C357" s="2"/>
      <c r="D357" s="2"/>
      <c r="E357" s="2"/>
      <c r="F357" s="2"/>
      <c r="G357" s="2"/>
      <c r="H357" s="2"/>
      <c r="I357" s="2"/>
      <c r="J357" s="2"/>
      <c r="K357" s="2"/>
      <c r="L357" s="2"/>
      <c r="M357" s="2"/>
      <c r="N357" s="2"/>
      <c r="O357" s="2"/>
      <c r="P357" s="2"/>
      <c r="Q357" s="2"/>
    </row>
    <row r="358" spans="2:17" ht="14.5" x14ac:dyDescent="0.3">
      <c r="B358" s="2"/>
      <c r="C358" s="2"/>
      <c r="D358" s="2"/>
      <c r="E358" s="2"/>
      <c r="F358" s="2"/>
      <c r="G358" s="2"/>
      <c r="H358" s="2"/>
      <c r="I358" s="2"/>
      <c r="J358" s="2"/>
      <c r="K358" s="2"/>
      <c r="L358" s="2"/>
      <c r="M358" s="2"/>
      <c r="N358" s="2"/>
      <c r="O358" s="2"/>
      <c r="P358" s="2"/>
      <c r="Q358" s="2"/>
    </row>
    <row r="359" spans="2:17" ht="14.5" x14ac:dyDescent="0.3">
      <c r="B359" s="2"/>
      <c r="C359" s="2"/>
      <c r="D359" s="2"/>
      <c r="E359" s="2"/>
      <c r="F359" s="2"/>
      <c r="G359" s="2"/>
      <c r="H359" s="2"/>
      <c r="I359" s="2"/>
      <c r="J359" s="2"/>
      <c r="K359" s="2"/>
      <c r="L359" s="2"/>
      <c r="M359" s="2"/>
      <c r="N359" s="2"/>
      <c r="O359" s="2"/>
      <c r="P359" s="2"/>
      <c r="Q359" s="2"/>
    </row>
    <row r="360" spans="2:17" ht="14.5" x14ac:dyDescent="0.3">
      <c r="B360" s="2"/>
      <c r="C360" s="2"/>
      <c r="D360" s="2"/>
      <c r="E360" s="2"/>
      <c r="F360" s="2"/>
      <c r="G360" s="2"/>
      <c r="H360" s="2"/>
      <c r="I360" s="2"/>
      <c r="J360" s="2"/>
      <c r="K360" s="2"/>
      <c r="L360" s="2"/>
      <c r="M360" s="2"/>
      <c r="N360" s="2"/>
      <c r="O360" s="2"/>
      <c r="P360" s="2"/>
      <c r="Q360" s="2"/>
    </row>
    <row r="361" spans="2:17" ht="14.5" x14ac:dyDescent="0.3">
      <c r="B361" s="2"/>
      <c r="C361" s="2"/>
      <c r="D361" s="2"/>
      <c r="E361" s="2"/>
      <c r="F361" s="2"/>
      <c r="G361" s="2"/>
      <c r="H361" s="2"/>
      <c r="I361" s="2"/>
      <c r="J361" s="2"/>
      <c r="K361" s="2"/>
      <c r="L361" s="2"/>
      <c r="M361" s="2"/>
      <c r="N361" s="2"/>
      <c r="O361" s="2"/>
      <c r="P361" s="2"/>
      <c r="Q361" s="2"/>
    </row>
    <row r="362" spans="2:17" ht="14.5" x14ac:dyDescent="0.3">
      <c r="B362" s="2"/>
      <c r="C362" s="2"/>
      <c r="D362" s="2"/>
      <c r="E362" s="2"/>
      <c r="F362" s="2"/>
      <c r="G362" s="2"/>
      <c r="H362" s="2"/>
      <c r="I362" s="2"/>
      <c r="J362" s="2"/>
      <c r="K362" s="2"/>
      <c r="L362" s="2"/>
      <c r="M362" s="2"/>
      <c r="N362" s="2"/>
      <c r="O362" s="2"/>
      <c r="P362" s="2"/>
      <c r="Q362" s="2"/>
    </row>
    <row r="363" spans="2:17" ht="14.5" x14ac:dyDescent="0.3">
      <c r="B363" s="2"/>
      <c r="C363" s="2"/>
      <c r="D363" s="2"/>
      <c r="E363" s="2"/>
      <c r="F363" s="2"/>
      <c r="G363" s="2"/>
      <c r="H363" s="2"/>
      <c r="I363" s="2"/>
      <c r="J363" s="2"/>
      <c r="K363" s="2"/>
      <c r="L363" s="2"/>
      <c r="M363" s="2"/>
      <c r="N363" s="2"/>
      <c r="O363" s="2"/>
      <c r="P363" s="2"/>
      <c r="Q363" s="2"/>
    </row>
    <row r="364" spans="2:17" ht="14.5" x14ac:dyDescent="0.3">
      <c r="B364" s="2"/>
      <c r="C364" s="2"/>
      <c r="D364" s="2"/>
      <c r="E364" s="2"/>
      <c r="F364" s="2"/>
      <c r="G364" s="2"/>
      <c r="H364" s="2"/>
      <c r="I364" s="2"/>
      <c r="J364" s="2"/>
      <c r="K364" s="2"/>
      <c r="L364" s="2"/>
      <c r="M364" s="2"/>
      <c r="N364" s="2"/>
      <c r="O364" s="2"/>
      <c r="P364" s="2"/>
      <c r="Q364" s="2"/>
    </row>
    <row r="365" spans="2:17" ht="14.5" x14ac:dyDescent="0.3">
      <c r="B365" s="2"/>
      <c r="C365" s="2"/>
      <c r="D365" s="2"/>
      <c r="E365" s="2"/>
      <c r="F365" s="2"/>
      <c r="G365" s="2"/>
      <c r="H365" s="2"/>
      <c r="I365" s="2"/>
      <c r="J365" s="2"/>
      <c r="K365" s="2"/>
      <c r="L365" s="2"/>
      <c r="M365" s="2"/>
      <c r="N365" s="2"/>
      <c r="O365" s="2"/>
      <c r="P365" s="2"/>
      <c r="Q365" s="2"/>
    </row>
    <row r="366" spans="2:17" ht="14.5" x14ac:dyDescent="0.3">
      <c r="B366" s="2"/>
      <c r="C366" s="2"/>
      <c r="D366" s="2"/>
      <c r="E366" s="2"/>
      <c r="F366" s="2"/>
      <c r="G366" s="2"/>
      <c r="H366" s="2"/>
      <c r="I366" s="2"/>
      <c r="J366" s="2"/>
      <c r="K366" s="2"/>
      <c r="L366" s="2"/>
      <c r="M366" s="2"/>
      <c r="N366" s="2"/>
      <c r="O366" s="2"/>
      <c r="P366" s="2"/>
      <c r="Q366" s="2"/>
    </row>
    <row r="367" spans="2:17" ht="14.5" x14ac:dyDescent="0.3">
      <c r="B367" s="2"/>
      <c r="C367" s="2"/>
      <c r="D367" s="2"/>
      <c r="E367" s="2"/>
      <c r="F367" s="2"/>
      <c r="G367" s="2"/>
      <c r="H367" s="2"/>
      <c r="I367" s="2"/>
      <c r="J367" s="2"/>
      <c r="K367" s="2"/>
      <c r="L367" s="2"/>
      <c r="M367" s="2"/>
      <c r="N367" s="2"/>
      <c r="O367" s="2"/>
      <c r="P367" s="2"/>
      <c r="Q367" s="2"/>
    </row>
    <row r="368" spans="2:17" ht="14.5" x14ac:dyDescent="0.3">
      <c r="B368" s="2"/>
      <c r="C368" s="2"/>
      <c r="D368" s="2"/>
      <c r="E368" s="2"/>
      <c r="F368" s="2"/>
      <c r="G368" s="2"/>
      <c r="H368" s="2"/>
      <c r="I368" s="2"/>
      <c r="J368" s="2"/>
      <c r="K368" s="2"/>
      <c r="L368" s="2"/>
      <c r="M368" s="2"/>
      <c r="N368" s="2"/>
      <c r="O368" s="2"/>
      <c r="P368" s="2"/>
      <c r="Q368" s="2"/>
    </row>
    <row r="369" spans="2:17" ht="14.5" x14ac:dyDescent="0.3">
      <c r="B369" s="2"/>
      <c r="C369" s="2"/>
      <c r="D369" s="2"/>
      <c r="E369" s="2"/>
      <c r="F369" s="2"/>
      <c r="G369" s="2"/>
      <c r="H369" s="2"/>
      <c r="I369" s="2"/>
      <c r="J369" s="2"/>
      <c r="K369" s="2"/>
      <c r="L369" s="2"/>
      <c r="M369" s="2"/>
      <c r="N369" s="2"/>
      <c r="O369" s="2"/>
      <c r="P369" s="2"/>
      <c r="Q369" s="2"/>
    </row>
    <row r="370" spans="2:17" ht="14.5" x14ac:dyDescent="0.3">
      <c r="B370" s="2"/>
      <c r="C370" s="2"/>
      <c r="D370" s="2"/>
      <c r="E370" s="2"/>
      <c r="F370" s="2"/>
      <c r="G370" s="2"/>
      <c r="H370" s="2"/>
      <c r="I370" s="2"/>
      <c r="J370" s="2"/>
      <c r="K370" s="2"/>
      <c r="L370" s="2"/>
      <c r="M370" s="2"/>
      <c r="N370" s="2"/>
      <c r="O370" s="2"/>
      <c r="P370" s="2"/>
      <c r="Q370" s="2"/>
    </row>
    <row r="371" spans="2:17" ht="14.5" x14ac:dyDescent="0.3">
      <c r="B371" s="2"/>
      <c r="C371" s="2"/>
      <c r="D371" s="2"/>
      <c r="E371" s="2"/>
      <c r="F371" s="2"/>
      <c r="G371" s="2"/>
      <c r="H371" s="2"/>
      <c r="I371" s="2"/>
      <c r="J371" s="2"/>
      <c r="K371" s="2"/>
      <c r="L371" s="2"/>
      <c r="M371" s="2"/>
      <c r="N371" s="2"/>
      <c r="O371" s="2"/>
      <c r="P371" s="2"/>
      <c r="Q371" s="2"/>
    </row>
    <row r="372" spans="2:17" ht="14.5" x14ac:dyDescent="0.3">
      <c r="B372" s="2"/>
      <c r="C372" s="2"/>
      <c r="D372" s="2"/>
      <c r="E372" s="2"/>
      <c r="F372" s="2"/>
      <c r="G372" s="2"/>
      <c r="H372" s="2"/>
      <c r="I372" s="2"/>
      <c r="J372" s="2"/>
      <c r="K372" s="2"/>
      <c r="L372" s="2"/>
      <c r="M372" s="2"/>
      <c r="N372" s="2"/>
      <c r="O372" s="2"/>
      <c r="P372" s="2"/>
      <c r="Q372" s="2"/>
    </row>
    <row r="373" spans="2:17" ht="14.5" x14ac:dyDescent="0.3">
      <c r="B373" s="2"/>
      <c r="C373" s="2"/>
      <c r="D373" s="2"/>
      <c r="E373" s="2"/>
      <c r="F373" s="2"/>
      <c r="G373" s="2"/>
      <c r="H373" s="2"/>
      <c r="I373" s="2"/>
      <c r="J373" s="2"/>
      <c r="K373" s="2"/>
      <c r="L373" s="2"/>
      <c r="M373" s="2"/>
      <c r="N373" s="2"/>
      <c r="O373" s="2"/>
      <c r="P373" s="2"/>
      <c r="Q373" s="2"/>
    </row>
    <row r="374" spans="2:17" ht="14.5" x14ac:dyDescent="0.3">
      <c r="B374" s="2"/>
      <c r="C374" s="2"/>
      <c r="D374" s="2"/>
      <c r="E374" s="2"/>
      <c r="F374" s="2"/>
      <c r="G374" s="2"/>
      <c r="H374" s="2"/>
      <c r="I374" s="2"/>
      <c r="J374" s="2"/>
      <c r="K374" s="2"/>
      <c r="L374" s="2"/>
      <c r="M374" s="2"/>
      <c r="N374" s="2"/>
      <c r="O374" s="2"/>
      <c r="P374" s="2"/>
      <c r="Q374" s="2"/>
    </row>
    <row r="375" spans="2:17" ht="14.5" x14ac:dyDescent="0.3">
      <c r="B375" s="2"/>
      <c r="C375" s="2"/>
      <c r="D375" s="2"/>
      <c r="E375" s="2"/>
      <c r="F375" s="2"/>
      <c r="G375" s="2"/>
      <c r="H375" s="2"/>
      <c r="I375" s="2"/>
      <c r="J375" s="2"/>
      <c r="K375" s="2"/>
      <c r="L375" s="2"/>
      <c r="M375" s="2"/>
      <c r="N375" s="2"/>
      <c r="O375" s="2"/>
      <c r="P375" s="2"/>
      <c r="Q375" s="2"/>
    </row>
    <row r="376" spans="2:17" ht="14.5" x14ac:dyDescent="0.3">
      <c r="B376" s="2"/>
      <c r="C376" s="2"/>
      <c r="D376" s="2"/>
      <c r="E376" s="2"/>
      <c r="F376" s="2"/>
      <c r="G376" s="2"/>
      <c r="H376" s="2"/>
      <c r="I376" s="2"/>
      <c r="J376" s="2"/>
      <c r="K376" s="2"/>
      <c r="L376" s="2"/>
      <c r="M376" s="2"/>
      <c r="N376" s="2"/>
      <c r="O376" s="2"/>
      <c r="P376" s="2"/>
      <c r="Q376" s="2"/>
    </row>
    <row r="377" spans="2:17" ht="14.5" x14ac:dyDescent="0.3">
      <c r="B377" s="2"/>
      <c r="C377" s="2"/>
      <c r="D377" s="2"/>
      <c r="E377" s="2"/>
      <c r="F377" s="2"/>
      <c r="G377" s="2"/>
      <c r="H377" s="2"/>
      <c r="I377" s="2"/>
      <c r="J377" s="2"/>
      <c r="K377" s="2"/>
      <c r="L377" s="2"/>
      <c r="M377" s="2"/>
      <c r="N377" s="2"/>
      <c r="O377" s="2"/>
      <c r="P377" s="2"/>
      <c r="Q377" s="2"/>
    </row>
    <row r="378" spans="2:17" ht="14.5" x14ac:dyDescent="0.3">
      <c r="B378" s="2"/>
      <c r="C378" s="2"/>
      <c r="D378" s="2"/>
      <c r="E378" s="2"/>
      <c r="F378" s="2"/>
      <c r="G378" s="2"/>
      <c r="H378" s="2"/>
      <c r="I378" s="2"/>
      <c r="J378" s="2"/>
      <c r="K378" s="2"/>
      <c r="L378" s="2"/>
      <c r="M378" s="2"/>
      <c r="N378" s="2"/>
      <c r="O378" s="2"/>
      <c r="P378" s="2"/>
      <c r="Q378" s="2"/>
    </row>
    <row r="379" spans="2:17" ht="14.5" x14ac:dyDescent="0.3">
      <c r="B379" s="2"/>
      <c r="C379" s="2"/>
      <c r="D379" s="2"/>
      <c r="E379" s="2"/>
      <c r="F379" s="2"/>
      <c r="G379" s="2"/>
      <c r="H379" s="2"/>
      <c r="I379" s="2"/>
      <c r="J379" s="2"/>
      <c r="K379" s="2"/>
      <c r="L379" s="2"/>
      <c r="M379" s="2"/>
      <c r="N379" s="2"/>
      <c r="O379" s="2"/>
      <c r="P379" s="2"/>
      <c r="Q379" s="2"/>
    </row>
    <row r="380" spans="2:17" ht="14.5" x14ac:dyDescent="0.3">
      <c r="B380" s="2"/>
      <c r="C380" s="2"/>
      <c r="D380" s="2"/>
      <c r="E380" s="2"/>
      <c r="F380" s="2"/>
      <c r="G380" s="2"/>
      <c r="H380" s="2"/>
      <c r="I380" s="2"/>
      <c r="J380" s="2"/>
      <c r="K380" s="2"/>
      <c r="L380" s="2"/>
      <c r="M380" s="2"/>
      <c r="N380" s="2"/>
      <c r="O380" s="2"/>
      <c r="P380" s="2"/>
      <c r="Q380" s="2"/>
    </row>
    <row r="381" spans="2:17" ht="14.5" x14ac:dyDescent="0.3">
      <c r="B381" s="2"/>
      <c r="C381" s="2"/>
      <c r="D381" s="2"/>
      <c r="E381" s="2"/>
      <c r="F381" s="2"/>
      <c r="G381" s="2"/>
      <c r="H381" s="2"/>
      <c r="I381" s="2"/>
      <c r="J381" s="2"/>
      <c r="K381" s="2"/>
      <c r="L381" s="2"/>
      <c r="M381" s="2"/>
      <c r="N381" s="2"/>
      <c r="O381" s="2"/>
      <c r="P381" s="2"/>
      <c r="Q381" s="2"/>
    </row>
    <row r="382" spans="2:17" ht="14.5" x14ac:dyDescent="0.3">
      <c r="B382" s="2"/>
      <c r="C382" s="2"/>
      <c r="D382" s="2"/>
      <c r="E382" s="2"/>
      <c r="F382" s="2"/>
      <c r="G382" s="2"/>
      <c r="H382" s="2"/>
      <c r="I382" s="2"/>
      <c r="J382" s="2"/>
      <c r="K382" s="2"/>
      <c r="L382" s="2"/>
      <c r="M382" s="2"/>
      <c r="N382" s="2"/>
      <c r="O382" s="2"/>
      <c r="P382" s="2"/>
      <c r="Q382" s="2"/>
    </row>
    <row r="383" spans="2:17" ht="14.5" x14ac:dyDescent="0.3">
      <c r="B383" s="2"/>
      <c r="C383" s="2"/>
      <c r="D383" s="2"/>
      <c r="E383" s="2"/>
      <c r="F383" s="2"/>
      <c r="G383" s="2"/>
      <c r="H383" s="2"/>
      <c r="I383" s="2"/>
      <c r="J383" s="2"/>
      <c r="K383" s="2"/>
      <c r="L383" s="2"/>
      <c r="M383" s="2"/>
      <c r="N383" s="2"/>
      <c r="O383" s="2"/>
      <c r="P383" s="2"/>
      <c r="Q383" s="2"/>
    </row>
    <row r="384" spans="2:17" ht="14.5" x14ac:dyDescent="0.3">
      <c r="B384" s="2"/>
      <c r="C384" s="2"/>
      <c r="D384" s="2"/>
      <c r="E384" s="2"/>
      <c r="F384" s="2"/>
      <c r="G384" s="2"/>
      <c r="H384" s="2"/>
      <c r="I384" s="2"/>
      <c r="J384" s="2"/>
      <c r="K384" s="2"/>
      <c r="L384" s="2"/>
      <c r="M384" s="2"/>
      <c r="N384" s="2"/>
      <c r="O384" s="2"/>
      <c r="P384" s="2"/>
      <c r="Q384" s="2"/>
    </row>
    <row r="385" spans="2:17" ht="14.5" x14ac:dyDescent="0.3">
      <c r="B385" s="2"/>
      <c r="C385" s="2"/>
      <c r="D385" s="2"/>
      <c r="E385" s="2"/>
      <c r="F385" s="2"/>
      <c r="G385" s="2"/>
      <c r="H385" s="2"/>
      <c r="I385" s="2"/>
      <c r="J385" s="2"/>
      <c r="K385" s="2"/>
      <c r="L385" s="2"/>
      <c r="M385" s="2"/>
      <c r="N385" s="2"/>
      <c r="O385" s="2"/>
      <c r="P385" s="2"/>
      <c r="Q385" s="2"/>
    </row>
    <row r="386" spans="2:17" ht="14.5" x14ac:dyDescent="0.3">
      <c r="B386" s="2"/>
      <c r="C386" s="2"/>
      <c r="D386" s="2"/>
      <c r="E386" s="2"/>
      <c r="F386" s="2"/>
      <c r="G386" s="2"/>
      <c r="H386" s="2"/>
      <c r="I386" s="2"/>
      <c r="J386" s="2"/>
      <c r="K386" s="2"/>
      <c r="L386" s="2"/>
      <c r="M386" s="2"/>
      <c r="N386" s="2"/>
      <c r="O386" s="2"/>
      <c r="P386" s="2"/>
      <c r="Q386" s="2"/>
    </row>
    <row r="387" spans="2:17" ht="14.5" x14ac:dyDescent="0.3">
      <c r="B387" s="2"/>
      <c r="C387" s="2"/>
      <c r="D387" s="2"/>
      <c r="E387" s="2"/>
      <c r="F387" s="2"/>
      <c r="G387" s="2"/>
      <c r="H387" s="2"/>
      <c r="I387" s="2"/>
      <c r="J387" s="2"/>
      <c r="K387" s="2"/>
      <c r="L387" s="2"/>
      <c r="M387" s="2"/>
      <c r="N387" s="2"/>
      <c r="O387" s="2"/>
      <c r="P387" s="2"/>
      <c r="Q387" s="2"/>
    </row>
    <row r="388" spans="2:17" ht="14.5" x14ac:dyDescent="0.3">
      <c r="B388" s="2"/>
      <c r="C388" s="2"/>
      <c r="D388" s="2"/>
      <c r="E388" s="2"/>
      <c r="F388" s="2"/>
      <c r="G388" s="2"/>
      <c r="H388" s="2"/>
      <c r="I388" s="2"/>
      <c r="J388" s="2"/>
      <c r="K388" s="2"/>
      <c r="L388" s="2"/>
      <c r="M388" s="2"/>
      <c r="N388" s="2"/>
      <c r="O388" s="2"/>
      <c r="P388" s="2"/>
      <c r="Q388" s="2"/>
    </row>
    <row r="389" spans="2:17" ht="14.5" x14ac:dyDescent="0.3">
      <c r="B389" s="2"/>
      <c r="C389" s="2"/>
      <c r="D389" s="2"/>
      <c r="E389" s="2"/>
      <c r="F389" s="2"/>
      <c r="G389" s="2"/>
      <c r="H389" s="2"/>
      <c r="I389" s="2"/>
      <c r="J389" s="2"/>
      <c r="K389" s="2"/>
      <c r="L389" s="2"/>
      <c r="M389" s="2"/>
      <c r="N389" s="2"/>
      <c r="O389" s="2"/>
      <c r="P389" s="2"/>
      <c r="Q389" s="2"/>
    </row>
    <row r="390" spans="2:17" ht="14.5" x14ac:dyDescent="0.3">
      <c r="B390" s="2"/>
      <c r="C390" s="2"/>
      <c r="D390" s="2"/>
      <c r="E390" s="2"/>
      <c r="F390" s="2"/>
      <c r="G390" s="2"/>
      <c r="H390" s="2"/>
      <c r="I390" s="2"/>
      <c r="J390" s="2"/>
      <c r="K390" s="2"/>
      <c r="L390" s="2"/>
      <c r="M390" s="2"/>
      <c r="N390" s="2"/>
      <c r="O390" s="2"/>
      <c r="P390" s="2"/>
      <c r="Q390" s="2"/>
    </row>
    <row r="391" spans="2:17" ht="14.5" x14ac:dyDescent="0.3">
      <c r="B391" s="2"/>
      <c r="C391" s="2"/>
      <c r="D391" s="2"/>
      <c r="E391" s="2"/>
      <c r="F391" s="2"/>
      <c r="G391" s="2"/>
      <c r="H391" s="2"/>
      <c r="I391" s="2"/>
      <c r="J391" s="2"/>
      <c r="K391" s="2"/>
      <c r="L391" s="2"/>
      <c r="M391" s="2"/>
      <c r="N391" s="2"/>
      <c r="O391" s="2"/>
      <c r="P391" s="2"/>
      <c r="Q391" s="2"/>
    </row>
    <row r="392" spans="2:17" ht="14.5" x14ac:dyDescent="0.3">
      <c r="B392" s="2"/>
      <c r="C392" s="2"/>
      <c r="D392" s="2"/>
      <c r="E392" s="2"/>
      <c r="F392" s="2"/>
      <c r="G392" s="2"/>
      <c r="H392" s="2"/>
      <c r="I392" s="2"/>
      <c r="J392" s="2"/>
      <c r="K392" s="2"/>
      <c r="L392" s="2"/>
      <c r="M392" s="2"/>
      <c r="N392" s="2"/>
      <c r="O392" s="2"/>
      <c r="P392" s="2"/>
      <c r="Q392" s="2"/>
    </row>
    <row r="393" spans="2:17" ht="14.5" x14ac:dyDescent="0.3">
      <c r="B393" s="2"/>
      <c r="C393" s="2"/>
      <c r="D393" s="2"/>
      <c r="E393" s="2"/>
      <c r="F393" s="2"/>
      <c r="G393" s="2"/>
      <c r="H393" s="2"/>
      <c r="I393" s="2"/>
      <c r="J393" s="2"/>
      <c r="K393" s="2"/>
      <c r="L393" s="2"/>
      <c r="M393" s="2"/>
      <c r="N393" s="2"/>
      <c r="O393" s="2"/>
      <c r="P393" s="2"/>
      <c r="Q393" s="2"/>
    </row>
    <row r="394" spans="2:17" ht="14.5" x14ac:dyDescent="0.3">
      <c r="B394" s="2"/>
      <c r="C394" s="2"/>
      <c r="D394" s="2"/>
      <c r="E394" s="2"/>
      <c r="F394" s="2"/>
      <c r="G394" s="2"/>
      <c r="H394" s="2"/>
      <c r="I394" s="2"/>
      <c r="J394" s="2"/>
      <c r="K394" s="2"/>
      <c r="L394" s="2"/>
      <c r="M394" s="2"/>
      <c r="N394" s="2"/>
      <c r="O394" s="2"/>
      <c r="P394" s="2"/>
      <c r="Q394" s="2"/>
    </row>
    <row r="395" spans="2:17" ht="14.5" x14ac:dyDescent="0.3">
      <c r="B395" s="2"/>
      <c r="C395" s="2"/>
      <c r="D395" s="2"/>
      <c r="E395" s="2"/>
      <c r="F395" s="2"/>
      <c r="G395" s="2"/>
      <c r="H395" s="2"/>
      <c r="I395" s="2"/>
      <c r="J395" s="2"/>
      <c r="K395" s="2"/>
      <c r="L395" s="2"/>
      <c r="M395" s="2"/>
      <c r="N395" s="2"/>
      <c r="O395" s="2"/>
      <c r="P395" s="2"/>
      <c r="Q395" s="2"/>
    </row>
    <row r="396" spans="2:17" ht="14.5" x14ac:dyDescent="0.3">
      <c r="B396" s="2"/>
      <c r="C396" s="2"/>
      <c r="D396" s="2"/>
      <c r="E396" s="2"/>
      <c r="F396" s="2"/>
      <c r="G396" s="2"/>
      <c r="H396" s="2"/>
      <c r="I396" s="2"/>
      <c r="J396" s="2"/>
      <c r="K396" s="2"/>
      <c r="L396" s="2"/>
      <c r="M396" s="2"/>
      <c r="N396" s="2"/>
      <c r="O396" s="2"/>
      <c r="P396" s="2"/>
      <c r="Q396" s="2"/>
    </row>
    <row r="397" spans="2:17" ht="14.5" x14ac:dyDescent="0.3">
      <c r="B397" s="2"/>
      <c r="C397" s="2"/>
      <c r="D397" s="2"/>
      <c r="E397" s="2"/>
      <c r="F397" s="2"/>
      <c r="G397" s="2"/>
      <c r="H397" s="2"/>
      <c r="I397" s="2"/>
      <c r="J397" s="2"/>
      <c r="K397" s="2"/>
      <c r="L397" s="2"/>
      <c r="M397" s="2"/>
      <c r="N397" s="2"/>
      <c r="O397" s="2"/>
      <c r="P397" s="2"/>
      <c r="Q397" s="2"/>
    </row>
    <row r="398" spans="2:17" ht="14.5" x14ac:dyDescent="0.3">
      <c r="B398" s="2"/>
      <c r="C398" s="2"/>
      <c r="D398" s="2"/>
      <c r="E398" s="2"/>
      <c r="F398" s="2"/>
      <c r="G398" s="2"/>
      <c r="H398" s="2"/>
      <c r="I398" s="2"/>
      <c r="J398" s="2"/>
      <c r="K398" s="2"/>
      <c r="L398" s="2"/>
      <c r="M398" s="2"/>
      <c r="N398" s="2"/>
      <c r="O398" s="2"/>
      <c r="P398" s="2"/>
      <c r="Q398" s="2"/>
    </row>
    <row r="399" spans="2:17" ht="14.5" x14ac:dyDescent="0.3">
      <c r="B399" s="2"/>
      <c r="C399" s="2"/>
      <c r="D399" s="2"/>
      <c r="E399" s="2"/>
      <c r="F399" s="2"/>
      <c r="G399" s="2"/>
      <c r="H399" s="2"/>
      <c r="I399" s="2"/>
      <c r="J399" s="2"/>
      <c r="K399" s="2"/>
      <c r="L399" s="2"/>
      <c r="M399" s="2"/>
      <c r="N399" s="2"/>
      <c r="O399" s="2"/>
      <c r="P399" s="2"/>
      <c r="Q399" s="2"/>
    </row>
    <row r="400" spans="2:17" ht="14.5" x14ac:dyDescent="0.3">
      <c r="B400" s="2"/>
      <c r="C400" s="2"/>
      <c r="D400" s="2"/>
      <c r="E400" s="2"/>
      <c r="F400" s="2"/>
      <c r="G400" s="2"/>
      <c r="H400" s="2"/>
      <c r="I400" s="2"/>
      <c r="J400" s="2"/>
      <c r="K400" s="2"/>
      <c r="L400" s="2"/>
      <c r="M400" s="2"/>
      <c r="N400" s="2"/>
      <c r="O400" s="2"/>
      <c r="P400" s="2"/>
      <c r="Q400" s="2"/>
    </row>
    <row r="401" spans="2:17" ht="14.5" x14ac:dyDescent="0.3">
      <c r="B401" s="2"/>
      <c r="C401" s="2"/>
      <c r="D401" s="2"/>
      <c r="E401" s="2"/>
      <c r="F401" s="2"/>
      <c r="G401" s="2"/>
      <c r="H401" s="2"/>
      <c r="I401" s="2"/>
      <c r="J401" s="2"/>
      <c r="K401" s="2"/>
      <c r="L401" s="2"/>
      <c r="M401" s="2"/>
      <c r="N401" s="2"/>
      <c r="O401" s="2"/>
      <c r="P401" s="2"/>
      <c r="Q401" s="2"/>
    </row>
    <row r="402" spans="2:17" ht="14.5" x14ac:dyDescent="0.3">
      <c r="B402" s="2"/>
      <c r="C402" s="2"/>
      <c r="D402" s="2"/>
      <c r="E402" s="2"/>
      <c r="F402" s="2"/>
      <c r="G402" s="2"/>
      <c r="H402" s="2"/>
      <c r="I402" s="2"/>
      <c r="J402" s="2"/>
      <c r="K402" s="2"/>
      <c r="L402" s="2"/>
      <c r="M402" s="2"/>
      <c r="N402" s="2"/>
      <c r="O402" s="2"/>
      <c r="P402" s="2"/>
      <c r="Q402" s="2"/>
    </row>
    <row r="403" spans="2:17" ht="14.5" x14ac:dyDescent="0.3">
      <c r="B403" s="2"/>
      <c r="C403" s="2"/>
      <c r="D403" s="2"/>
      <c r="E403" s="2"/>
      <c r="F403" s="2"/>
      <c r="G403" s="2"/>
      <c r="H403" s="2"/>
      <c r="I403" s="2"/>
      <c r="J403" s="2"/>
      <c r="K403" s="2"/>
      <c r="L403" s="2"/>
      <c r="M403" s="2"/>
      <c r="N403" s="2"/>
      <c r="O403" s="2"/>
      <c r="P403" s="2"/>
      <c r="Q403" s="2"/>
    </row>
    <row r="404" spans="2:17" ht="14.5" x14ac:dyDescent="0.3">
      <c r="B404" s="2"/>
      <c r="C404" s="2"/>
      <c r="D404" s="2"/>
      <c r="E404" s="2"/>
      <c r="F404" s="2"/>
      <c r="G404" s="2"/>
      <c r="H404" s="2"/>
      <c r="I404" s="2"/>
      <c r="J404" s="2"/>
      <c r="K404" s="2"/>
      <c r="L404" s="2"/>
      <c r="M404" s="2"/>
      <c r="N404" s="2"/>
      <c r="O404" s="2"/>
      <c r="P404" s="2"/>
      <c r="Q404" s="2"/>
    </row>
    <row r="405" spans="2:17" ht="14.5" x14ac:dyDescent="0.3">
      <c r="B405" s="2"/>
      <c r="C405" s="2"/>
      <c r="D405" s="2"/>
      <c r="E405" s="2"/>
      <c r="F405" s="2"/>
      <c r="G405" s="2"/>
      <c r="H405" s="2"/>
      <c r="I405" s="2"/>
      <c r="J405" s="2"/>
      <c r="K405" s="2"/>
      <c r="L405" s="2"/>
      <c r="M405" s="2"/>
      <c r="N405" s="2"/>
      <c r="O405" s="2"/>
      <c r="P405" s="2"/>
      <c r="Q405" s="2"/>
    </row>
    <row r="406" spans="2:17" ht="14.5" x14ac:dyDescent="0.3">
      <c r="B406" s="2"/>
      <c r="C406" s="2"/>
      <c r="D406" s="2"/>
      <c r="E406" s="2"/>
      <c r="F406" s="2"/>
      <c r="G406" s="2"/>
      <c r="H406" s="2"/>
      <c r="I406" s="2"/>
      <c r="J406" s="2"/>
      <c r="K406" s="2"/>
      <c r="L406" s="2"/>
      <c r="M406" s="2"/>
      <c r="N406" s="2"/>
      <c r="O406" s="2"/>
      <c r="P406" s="2"/>
      <c r="Q406" s="2"/>
    </row>
    <row r="407" spans="2:17" ht="14.5" x14ac:dyDescent="0.3">
      <c r="B407" s="2"/>
      <c r="C407" s="2"/>
      <c r="D407" s="2"/>
      <c r="E407" s="2"/>
      <c r="F407" s="2"/>
      <c r="G407" s="2"/>
      <c r="H407" s="2"/>
      <c r="I407" s="2"/>
      <c r="J407" s="2"/>
      <c r="K407" s="2"/>
      <c r="L407" s="2"/>
      <c r="M407" s="2"/>
      <c r="N407" s="2"/>
      <c r="O407" s="2"/>
      <c r="P407" s="2"/>
      <c r="Q407" s="2"/>
    </row>
    <row r="408" spans="2:17" ht="14.5" x14ac:dyDescent="0.3">
      <c r="B408" s="2"/>
      <c r="C408" s="2"/>
      <c r="D408" s="2"/>
      <c r="E408" s="2"/>
      <c r="F408" s="2"/>
      <c r="G408" s="2"/>
      <c r="H408" s="2"/>
      <c r="I408" s="2"/>
      <c r="J408" s="2"/>
      <c r="K408" s="2"/>
      <c r="L408" s="2"/>
      <c r="M408" s="2"/>
      <c r="N408" s="2"/>
      <c r="O408" s="2"/>
      <c r="P408" s="2"/>
      <c r="Q408" s="2"/>
    </row>
    <row r="409" spans="2:17" ht="14.5" x14ac:dyDescent="0.3">
      <c r="B409" s="2"/>
      <c r="C409" s="2"/>
      <c r="D409" s="2"/>
      <c r="E409" s="2"/>
      <c r="F409" s="2"/>
      <c r="G409" s="2"/>
      <c r="H409" s="2"/>
      <c r="I409" s="2"/>
      <c r="J409" s="2"/>
      <c r="K409" s="2"/>
      <c r="L409" s="2"/>
      <c r="M409" s="2"/>
      <c r="N409" s="2"/>
      <c r="O409" s="2"/>
      <c r="P409" s="2"/>
      <c r="Q409" s="2"/>
    </row>
    <row r="410" spans="2:17" ht="14.5" x14ac:dyDescent="0.3">
      <c r="B410" s="2"/>
      <c r="C410" s="2"/>
      <c r="D410" s="2"/>
      <c r="E410" s="2"/>
      <c r="F410" s="2"/>
      <c r="G410" s="2"/>
      <c r="H410" s="2"/>
      <c r="I410" s="2"/>
      <c r="J410" s="2"/>
      <c r="K410" s="2"/>
      <c r="L410" s="2"/>
      <c r="M410" s="2"/>
      <c r="N410" s="2"/>
      <c r="O410" s="2"/>
      <c r="P410" s="2"/>
      <c r="Q410" s="2"/>
    </row>
    <row r="411" spans="2:17" ht="14.5" x14ac:dyDescent="0.3">
      <c r="B411" s="2"/>
      <c r="C411" s="2"/>
      <c r="D411" s="2"/>
      <c r="E411" s="2"/>
      <c r="F411" s="2"/>
      <c r="G411" s="2"/>
      <c r="H411" s="2"/>
      <c r="I411" s="2"/>
      <c r="J411" s="2"/>
      <c r="K411" s="2"/>
      <c r="L411" s="2"/>
      <c r="M411" s="2"/>
      <c r="N411" s="2"/>
      <c r="O411" s="2"/>
      <c r="P411" s="2"/>
      <c r="Q411" s="2"/>
    </row>
    <row r="412" spans="2:17" ht="14.5" x14ac:dyDescent="0.3">
      <c r="B412" s="2"/>
      <c r="C412" s="2"/>
      <c r="D412" s="2"/>
      <c r="E412" s="2"/>
      <c r="F412" s="2"/>
      <c r="G412" s="2"/>
      <c r="H412" s="2"/>
      <c r="I412" s="2"/>
      <c r="J412" s="2"/>
      <c r="K412" s="2"/>
      <c r="L412" s="2"/>
      <c r="M412" s="2"/>
      <c r="N412" s="2"/>
      <c r="O412" s="2"/>
      <c r="P412" s="2"/>
      <c r="Q412" s="2"/>
    </row>
    <row r="413" spans="2:17" ht="14.5" x14ac:dyDescent="0.3">
      <c r="B413" s="2"/>
      <c r="C413" s="2"/>
      <c r="D413" s="2"/>
      <c r="E413" s="2"/>
      <c r="F413" s="2"/>
      <c r="G413" s="2"/>
      <c r="H413" s="2"/>
      <c r="I413" s="2"/>
      <c r="J413" s="2"/>
      <c r="K413" s="2"/>
      <c r="L413" s="2"/>
      <c r="M413" s="2"/>
      <c r="N413" s="2"/>
      <c r="O413" s="2"/>
      <c r="P413" s="2"/>
      <c r="Q413" s="2"/>
    </row>
    <row r="414" spans="2:17" ht="14.5" x14ac:dyDescent="0.3">
      <c r="B414" s="2"/>
      <c r="C414" s="2"/>
      <c r="D414" s="2"/>
      <c r="E414" s="2"/>
      <c r="F414" s="2"/>
      <c r="G414" s="2"/>
      <c r="H414" s="2"/>
      <c r="I414" s="2"/>
      <c r="J414" s="2"/>
      <c r="K414" s="2"/>
      <c r="L414" s="2"/>
      <c r="M414" s="2"/>
      <c r="N414" s="2"/>
      <c r="O414" s="2"/>
      <c r="P414" s="2"/>
      <c r="Q414" s="2"/>
    </row>
    <row r="415" spans="2:17" ht="14.5" x14ac:dyDescent="0.3">
      <c r="B415" s="2"/>
      <c r="C415" s="2"/>
      <c r="D415" s="2"/>
      <c r="E415" s="2"/>
      <c r="F415" s="2"/>
      <c r="G415" s="2"/>
      <c r="H415" s="2"/>
      <c r="I415" s="2"/>
      <c r="J415" s="2"/>
      <c r="K415" s="2"/>
      <c r="L415" s="2"/>
      <c r="M415" s="2"/>
      <c r="N415" s="2"/>
      <c r="O415" s="2"/>
      <c r="P415" s="2"/>
      <c r="Q415" s="2"/>
    </row>
    <row r="416" spans="2:17" ht="14.5" x14ac:dyDescent="0.3">
      <c r="B416" s="2"/>
      <c r="C416" s="2"/>
      <c r="D416" s="2"/>
      <c r="E416" s="2"/>
      <c r="F416" s="2"/>
      <c r="G416" s="2"/>
      <c r="H416" s="2"/>
      <c r="I416" s="2"/>
      <c r="J416" s="2"/>
      <c r="K416" s="2"/>
      <c r="L416" s="2"/>
      <c r="M416" s="2"/>
      <c r="N416" s="2"/>
      <c r="O416" s="2"/>
      <c r="P416" s="2"/>
      <c r="Q416" s="2"/>
    </row>
    <row r="417" spans="2:17" ht="14.5" x14ac:dyDescent="0.3">
      <c r="B417" s="2"/>
      <c r="C417" s="2"/>
      <c r="D417" s="2"/>
      <c r="E417" s="2"/>
      <c r="F417" s="2"/>
      <c r="G417" s="2"/>
      <c r="H417" s="2"/>
      <c r="I417" s="2"/>
      <c r="J417" s="2"/>
      <c r="K417" s="2"/>
      <c r="L417" s="2"/>
      <c r="M417" s="2"/>
      <c r="N417" s="2"/>
      <c r="O417" s="2"/>
      <c r="P417" s="2"/>
      <c r="Q417" s="2"/>
    </row>
    <row r="418" spans="2:17" ht="14.5" x14ac:dyDescent="0.3">
      <c r="B418" s="2"/>
      <c r="C418" s="2"/>
      <c r="D418" s="2"/>
      <c r="E418" s="2"/>
      <c r="F418" s="2"/>
      <c r="G418" s="2"/>
      <c r="H418" s="2"/>
      <c r="I418" s="2"/>
      <c r="J418" s="2"/>
      <c r="K418" s="2"/>
      <c r="L418" s="2"/>
      <c r="M418" s="2"/>
      <c r="N418" s="2"/>
      <c r="O418" s="2"/>
      <c r="P418" s="2"/>
      <c r="Q418" s="2"/>
    </row>
    <row r="419" spans="2:17" ht="14.5" x14ac:dyDescent="0.3">
      <c r="B419" s="2"/>
      <c r="C419" s="2"/>
      <c r="D419" s="2"/>
      <c r="E419" s="2"/>
      <c r="F419" s="2"/>
      <c r="G419" s="2"/>
      <c r="H419" s="2"/>
      <c r="I419" s="2"/>
      <c r="J419" s="2"/>
      <c r="K419" s="2"/>
      <c r="L419" s="2"/>
      <c r="M419" s="2"/>
      <c r="N419" s="2"/>
      <c r="O419" s="2"/>
      <c r="P419" s="2"/>
      <c r="Q419" s="2"/>
    </row>
    <row r="420" spans="2:17" ht="14.5" x14ac:dyDescent="0.3">
      <c r="B420" s="2"/>
      <c r="C420" s="2"/>
      <c r="D420" s="2"/>
      <c r="E420" s="2"/>
      <c r="F420" s="2"/>
      <c r="G420" s="2"/>
      <c r="H420" s="2"/>
      <c r="I420" s="2"/>
      <c r="J420" s="2"/>
      <c r="K420" s="2"/>
      <c r="L420" s="2"/>
      <c r="M420" s="2"/>
      <c r="N420" s="2"/>
      <c r="O420" s="2"/>
      <c r="P420" s="2"/>
      <c r="Q420" s="2"/>
    </row>
    <row r="421" spans="2:17" ht="14.5" x14ac:dyDescent="0.3">
      <c r="B421" s="2"/>
      <c r="C421" s="2"/>
      <c r="D421" s="2"/>
      <c r="E421" s="2"/>
      <c r="F421" s="2"/>
      <c r="G421" s="2"/>
      <c r="H421" s="2"/>
      <c r="I421" s="2"/>
      <c r="J421" s="2"/>
      <c r="K421" s="2"/>
      <c r="L421" s="2"/>
      <c r="M421" s="2"/>
      <c r="N421" s="2"/>
      <c r="O421" s="2"/>
      <c r="P421" s="2"/>
      <c r="Q421" s="2"/>
    </row>
    <row r="422" spans="2:17" ht="14.5" x14ac:dyDescent="0.3">
      <c r="B422" s="2"/>
      <c r="C422" s="2"/>
      <c r="D422" s="2"/>
      <c r="E422" s="2"/>
      <c r="F422" s="2"/>
      <c r="G422" s="2"/>
      <c r="H422" s="2"/>
      <c r="I422" s="2"/>
      <c r="J422" s="2"/>
      <c r="K422" s="2"/>
      <c r="L422" s="2"/>
      <c r="M422" s="2"/>
      <c r="N422" s="2"/>
      <c r="O422" s="2"/>
      <c r="P422" s="2"/>
      <c r="Q422" s="2"/>
    </row>
    <row r="423" spans="2:17" ht="14.5" x14ac:dyDescent="0.3">
      <c r="B423" s="2"/>
      <c r="C423" s="2"/>
      <c r="D423" s="2"/>
      <c r="E423" s="2"/>
      <c r="F423" s="2"/>
      <c r="G423" s="2"/>
      <c r="H423" s="2"/>
      <c r="I423" s="2"/>
      <c r="J423" s="2"/>
      <c r="K423" s="2"/>
      <c r="L423" s="2"/>
      <c r="M423" s="2"/>
      <c r="N423" s="2"/>
      <c r="O423" s="2"/>
      <c r="P423" s="2"/>
      <c r="Q423" s="2"/>
    </row>
    <row r="424" spans="2:17" ht="14.5" x14ac:dyDescent="0.3">
      <c r="B424" s="2"/>
      <c r="C424" s="2"/>
      <c r="D424" s="2"/>
      <c r="E424" s="2"/>
      <c r="F424" s="2"/>
      <c r="G424" s="2"/>
      <c r="H424" s="2"/>
      <c r="I424" s="2"/>
      <c r="J424" s="2"/>
      <c r="K424" s="2"/>
      <c r="L424" s="2"/>
      <c r="M424" s="2"/>
      <c r="N424" s="2"/>
      <c r="O424" s="2"/>
      <c r="P424" s="2"/>
      <c r="Q424" s="2"/>
    </row>
    <row r="425" spans="2:17" ht="14.5" x14ac:dyDescent="0.3">
      <c r="B425" s="2"/>
      <c r="C425" s="2"/>
      <c r="D425" s="2"/>
      <c r="E425" s="2"/>
      <c r="F425" s="2"/>
      <c r="G425" s="2"/>
      <c r="H425" s="2"/>
      <c r="I425" s="2"/>
      <c r="J425" s="2"/>
      <c r="K425" s="2"/>
      <c r="L425" s="2"/>
      <c r="M425" s="2"/>
      <c r="N425" s="2"/>
      <c r="O425" s="2"/>
      <c r="P425" s="2"/>
      <c r="Q425" s="2"/>
    </row>
    <row r="426" spans="2:17" ht="14.5" x14ac:dyDescent="0.3">
      <c r="B426" s="2"/>
      <c r="C426" s="2"/>
      <c r="D426" s="2"/>
      <c r="E426" s="2"/>
      <c r="F426" s="2"/>
      <c r="G426" s="2"/>
      <c r="H426" s="2"/>
      <c r="I426" s="2"/>
      <c r="J426" s="2"/>
      <c r="K426" s="2"/>
      <c r="L426" s="2"/>
      <c r="M426" s="2"/>
      <c r="N426" s="2"/>
      <c r="O426" s="2"/>
      <c r="P426" s="2"/>
      <c r="Q426" s="2"/>
    </row>
    <row r="427" spans="2:17" ht="14.5" x14ac:dyDescent="0.3">
      <c r="B427" s="2"/>
      <c r="C427" s="2"/>
      <c r="D427" s="2"/>
      <c r="E427" s="2"/>
      <c r="F427" s="2"/>
      <c r="G427" s="2"/>
      <c r="H427" s="2"/>
      <c r="I427" s="2"/>
      <c r="J427" s="2"/>
      <c r="K427" s="2"/>
      <c r="L427" s="2"/>
      <c r="M427" s="2"/>
      <c r="N427" s="2"/>
      <c r="O427" s="2"/>
      <c r="P427" s="2"/>
      <c r="Q427" s="2"/>
    </row>
    <row r="428" spans="2:17" ht="14.5" x14ac:dyDescent="0.3">
      <c r="B428" s="2"/>
      <c r="C428" s="2"/>
      <c r="D428" s="2"/>
      <c r="E428" s="2"/>
      <c r="F428" s="2"/>
      <c r="G428" s="2"/>
      <c r="H428" s="2"/>
      <c r="I428" s="2"/>
      <c r="J428" s="2"/>
      <c r="K428" s="2"/>
      <c r="L428" s="2"/>
      <c r="M428" s="2"/>
      <c r="N428" s="2"/>
      <c r="O428" s="2"/>
      <c r="P428" s="2"/>
      <c r="Q428" s="2"/>
    </row>
    <row r="429" spans="2:17" ht="14.5" x14ac:dyDescent="0.3">
      <c r="B429" s="2"/>
      <c r="C429" s="2"/>
      <c r="D429" s="2"/>
      <c r="E429" s="2"/>
      <c r="F429" s="2"/>
      <c r="G429" s="2"/>
      <c r="H429" s="2"/>
      <c r="I429" s="2"/>
      <c r="J429" s="2"/>
      <c r="K429" s="2"/>
      <c r="L429" s="2"/>
      <c r="M429" s="2"/>
      <c r="N429" s="2"/>
      <c r="O429" s="2"/>
      <c r="P429" s="2"/>
      <c r="Q429" s="2"/>
    </row>
    <row r="430" spans="2:17" ht="14.5" x14ac:dyDescent="0.3">
      <c r="B430" s="2"/>
      <c r="C430" s="2"/>
      <c r="D430" s="2"/>
      <c r="E430" s="2"/>
      <c r="F430" s="2"/>
      <c r="G430" s="2"/>
      <c r="H430" s="2"/>
      <c r="I430" s="2"/>
      <c r="J430" s="2"/>
      <c r="K430" s="2"/>
      <c r="L430" s="2"/>
      <c r="M430" s="2"/>
      <c r="N430" s="2"/>
      <c r="O430" s="2"/>
      <c r="P430" s="2"/>
      <c r="Q430" s="2"/>
    </row>
    <row r="431" spans="2:17" ht="14.5" x14ac:dyDescent="0.3">
      <c r="B431" s="2"/>
      <c r="C431" s="2"/>
      <c r="D431" s="2"/>
      <c r="E431" s="2"/>
      <c r="F431" s="2"/>
      <c r="G431" s="2"/>
      <c r="H431" s="2"/>
      <c r="I431" s="2"/>
      <c r="J431" s="2"/>
      <c r="K431" s="2"/>
      <c r="L431" s="2"/>
      <c r="M431" s="2"/>
      <c r="N431" s="2"/>
      <c r="O431" s="2"/>
      <c r="P431" s="2"/>
      <c r="Q431" s="2"/>
    </row>
    <row r="432" spans="2:17" ht="14.5" x14ac:dyDescent="0.3">
      <c r="B432" s="2"/>
      <c r="C432" s="2"/>
      <c r="D432" s="2"/>
      <c r="E432" s="2"/>
      <c r="F432" s="2"/>
      <c r="G432" s="2"/>
      <c r="H432" s="2"/>
      <c r="I432" s="2"/>
      <c r="J432" s="2"/>
      <c r="K432" s="2"/>
      <c r="L432" s="2"/>
      <c r="M432" s="2"/>
      <c r="N432" s="2"/>
      <c r="O432" s="2"/>
      <c r="P432" s="2"/>
      <c r="Q432" s="2"/>
    </row>
    <row r="433" spans="2:17" ht="14.5" x14ac:dyDescent="0.3">
      <c r="B433" s="2"/>
      <c r="C433" s="2"/>
      <c r="D433" s="2"/>
      <c r="E433" s="2"/>
      <c r="F433" s="2"/>
      <c r="G433" s="2"/>
      <c r="H433" s="2"/>
      <c r="I433" s="2"/>
      <c r="J433" s="2"/>
      <c r="K433" s="2"/>
      <c r="L433" s="2"/>
      <c r="M433" s="2"/>
      <c r="N433" s="2"/>
      <c r="O433" s="2"/>
      <c r="P433" s="2"/>
      <c r="Q433" s="2"/>
    </row>
    <row r="434" spans="2:17" ht="14.5" x14ac:dyDescent="0.3">
      <c r="B434" s="2"/>
      <c r="C434" s="2"/>
      <c r="D434" s="2"/>
      <c r="E434" s="2"/>
      <c r="F434" s="2"/>
      <c r="G434" s="2"/>
      <c r="H434" s="2"/>
      <c r="I434" s="2"/>
      <c r="J434" s="2"/>
      <c r="K434" s="2"/>
      <c r="L434" s="2"/>
      <c r="M434" s="2"/>
      <c r="N434" s="2"/>
      <c r="O434" s="2"/>
      <c r="P434" s="2"/>
      <c r="Q434" s="2"/>
    </row>
    <row r="435" spans="2:17" ht="14.5" x14ac:dyDescent="0.3">
      <c r="B435" s="2"/>
      <c r="C435" s="2"/>
      <c r="D435" s="2"/>
      <c r="E435" s="2"/>
      <c r="F435" s="2"/>
      <c r="G435" s="2"/>
      <c r="H435" s="2"/>
      <c r="I435" s="2"/>
      <c r="J435" s="2"/>
      <c r="K435" s="2"/>
      <c r="L435" s="2"/>
      <c r="M435" s="2"/>
      <c r="N435" s="2"/>
      <c r="O435" s="2"/>
      <c r="P435" s="2"/>
      <c r="Q435" s="2"/>
    </row>
    <row r="436" spans="2:17" ht="14.5" x14ac:dyDescent="0.3">
      <c r="B436" s="2"/>
      <c r="C436" s="2"/>
      <c r="D436" s="2"/>
      <c r="E436" s="2"/>
      <c r="F436" s="2"/>
      <c r="G436" s="2"/>
      <c r="H436" s="2"/>
      <c r="I436" s="2"/>
      <c r="J436" s="2"/>
      <c r="K436" s="2"/>
      <c r="L436" s="2"/>
      <c r="M436" s="2"/>
      <c r="N436" s="2"/>
      <c r="O436" s="2"/>
      <c r="P436" s="2"/>
      <c r="Q436" s="2"/>
    </row>
    <row r="437" spans="2:17" ht="14.5" x14ac:dyDescent="0.3">
      <c r="B437" s="2"/>
      <c r="C437" s="2"/>
      <c r="D437" s="2"/>
      <c r="E437" s="2"/>
      <c r="F437" s="2"/>
      <c r="G437" s="2"/>
      <c r="H437" s="2"/>
      <c r="I437" s="2"/>
      <c r="J437" s="2"/>
      <c r="K437" s="2"/>
      <c r="L437" s="2"/>
      <c r="M437" s="2"/>
      <c r="N437" s="2"/>
      <c r="O437" s="2"/>
      <c r="P437" s="2"/>
      <c r="Q437" s="2"/>
    </row>
    <row r="438" spans="2:17" ht="14.5" x14ac:dyDescent="0.3">
      <c r="B438" s="2"/>
      <c r="C438" s="2"/>
      <c r="D438" s="2"/>
      <c r="E438" s="2"/>
      <c r="F438" s="2"/>
      <c r="G438" s="2"/>
      <c r="H438" s="2"/>
      <c r="I438" s="2"/>
      <c r="J438" s="2"/>
      <c r="K438" s="2"/>
      <c r="L438" s="2"/>
      <c r="M438" s="2"/>
      <c r="N438" s="2"/>
      <c r="O438" s="2"/>
      <c r="P438" s="2"/>
      <c r="Q438" s="2"/>
    </row>
    <row r="439" spans="2:17" ht="14.5" x14ac:dyDescent="0.3">
      <c r="B439" s="2"/>
      <c r="C439" s="2"/>
      <c r="D439" s="2"/>
      <c r="E439" s="2"/>
      <c r="F439" s="2"/>
      <c r="G439" s="2"/>
      <c r="H439" s="2"/>
      <c r="I439" s="2"/>
      <c r="J439" s="2"/>
      <c r="K439" s="2"/>
      <c r="L439" s="2"/>
      <c r="M439" s="2"/>
      <c r="N439" s="2"/>
      <c r="O439" s="2"/>
      <c r="P439" s="2"/>
      <c r="Q439" s="2"/>
    </row>
    <row r="440" spans="2:17" ht="14.5" x14ac:dyDescent="0.3">
      <c r="B440" s="2"/>
      <c r="C440" s="2"/>
      <c r="D440" s="2"/>
      <c r="E440" s="2"/>
      <c r="F440" s="2"/>
      <c r="G440" s="2"/>
      <c r="H440" s="2"/>
      <c r="I440" s="2"/>
      <c r="J440" s="2"/>
      <c r="K440" s="2"/>
      <c r="L440" s="2"/>
      <c r="M440" s="2"/>
      <c r="N440" s="2"/>
      <c r="O440" s="2"/>
      <c r="P440" s="2"/>
      <c r="Q440" s="2"/>
    </row>
    <row r="441" spans="2:17" ht="14.5" x14ac:dyDescent="0.3">
      <c r="B441" s="2"/>
      <c r="C441" s="2"/>
      <c r="D441" s="2"/>
      <c r="E441" s="2"/>
      <c r="F441" s="2"/>
      <c r="G441" s="2"/>
      <c r="H441" s="2"/>
      <c r="I441" s="2"/>
      <c r="J441" s="2"/>
      <c r="K441" s="2"/>
      <c r="L441" s="2"/>
      <c r="M441" s="2"/>
      <c r="N441" s="2"/>
      <c r="O441" s="2"/>
      <c r="P441" s="2"/>
      <c r="Q441" s="2"/>
    </row>
    <row r="442" spans="2:17" ht="14.5" x14ac:dyDescent="0.3">
      <c r="B442" s="2"/>
      <c r="C442" s="2"/>
      <c r="D442" s="2"/>
      <c r="E442" s="2"/>
      <c r="F442" s="2"/>
      <c r="G442" s="2"/>
      <c r="H442" s="2"/>
      <c r="I442" s="2"/>
      <c r="J442" s="2"/>
      <c r="K442" s="2"/>
      <c r="L442" s="2"/>
      <c r="M442" s="2"/>
      <c r="N442" s="2"/>
      <c r="O442" s="2"/>
      <c r="P442" s="2"/>
      <c r="Q442" s="2"/>
    </row>
    <row r="443" spans="2:17" ht="14.5" x14ac:dyDescent="0.3">
      <c r="B443" s="2"/>
      <c r="C443" s="2"/>
      <c r="D443" s="2"/>
      <c r="E443" s="2"/>
      <c r="F443" s="2"/>
      <c r="G443" s="2"/>
      <c r="H443" s="2"/>
      <c r="I443" s="2"/>
      <c r="J443" s="2"/>
      <c r="K443" s="2"/>
      <c r="L443" s="2"/>
      <c r="M443" s="2"/>
      <c r="N443" s="2"/>
      <c r="O443" s="2"/>
      <c r="P443" s="2"/>
      <c r="Q443" s="2"/>
    </row>
    <row r="444" spans="2:17" ht="14.5" x14ac:dyDescent="0.3">
      <c r="B444" s="2"/>
      <c r="C444" s="2"/>
      <c r="D444" s="2"/>
      <c r="E444" s="2"/>
      <c r="F444" s="2"/>
      <c r="G444" s="2"/>
      <c r="H444" s="2"/>
      <c r="I444" s="2"/>
      <c r="J444" s="2"/>
      <c r="K444" s="2"/>
      <c r="L444" s="2"/>
      <c r="M444" s="2"/>
      <c r="N444" s="2"/>
      <c r="O444" s="2"/>
      <c r="P444" s="2"/>
      <c r="Q444" s="2"/>
    </row>
    <row r="445" spans="2:17" ht="14.5" x14ac:dyDescent="0.3">
      <c r="B445" s="2"/>
      <c r="C445" s="2"/>
      <c r="D445" s="2"/>
      <c r="E445" s="2"/>
      <c r="F445" s="2"/>
      <c r="G445" s="2"/>
      <c r="H445" s="2"/>
      <c r="I445" s="2"/>
      <c r="J445" s="2"/>
      <c r="K445" s="2"/>
      <c r="L445" s="2"/>
      <c r="M445" s="2"/>
      <c r="N445" s="2"/>
      <c r="O445" s="2"/>
      <c r="P445" s="2"/>
      <c r="Q445" s="2"/>
    </row>
    <row r="446" spans="2:17" ht="14.5" x14ac:dyDescent="0.3">
      <c r="B446" s="2"/>
      <c r="C446" s="2"/>
      <c r="D446" s="2"/>
      <c r="E446" s="2"/>
      <c r="F446" s="2"/>
      <c r="G446" s="2"/>
      <c r="H446" s="2"/>
      <c r="I446" s="2"/>
      <c r="J446" s="2"/>
      <c r="K446" s="2"/>
      <c r="L446" s="2"/>
      <c r="M446" s="2"/>
      <c r="N446" s="2"/>
      <c r="O446" s="2"/>
      <c r="P446" s="2"/>
      <c r="Q446" s="2"/>
    </row>
    <row r="447" spans="2:17" ht="14.5" x14ac:dyDescent="0.3">
      <c r="B447" s="2"/>
      <c r="C447" s="2"/>
      <c r="D447" s="2"/>
      <c r="E447" s="2"/>
      <c r="F447" s="2"/>
      <c r="G447" s="2"/>
      <c r="H447" s="2"/>
      <c r="I447" s="2"/>
      <c r="J447" s="2"/>
      <c r="K447" s="2"/>
      <c r="L447" s="2"/>
      <c r="M447" s="2"/>
      <c r="N447" s="2"/>
      <c r="O447" s="2"/>
      <c r="P447" s="2"/>
      <c r="Q447" s="2"/>
    </row>
    <row r="448" spans="2:17" ht="14.5" x14ac:dyDescent="0.3">
      <c r="B448" s="2"/>
      <c r="C448" s="2"/>
      <c r="D448" s="2"/>
      <c r="E448" s="2"/>
      <c r="F448" s="2"/>
      <c r="G448" s="2"/>
      <c r="H448" s="2"/>
      <c r="I448" s="2"/>
      <c r="J448" s="2"/>
      <c r="K448" s="2"/>
      <c r="L448" s="2"/>
      <c r="M448" s="2"/>
      <c r="N448" s="2"/>
      <c r="O448" s="2"/>
      <c r="P448" s="2"/>
      <c r="Q448" s="2"/>
    </row>
    <row r="449" spans="2:17" ht="14.5" x14ac:dyDescent="0.3">
      <c r="B449" s="2"/>
      <c r="C449" s="2"/>
      <c r="D449" s="2"/>
      <c r="E449" s="2"/>
      <c r="F449" s="2"/>
      <c r="G449" s="2"/>
      <c r="H449" s="2"/>
      <c r="I449" s="2"/>
      <c r="J449" s="2"/>
      <c r="K449" s="2"/>
      <c r="L449" s="2"/>
      <c r="M449" s="2"/>
      <c r="N449" s="2"/>
      <c r="O449" s="2"/>
      <c r="P449" s="2"/>
      <c r="Q449" s="2"/>
    </row>
    <row r="450" spans="2:17" ht="14.5" x14ac:dyDescent="0.3">
      <c r="B450" s="2"/>
      <c r="C450" s="2"/>
      <c r="D450" s="2"/>
      <c r="E450" s="2"/>
      <c r="F450" s="2"/>
      <c r="G450" s="2"/>
      <c r="H450" s="2"/>
      <c r="I450" s="2"/>
      <c r="J450" s="2"/>
      <c r="K450" s="2"/>
      <c r="L450" s="2"/>
      <c r="M450" s="2"/>
      <c r="N450" s="2"/>
      <c r="O450" s="2"/>
      <c r="P450" s="2"/>
      <c r="Q450" s="2"/>
    </row>
    <row r="451" spans="2:17" ht="14.5" x14ac:dyDescent="0.3">
      <c r="B451" s="2"/>
      <c r="C451" s="2"/>
      <c r="D451" s="2"/>
      <c r="E451" s="2"/>
      <c r="F451" s="2"/>
      <c r="G451" s="2"/>
      <c r="H451" s="2"/>
      <c r="I451" s="2"/>
      <c r="J451" s="2"/>
      <c r="K451" s="2"/>
      <c r="L451" s="2"/>
      <c r="M451" s="2"/>
      <c r="N451" s="2"/>
      <c r="O451" s="2"/>
      <c r="P451" s="2"/>
      <c r="Q451" s="2"/>
    </row>
    <row r="452" spans="2:17" ht="14.5" x14ac:dyDescent="0.3">
      <c r="B452" s="2"/>
      <c r="C452" s="2"/>
      <c r="D452" s="2"/>
      <c r="E452" s="2"/>
      <c r="F452" s="2"/>
      <c r="G452" s="2"/>
      <c r="H452" s="2"/>
      <c r="I452" s="2"/>
      <c r="J452" s="2"/>
      <c r="K452" s="2"/>
      <c r="L452" s="2"/>
      <c r="M452" s="2"/>
      <c r="N452" s="2"/>
      <c r="O452" s="2"/>
      <c r="P452" s="2"/>
      <c r="Q452" s="2"/>
    </row>
    <row r="453" spans="2:17" ht="14.5" x14ac:dyDescent="0.3">
      <c r="B453" s="2"/>
      <c r="C453" s="2"/>
      <c r="D453" s="2"/>
      <c r="E453" s="2"/>
      <c r="F453" s="2"/>
      <c r="G453" s="2"/>
      <c r="H453" s="2"/>
      <c r="I453" s="2"/>
      <c r="J453" s="2"/>
      <c r="K453" s="2"/>
      <c r="L453" s="2"/>
      <c r="M453" s="2"/>
      <c r="N453" s="2"/>
      <c r="O453" s="2"/>
      <c r="P453" s="2"/>
      <c r="Q453" s="2"/>
    </row>
    <row r="454" spans="2:17" ht="14.5" x14ac:dyDescent="0.3">
      <c r="B454" s="2"/>
      <c r="C454" s="2"/>
      <c r="D454" s="2"/>
      <c r="E454" s="2"/>
      <c r="F454" s="2"/>
      <c r="G454" s="2"/>
      <c r="H454" s="2"/>
      <c r="I454" s="2"/>
      <c r="J454" s="2"/>
      <c r="K454" s="2"/>
      <c r="L454" s="2"/>
      <c r="M454" s="2"/>
      <c r="N454" s="2"/>
      <c r="O454" s="2"/>
      <c r="P454" s="2"/>
      <c r="Q454" s="2"/>
    </row>
    <row r="455" spans="2:17" ht="14.5" x14ac:dyDescent="0.3">
      <c r="B455" s="2"/>
      <c r="C455" s="2"/>
      <c r="D455" s="2"/>
      <c r="E455" s="2"/>
      <c r="F455" s="2"/>
      <c r="G455" s="2"/>
      <c r="H455" s="2"/>
      <c r="I455" s="2"/>
      <c r="J455" s="2"/>
      <c r="K455" s="2"/>
      <c r="L455" s="2"/>
      <c r="M455" s="2"/>
      <c r="N455" s="2"/>
      <c r="O455" s="2"/>
      <c r="P455" s="2"/>
      <c r="Q455" s="2"/>
    </row>
    <row r="456" spans="2:17" ht="14.5" x14ac:dyDescent="0.3">
      <c r="B456" s="2"/>
      <c r="C456" s="2"/>
      <c r="D456" s="2"/>
      <c r="E456" s="2"/>
      <c r="F456" s="2"/>
      <c r="G456" s="2"/>
      <c r="H456" s="2"/>
      <c r="I456" s="2"/>
      <c r="J456" s="2"/>
      <c r="K456" s="2"/>
      <c r="L456" s="2"/>
      <c r="M456" s="2"/>
      <c r="N456" s="2"/>
      <c r="O456" s="2"/>
      <c r="P456" s="2"/>
      <c r="Q456" s="2"/>
    </row>
    <row r="457" spans="2:17" ht="14.5" x14ac:dyDescent="0.3">
      <c r="B457" s="2"/>
      <c r="C457" s="2"/>
      <c r="D457" s="2"/>
      <c r="E457" s="2"/>
      <c r="F457" s="2"/>
      <c r="G457" s="2"/>
      <c r="H457" s="2"/>
      <c r="I457" s="2"/>
      <c r="J457" s="2"/>
      <c r="K457" s="2"/>
      <c r="L457" s="2"/>
      <c r="M457" s="2"/>
      <c r="N457" s="2"/>
      <c r="O457" s="2"/>
      <c r="P457" s="2"/>
      <c r="Q457" s="2"/>
    </row>
    <row r="458" spans="2:17" ht="14.5" x14ac:dyDescent="0.3">
      <c r="B458" s="2"/>
      <c r="C458" s="2"/>
      <c r="D458" s="2"/>
      <c r="E458" s="2"/>
      <c r="F458" s="2"/>
      <c r="G458" s="2"/>
      <c r="H458" s="2"/>
      <c r="I458" s="2"/>
      <c r="J458" s="2"/>
      <c r="K458" s="2"/>
      <c r="L458" s="2"/>
      <c r="M458" s="2"/>
      <c r="N458" s="2"/>
      <c r="O458" s="2"/>
      <c r="P458" s="2"/>
      <c r="Q458" s="2"/>
    </row>
    <row r="459" spans="2:17" ht="14.5" x14ac:dyDescent="0.3">
      <c r="B459" s="2"/>
      <c r="C459" s="2"/>
      <c r="D459" s="2"/>
      <c r="E459" s="2"/>
      <c r="F459" s="2"/>
      <c r="G459" s="2"/>
      <c r="H459" s="2"/>
      <c r="I459" s="2"/>
      <c r="J459" s="2"/>
      <c r="K459" s="2"/>
      <c r="L459" s="2"/>
      <c r="M459" s="2"/>
      <c r="N459" s="2"/>
      <c r="O459" s="2"/>
      <c r="P459" s="2"/>
      <c r="Q459" s="2"/>
    </row>
    <row r="460" spans="2:17" ht="14.5" x14ac:dyDescent="0.3">
      <c r="B460" s="2"/>
      <c r="C460" s="2"/>
      <c r="D460" s="2"/>
      <c r="E460" s="2"/>
      <c r="F460" s="2"/>
      <c r="G460" s="2"/>
      <c r="H460" s="2"/>
      <c r="I460" s="2"/>
      <c r="J460" s="2"/>
      <c r="K460" s="2"/>
      <c r="L460" s="2"/>
      <c r="M460" s="2"/>
      <c r="N460" s="2"/>
      <c r="O460" s="2"/>
      <c r="P460" s="2"/>
      <c r="Q460" s="2"/>
    </row>
    <row r="461" spans="2:17" ht="14.5" x14ac:dyDescent="0.3">
      <c r="B461" s="2"/>
      <c r="C461" s="2"/>
      <c r="D461" s="2"/>
      <c r="E461" s="2"/>
      <c r="F461" s="2"/>
      <c r="G461" s="2"/>
      <c r="H461" s="2"/>
      <c r="I461" s="2"/>
      <c r="J461" s="2"/>
      <c r="K461" s="2"/>
      <c r="L461" s="2"/>
      <c r="M461" s="2"/>
      <c r="N461" s="2"/>
      <c r="O461" s="2"/>
      <c r="P461" s="2"/>
      <c r="Q461" s="2"/>
    </row>
    <row r="462" spans="2:17" ht="14.5" x14ac:dyDescent="0.3">
      <c r="B462" s="2"/>
      <c r="C462" s="2"/>
      <c r="D462" s="2"/>
      <c r="E462" s="2"/>
      <c r="F462" s="2"/>
      <c r="G462" s="2"/>
      <c r="H462" s="2"/>
      <c r="I462" s="2"/>
      <c r="J462" s="2"/>
      <c r="K462" s="2"/>
      <c r="L462" s="2"/>
      <c r="M462" s="2"/>
      <c r="N462" s="2"/>
      <c r="O462" s="2"/>
      <c r="P462" s="2"/>
      <c r="Q462" s="2"/>
    </row>
    <row r="463" spans="2:17" ht="14.5" x14ac:dyDescent="0.3">
      <c r="B463" s="2"/>
      <c r="C463" s="2"/>
      <c r="D463" s="2"/>
      <c r="E463" s="2"/>
      <c r="F463" s="2"/>
      <c r="G463" s="2"/>
      <c r="H463" s="2"/>
      <c r="I463" s="2"/>
      <c r="J463" s="2"/>
      <c r="K463" s="2"/>
      <c r="L463" s="2"/>
      <c r="M463" s="2"/>
      <c r="N463" s="2"/>
      <c r="O463" s="2"/>
      <c r="P463" s="2"/>
      <c r="Q463" s="2"/>
    </row>
    <row r="464" spans="2:17" ht="14.5" x14ac:dyDescent="0.3">
      <c r="B464" s="2"/>
      <c r="C464" s="2"/>
      <c r="D464" s="2"/>
      <c r="E464" s="2"/>
      <c r="F464" s="2"/>
      <c r="G464" s="2"/>
      <c r="H464" s="2"/>
      <c r="I464" s="2"/>
      <c r="J464" s="2"/>
      <c r="K464" s="2"/>
      <c r="L464" s="2"/>
      <c r="M464" s="2"/>
      <c r="N464" s="2"/>
      <c r="O464" s="2"/>
      <c r="P464" s="2"/>
      <c r="Q464" s="2"/>
    </row>
    <row r="465" spans="2:17" ht="14.5" x14ac:dyDescent="0.3">
      <c r="B465" s="2"/>
      <c r="C465" s="2"/>
      <c r="D465" s="2"/>
      <c r="E465" s="2"/>
      <c r="F465" s="2"/>
      <c r="G465" s="2"/>
      <c r="H465" s="2"/>
      <c r="I465" s="2"/>
      <c r="J465" s="2"/>
      <c r="K465" s="2"/>
      <c r="L465" s="2"/>
      <c r="M465" s="2"/>
      <c r="N465" s="2"/>
      <c r="O465" s="2"/>
      <c r="P465" s="2"/>
      <c r="Q465" s="2"/>
    </row>
    <row r="466" spans="2:17" ht="14.5" x14ac:dyDescent="0.3">
      <c r="B466" s="2"/>
      <c r="C466" s="2"/>
      <c r="D466" s="2"/>
      <c r="E466" s="2"/>
      <c r="F466" s="2"/>
      <c r="G466" s="2"/>
      <c r="H466" s="2"/>
      <c r="I466" s="2"/>
      <c r="J466" s="2"/>
      <c r="K466" s="2"/>
      <c r="L466" s="2"/>
      <c r="M466" s="2"/>
      <c r="N466" s="2"/>
      <c r="O466" s="2"/>
      <c r="P466" s="2"/>
      <c r="Q466" s="2"/>
    </row>
    <row r="467" spans="2:17" ht="14.5" x14ac:dyDescent="0.3">
      <c r="B467" s="2"/>
      <c r="C467" s="2"/>
      <c r="D467" s="2"/>
      <c r="E467" s="2"/>
      <c r="F467" s="2"/>
      <c r="G467" s="2"/>
      <c r="H467" s="2"/>
      <c r="I467" s="2"/>
      <c r="J467" s="2"/>
      <c r="K467" s="2"/>
      <c r="L467" s="2"/>
      <c r="M467" s="2"/>
      <c r="N467" s="2"/>
      <c r="O467" s="2"/>
      <c r="P467" s="2"/>
      <c r="Q467" s="2"/>
    </row>
    <row r="468" spans="2:17" ht="14.5" x14ac:dyDescent="0.3">
      <c r="B468" s="2"/>
      <c r="C468" s="2"/>
      <c r="D468" s="2"/>
      <c r="E468" s="2"/>
      <c r="F468" s="2"/>
      <c r="G468" s="2"/>
      <c r="H468" s="2"/>
      <c r="I468" s="2"/>
      <c r="J468" s="2"/>
      <c r="K468" s="2"/>
      <c r="L468" s="2"/>
      <c r="M468" s="2"/>
      <c r="N468" s="2"/>
      <c r="O468" s="2"/>
      <c r="P468" s="2"/>
      <c r="Q468" s="2"/>
    </row>
    <row r="469" spans="2:17" ht="14.5" x14ac:dyDescent="0.3">
      <c r="B469" s="2"/>
      <c r="C469" s="2"/>
      <c r="D469" s="2"/>
      <c r="E469" s="2"/>
      <c r="F469" s="2"/>
      <c r="G469" s="2"/>
      <c r="H469" s="2"/>
      <c r="I469" s="2"/>
      <c r="J469" s="2"/>
      <c r="K469" s="2"/>
      <c r="L469" s="2"/>
      <c r="M469" s="2"/>
      <c r="N469" s="2"/>
      <c r="O469" s="2"/>
      <c r="P469" s="2"/>
      <c r="Q469" s="2"/>
    </row>
    <row r="470" spans="2:17" ht="14.5" x14ac:dyDescent="0.3">
      <c r="B470" s="2"/>
      <c r="C470" s="2"/>
      <c r="D470" s="2"/>
      <c r="E470" s="2"/>
      <c r="F470" s="2"/>
      <c r="G470" s="2"/>
      <c r="H470" s="2"/>
      <c r="I470" s="2"/>
      <c r="J470" s="2"/>
      <c r="K470" s="2"/>
      <c r="L470" s="2"/>
      <c r="M470" s="2"/>
      <c r="N470" s="2"/>
      <c r="O470" s="2"/>
      <c r="P470" s="2"/>
      <c r="Q470" s="2"/>
    </row>
    <row r="471" spans="2:17" ht="14.5" x14ac:dyDescent="0.3">
      <c r="B471" s="2"/>
      <c r="C471" s="2"/>
      <c r="D471" s="2"/>
      <c r="E471" s="2"/>
      <c r="F471" s="2"/>
      <c r="G471" s="2"/>
      <c r="H471" s="2"/>
      <c r="I471" s="2"/>
      <c r="J471" s="2"/>
      <c r="K471" s="2"/>
      <c r="L471" s="2"/>
      <c r="M471" s="2"/>
      <c r="N471" s="2"/>
      <c r="O471" s="2"/>
      <c r="P471" s="2"/>
      <c r="Q471" s="2"/>
    </row>
    <row r="472" spans="2:17" ht="14.5" x14ac:dyDescent="0.3">
      <c r="B472" s="2"/>
      <c r="C472" s="2"/>
      <c r="D472" s="2"/>
      <c r="E472" s="2"/>
      <c r="F472" s="2"/>
      <c r="G472" s="2"/>
      <c r="H472" s="2"/>
      <c r="I472" s="2"/>
      <c r="J472" s="2"/>
      <c r="K472" s="2"/>
      <c r="L472" s="2"/>
      <c r="M472" s="2"/>
      <c r="N472" s="2"/>
      <c r="O472" s="2"/>
      <c r="P472" s="2"/>
      <c r="Q472" s="2"/>
    </row>
    <row r="473" spans="2:17" ht="14.5" x14ac:dyDescent="0.3">
      <c r="B473" s="2"/>
      <c r="C473" s="2"/>
      <c r="D473" s="2"/>
      <c r="E473" s="2"/>
      <c r="F473" s="2"/>
      <c r="G473" s="2"/>
      <c r="H473" s="2"/>
      <c r="I473" s="2"/>
      <c r="J473" s="2"/>
      <c r="K473" s="2"/>
      <c r="L473" s="2"/>
      <c r="M473" s="2"/>
      <c r="N473" s="2"/>
      <c r="O473" s="2"/>
      <c r="P473" s="2"/>
      <c r="Q473" s="2"/>
    </row>
    <row r="474" spans="2:17" ht="14.5" x14ac:dyDescent="0.3">
      <c r="B474" s="2"/>
      <c r="C474" s="2"/>
      <c r="D474" s="2"/>
      <c r="E474" s="2"/>
      <c r="F474" s="2"/>
      <c r="G474" s="2"/>
      <c r="H474" s="2"/>
      <c r="I474" s="2"/>
      <c r="J474" s="2"/>
      <c r="K474" s="2"/>
      <c r="L474" s="2"/>
      <c r="M474" s="2"/>
      <c r="N474" s="2"/>
      <c r="O474" s="2"/>
      <c r="P474" s="2"/>
      <c r="Q474" s="2"/>
    </row>
    <row r="475" spans="2:17" ht="14.5" x14ac:dyDescent="0.3">
      <c r="B475" s="2"/>
      <c r="C475" s="2"/>
      <c r="D475" s="2"/>
      <c r="E475" s="2"/>
      <c r="F475" s="2"/>
      <c r="G475" s="2"/>
      <c r="H475" s="2"/>
      <c r="I475" s="2"/>
      <c r="J475" s="2"/>
      <c r="K475" s="2"/>
      <c r="L475" s="2"/>
      <c r="M475" s="2"/>
      <c r="N475" s="2"/>
      <c r="O475" s="2"/>
      <c r="P475" s="2"/>
      <c r="Q475" s="2"/>
    </row>
    <row r="476" spans="2:17" ht="14.5" x14ac:dyDescent="0.3">
      <c r="B476" s="2"/>
      <c r="C476" s="2"/>
      <c r="D476" s="2"/>
      <c r="E476" s="2"/>
      <c r="F476" s="2"/>
      <c r="G476" s="2"/>
      <c r="H476" s="2"/>
      <c r="I476" s="2"/>
      <c r="J476" s="2"/>
      <c r="K476" s="2"/>
      <c r="L476" s="2"/>
      <c r="M476" s="2"/>
      <c r="N476" s="2"/>
      <c r="O476" s="2"/>
      <c r="P476" s="2"/>
      <c r="Q476" s="2"/>
    </row>
    <row r="477" spans="2:17" ht="14.5" x14ac:dyDescent="0.3">
      <c r="B477" s="2"/>
      <c r="C477" s="2"/>
      <c r="D477" s="2"/>
      <c r="E477" s="2"/>
      <c r="F477" s="2"/>
      <c r="G477" s="2"/>
      <c r="H477" s="2"/>
      <c r="I477" s="2"/>
      <c r="J477" s="2"/>
      <c r="K477" s="2"/>
      <c r="L477" s="2"/>
      <c r="M477" s="2"/>
      <c r="N477" s="2"/>
      <c r="O477" s="2"/>
      <c r="P477" s="2"/>
      <c r="Q477" s="2"/>
    </row>
    <row r="478" spans="2:17" ht="14.5" x14ac:dyDescent="0.3">
      <c r="B478" s="2"/>
      <c r="C478" s="2"/>
      <c r="D478" s="2"/>
      <c r="E478" s="2"/>
      <c r="F478" s="2"/>
      <c r="G478" s="2"/>
      <c r="H478" s="2"/>
      <c r="I478" s="2"/>
      <c r="J478" s="2"/>
      <c r="K478" s="2"/>
      <c r="L478" s="2"/>
      <c r="M478" s="2"/>
      <c r="N478" s="2"/>
      <c r="O478" s="2"/>
      <c r="P478" s="2"/>
      <c r="Q478" s="2"/>
    </row>
    <row r="479" spans="2:17" ht="14.5" x14ac:dyDescent="0.3">
      <c r="B479" s="2"/>
      <c r="C479" s="2"/>
      <c r="D479" s="2"/>
      <c r="E479" s="2"/>
      <c r="F479" s="2"/>
      <c r="G479" s="2"/>
      <c r="H479" s="2"/>
      <c r="I479" s="2"/>
      <c r="J479" s="2"/>
      <c r="K479" s="2"/>
      <c r="L479" s="2"/>
      <c r="M479" s="2"/>
      <c r="N479" s="2"/>
      <c r="O479" s="2"/>
      <c r="P479" s="2"/>
      <c r="Q479" s="2"/>
    </row>
    <row r="480" spans="2:17" ht="14.5" x14ac:dyDescent="0.3">
      <c r="B480" s="2"/>
      <c r="C480" s="2"/>
      <c r="D480" s="2"/>
      <c r="E480" s="2"/>
      <c r="F480" s="2"/>
      <c r="G480" s="2"/>
      <c r="H480" s="2"/>
      <c r="I480" s="2"/>
      <c r="J480" s="2"/>
      <c r="K480" s="2"/>
      <c r="L480" s="2"/>
      <c r="M480" s="2"/>
      <c r="N480" s="2"/>
      <c r="O480" s="2"/>
      <c r="P480" s="2"/>
      <c r="Q480" s="2"/>
    </row>
    <row r="481" spans="2:17" ht="14.5" x14ac:dyDescent="0.3">
      <c r="B481" s="2"/>
      <c r="C481" s="2"/>
      <c r="D481" s="2"/>
      <c r="E481" s="2"/>
      <c r="F481" s="2"/>
      <c r="G481" s="2"/>
      <c r="H481" s="2"/>
      <c r="I481" s="2"/>
      <c r="J481" s="2"/>
      <c r="K481" s="2"/>
      <c r="L481" s="2"/>
      <c r="M481" s="2"/>
      <c r="N481" s="2"/>
      <c r="O481" s="2"/>
      <c r="P481" s="2"/>
      <c r="Q481" s="2"/>
    </row>
    <row r="482" spans="2:17" ht="14.5" x14ac:dyDescent="0.3">
      <c r="B482" s="2"/>
      <c r="C482" s="2"/>
      <c r="D482" s="2"/>
      <c r="E482" s="2"/>
      <c r="F482" s="2"/>
      <c r="G482" s="2"/>
      <c r="H482" s="2"/>
      <c r="I482" s="2"/>
      <c r="J482" s="2"/>
      <c r="K482" s="2"/>
      <c r="L482" s="2"/>
      <c r="M482" s="2"/>
      <c r="N482" s="2"/>
      <c r="O482" s="2"/>
      <c r="P482" s="2"/>
      <c r="Q482" s="2"/>
    </row>
    <row r="483" spans="2:17" ht="14.5" x14ac:dyDescent="0.3">
      <c r="B483" s="2"/>
      <c r="C483" s="2"/>
      <c r="D483" s="2"/>
      <c r="E483" s="2"/>
      <c r="F483" s="2"/>
      <c r="G483" s="2"/>
      <c r="H483" s="2"/>
      <c r="I483" s="2"/>
      <c r="J483" s="2"/>
      <c r="K483" s="2"/>
      <c r="L483" s="2"/>
      <c r="M483" s="2"/>
      <c r="N483" s="2"/>
      <c r="O483" s="2"/>
      <c r="P483" s="2"/>
      <c r="Q483" s="2"/>
    </row>
    <row r="484" spans="2:17" ht="14.5" x14ac:dyDescent="0.3">
      <c r="B484" s="2"/>
      <c r="C484" s="2"/>
      <c r="D484" s="2"/>
      <c r="E484" s="2"/>
      <c r="F484" s="2"/>
      <c r="G484" s="2"/>
      <c r="H484" s="2"/>
      <c r="I484" s="2"/>
      <c r="J484" s="2"/>
      <c r="K484" s="2"/>
      <c r="L484" s="2"/>
      <c r="M484" s="2"/>
      <c r="N484" s="2"/>
      <c r="O484" s="2"/>
      <c r="P484" s="2"/>
      <c r="Q484" s="2"/>
    </row>
    <row r="485" spans="2:17" ht="14.5" x14ac:dyDescent="0.3">
      <c r="B485" s="2"/>
      <c r="C485" s="2"/>
      <c r="D485" s="2"/>
      <c r="E485" s="2"/>
      <c r="F485" s="2"/>
      <c r="G485" s="2"/>
      <c r="H485" s="2"/>
      <c r="I485" s="2"/>
      <c r="J485" s="2"/>
      <c r="K485" s="2"/>
      <c r="L485" s="2"/>
      <c r="M485" s="2"/>
      <c r="N485" s="2"/>
      <c r="O485" s="2"/>
      <c r="P485" s="2"/>
      <c r="Q485" s="2"/>
    </row>
    <row r="486" spans="2:17" ht="14.5" x14ac:dyDescent="0.3">
      <c r="B486" s="2"/>
      <c r="C486" s="2"/>
      <c r="D486" s="2"/>
      <c r="E486" s="2"/>
      <c r="F486" s="2"/>
      <c r="G486" s="2"/>
      <c r="H486" s="2"/>
      <c r="I486" s="2"/>
      <c r="J486" s="2"/>
      <c r="K486" s="2"/>
      <c r="L486" s="2"/>
      <c r="M486" s="2"/>
      <c r="N486" s="2"/>
      <c r="O486" s="2"/>
      <c r="P486" s="2"/>
      <c r="Q486" s="2"/>
    </row>
    <row r="487" spans="2:17" ht="14.5" x14ac:dyDescent="0.3">
      <c r="B487" s="2"/>
      <c r="C487" s="2"/>
      <c r="D487" s="2"/>
      <c r="E487" s="2"/>
      <c r="F487" s="2"/>
      <c r="G487" s="2"/>
      <c r="H487" s="2"/>
      <c r="I487" s="2"/>
      <c r="J487" s="2"/>
      <c r="K487" s="2"/>
      <c r="L487" s="2"/>
      <c r="M487" s="2"/>
      <c r="N487" s="2"/>
      <c r="O487" s="2"/>
      <c r="P487" s="2"/>
      <c r="Q487" s="2"/>
    </row>
    <row r="488" spans="2:17" ht="14.5" x14ac:dyDescent="0.3">
      <c r="B488" s="2"/>
      <c r="C488" s="2"/>
      <c r="D488" s="2"/>
      <c r="E488" s="2"/>
      <c r="F488" s="2"/>
      <c r="G488" s="2"/>
      <c r="H488" s="2"/>
      <c r="I488" s="2"/>
      <c r="J488" s="2"/>
      <c r="K488" s="2"/>
      <c r="L488" s="2"/>
      <c r="M488" s="2"/>
      <c r="N488" s="2"/>
      <c r="O488" s="2"/>
      <c r="P488" s="2"/>
      <c r="Q488" s="2"/>
    </row>
    <row r="489" spans="2:17" ht="14.5" x14ac:dyDescent="0.3">
      <c r="B489" s="2"/>
      <c r="C489" s="2"/>
      <c r="D489" s="2"/>
      <c r="E489" s="2"/>
      <c r="F489" s="2"/>
      <c r="G489" s="2"/>
      <c r="H489" s="2"/>
      <c r="I489" s="2"/>
      <c r="J489" s="2"/>
      <c r="K489" s="2"/>
      <c r="L489" s="2"/>
      <c r="M489" s="2"/>
      <c r="N489" s="2"/>
      <c r="O489" s="2"/>
      <c r="P489" s="2"/>
      <c r="Q489" s="2"/>
    </row>
    <row r="490" spans="2:17" ht="14.5" x14ac:dyDescent="0.3">
      <c r="B490" s="2"/>
      <c r="C490" s="2"/>
      <c r="D490" s="2"/>
      <c r="E490" s="2"/>
      <c r="F490" s="2"/>
      <c r="G490" s="2"/>
      <c r="H490" s="2"/>
      <c r="I490" s="2"/>
      <c r="J490" s="2"/>
      <c r="K490" s="2"/>
      <c r="L490" s="2"/>
      <c r="M490" s="2"/>
      <c r="N490" s="2"/>
      <c r="O490" s="2"/>
      <c r="P490" s="2"/>
      <c r="Q490" s="2"/>
    </row>
    <row r="491" spans="2:17" ht="14.5" x14ac:dyDescent="0.3">
      <c r="B491" s="2"/>
      <c r="C491" s="2"/>
      <c r="D491" s="2"/>
      <c r="E491" s="2"/>
      <c r="F491" s="2"/>
      <c r="G491" s="2"/>
      <c r="H491" s="2"/>
      <c r="I491" s="2"/>
      <c r="J491" s="2"/>
      <c r="K491" s="2"/>
      <c r="L491" s="2"/>
      <c r="M491" s="2"/>
      <c r="N491" s="2"/>
      <c r="O491" s="2"/>
      <c r="P491" s="2"/>
      <c r="Q491" s="2"/>
    </row>
    <row r="492" spans="2:17" ht="14.5" x14ac:dyDescent="0.3">
      <c r="B492" s="2"/>
      <c r="C492" s="2"/>
      <c r="D492" s="2"/>
      <c r="E492" s="2"/>
      <c r="F492" s="2"/>
      <c r="G492" s="2"/>
      <c r="H492" s="2"/>
      <c r="I492" s="2"/>
      <c r="J492" s="2"/>
      <c r="K492" s="2"/>
      <c r="L492" s="2"/>
      <c r="M492" s="2"/>
      <c r="N492" s="2"/>
      <c r="O492" s="2"/>
      <c r="P492" s="2"/>
      <c r="Q492" s="2"/>
    </row>
    <row r="493" spans="2:17" ht="14.5" x14ac:dyDescent="0.3">
      <c r="B493" s="2"/>
      <c r="C493" s="2"/>
      <c r="D493" s="2"/>
      <c r="E493" s="2"/>
      <c r="F493" s="2"/>
      <c r="G493" s="2"/>
      <c r="H493" s="2"/>
      <c r="I493" s="2"/>
      <c r="J493" s="2"/>
      <c r="K493" s="2"/>
      <c r="L493" s="2"/>
      <c r="M493" s="2"/>
      <c r="N493" s="2"/>
      <c r="O493" s="2"/>
      <c r="P493" s="2"/>
      <c r="Q493" s="2"/>
    </row>
    <row r="494" spans="2:17" ht="14.5" x14ac:dyDescent="0.3">
      <c r="B494" s="2"/>
      <c r="C494" s="2"/>
      <c r="D494" s="2"/>
      <c r="E494" s="2"/>
      <c r="F494" s="2"/>
      <c r="G494" s="2"/>
      <c r="H494" s="2"/>
      <c r="I494" s="2"/>
      <c r="J494" s="2"/>
      <c r="K494" s="2"/>
      <c r="L494" s="2"/>
      <c r="M494" s="2"/>
      <c r="N494" s="2"/>
      <c r="O494" s="2"/>
      <c r="P494" s="2"/>
      <c r="Q494" s="2"/>
    </row>
    <row r="495" spans="2:17" ht="14.5" x14ac:dyDescent="0.3">
      <c r="B495" s="2"/>
      <c r="C495" s="2"/>
      <c r="D495" s="2"/>
      <c r="E495" s="2"/>
      <c r="F495" s="2"/>
      <c r="G495" s="2"/>
      <c r="H495" s="2"/>
      <c r="I495" s="2"/>
      <c r="J495" s="2"/>
      <c r="K495" s="2"/>
      <c r="L495" s="2"/>
      <c r="M495" s="2"/>
      <c r="N495" s="2"/>
      <c r="O495" s="2"/>
      <c r="P495" s="2"/>
      <c r="Q495" s="2"/>
    </row>
    <row r="496" spans="2:17" ht="14.5" x14ac:dyDescent="0.3">
      <c r="B496" s="2"/>
      <c r="C496" s="2"/>
      <c r="D496" s="2"/>
      <c r="E496" s="2"/>
      <c r="F496" s="2"/>
      <c r="G496" s="2"/>
      <c r="H496" s="2"/>
      <c r="I496" s="2"/>
      <c r="J496" s="2"/>
      <c r="K496" s="2"/>
      <c r="L496" s="2"/>
      <c r="M496" s="2"/>
      <c r="N496" s="2"/>
      <c r="O496" s="2"/>
      <c r="P496" s="2"/>
      <c r="Q496" s="2"/>
    </row>
    <row r="497" spans="2:17" ht="14.5" x14ac:dyDescent="0.3">
      <c r="B497" s="2"/>
      <c r="C497" s="2"/>
      <c r="D497" s="2"/>
      <c r="E497" s="2"/>
      <c r="F497" s="2"/>
      <c r="G497" s="2"/>
      <c r="H497" s="2"/>
      <c r="I497" s="2"/>
      <c r="J497" s="2"/>
      <c r="K497" s="2"/>
      <c r="L497" s="2"/>
      <c r="M497" s="2"/>
      <c r="N497" s="2"/>
      <c r="O497" s="2"/>
      <c r="P497" s="2"/>
      <c r="Q497" s="2"/>
    </row>
    <row r="498" spans="2:17" ht="14.5" x14ac:dyDescent="0.3">
      <c r="B498" s="2"/>
      <c r="C498" s="2"/>
      <c r="D498" s="2"/>
      <c r="E498" s="2"/>
      <c r="F498" s="2"/>
      <c r="G498" s="2"/>
      <c r="H498" s="2"/>
      <c r="I498" s="2"/>
      <c r="J498" s="2"/>
      <c r="K498" s="2"/>
      <c r="L498" s="2"/>
      <c r="M498" s="2"/>
      <c r="N498" s="2"/>
      <c r="O498" s="2"/>
      <c r="P498" s="2"/>
      <c r="Q498" s="2"/>
    </row>
    <row r="499" spans="2:17" ht="14.5" x14ac:dyDescent="0.3">
      <c r="B499" s="2"/>
      <c r="C499" s="2"/>
      <c r="D499" s="2"/>
      <c r="E499" s="2"/>
      <c r="F499" s="2"/>
      <c r="G499" s="2"/>
      <c r="H499" s="2"/>
      <c r="I499" s="2"/>
      <c r="J499" s="2"/>
      <c r="K499" s="2"/>
      <c r="L499" s="2"/>
      <c r="M499" s="2"/>
      <c r="N499" s="2"/>
      <c r="O499" s="2"/>
      <c r="P499" s="2"/>
      <c r="Q499" s="2"/>
    </row>
    <row r="500" spans="2:17" ht="14.5" x14ac:dyDescent="0.3">
      <c r="B500" s="2"/>
      <c r="C500" s="2"/>
      <c r="D500" s="2"/>
      <c r="E500" s="2"/>
      <c r="F500" s="2"/>
      <c r="G500" s="2"/>
      <c r="H500" s="2"/>
      <c r="I500" s="2"/>
      <c r="J500" s="2"/>
      <c r="K500" s="2"/>
      <c r="L500" s="2"/>
      <c r="M500" s="2"/>
      <c r="N500" s="2"/>
      <c r="O500" s="2"/>
      <c r="P500" s="2"/>
      <c r="Q500" s="2"/>
    </row>
    <row r="501" spans="2:17" ht="14.5" x14ac:dyDescent="0.3">
      <c r="B501" s="2"/>
      <c r="C501" s="2"/>
      <c r="D501" s="2"/>
      <c r="E501" s="2"/>
      <c r="F501" s="2"/>
      <c r="G501" s="2"/>
      <c r="H501" s="2"/>
      <c r="I501" s="2"/>
      <c r="J501" s="2"/>
      <c r="K501" s="2"/>
      <c r="L501" s="2"/>
      <c r="M501" s="2"/>
      <c r="N501" s="2"/>
      <c r="O501" s="2"/>
      <c r="P501" s="2"/>
      <c r="Q501" s="2"/>
    </row>
    <row r="502" spans="2:17" ht="14.5" x14ac:dyDescent="0.3">
      <c r="B502" s="2"/>
      <c r="C502" s="2"/>
      <c r="D502" s="2"/>
      <c r="E502" s="2"/>
      <c r="F502" s="2"/>
      <c r="G502" s="2"/>
      <c r="H502" s="2"/>
      <c r="I502" s="2"/>
      <c r="J502" s="2"/>
      <c r="K502" s="2"/>
      <c r="L502" s="2"/>
      <c r="M502" s="2"/>
      <c r="N502" s="2"/>
      <c r="O502" s="2"/>
      <c r="P502" s="2"/>
      <c r="Q502" s="2"/>
    </row>
    <row r="503" spans="2:17" ht="14.5" x14ac:dyDescent="0.3">
      <c r="B503" s="2"/>
      <c r="C503" s="2"/>
      <c r="D503" s="2"/>
      <c r="E503" s="2"/>
      <c r="F503" s="2"/>
      <c r="G503" s="2"/>
      <c r="H503" s="2"/>
      <c r="I503" s="2"/>
      <c r="J503" s="2"/>
      <c r="K503" s="2"/>
      <c r="L503" s="2"/>
      <c r="M503" s="2"/>
      <c r="N503" s="2"/>
      <c r="O503" s="2"/>
      <c r="P503" s="2"/>
      <c r="Q503" s="2"/>
    </row>
    <row r="504" spans="2:17" ht="14.5" x14ac:dyDescent="0.3">
      <c r="B504" s="2"/>
      <c r="C504" s="2"/>
      <c r="D504" s="2"/>
      <c r="E504" s="2"/>
      <c r="F504" s="2"/>
      <c r="G504" s="2"/>
      <c r="H504" s="2"/>
      <c r="I504" s="2"/>
      <c r="J504" s="2"/>
      <c r="K504" s="2"/>
      <c r="L504" s="2"/>
      <c r="M504" s="2"/>
      <c r="N504" s="2"/>
      <c r="O504" s="2"/>
      <c r="P504" s="2"/>
      <c r="Q504" s="2"/>
    </row>
    <row r="505" spans="2:17" ht="14.5" x14ac:dyDescent="0.3">
      <c r="B505" s="2"/>
      <c r="C505" s="2"/>
      <c r="D505" s="2"/>
      <c r="E505" s="2"/>
      <c r="F505" s="2"/>
      <c r="G505" s="2"/>
      <c r="H505" s="2"/>
      <c r="I505" s="2"/>
      <c r="J505" s="2"/>
      <c r="K505" s="2"/>
      <c r="L505" s="2"/>
      <c r="M505" s="2"/>
      <c r="N505" s="2"/>
      <c r="O505" s="2"/>
      <c r="P505" s="2"/>
      <c r="Q505" s="2"/>
    </row>
    <row r="506" spans="2:17" ht="14.5" x14ac:dyDescent="0.3">
      <c r="B506" s="2"/>
      <c r="C506" s="2"/>
      <c r="D506" s="2"/>
      <c r="E506" s="2"/>
      <c r="F506" s="2"/>
      <c r="G506" s="2"/>
      <c r="H506" s="2"/>
      <c r="I506" s="2"/>
      <c r="J506" s="2"/>
      <c r="K506" s="2"/>
      <c r="L506" s="2"/>
      <c r="M506" s="2"/>
      <c r="N506" s="2"/>
      <c r="O506" s="2"/>
      <c r="P506" s="2"/>
      <c r="Q506" s="2"/>
    </row>
    <row r="507" spans="2:17" ht="14.5" x14ac:dyDescent="0.3">
      <c r="B507" s="2"/>
      <c r="C507" s="2"/>
      <c r="D507" s="2"/>
      <c r="E507" s="2"/>
      <c r="F507" s="2"/>
      <c r="G507" s="2"/>
      <c r="H507" s="2"/>
      <c r="I507" s="2"/>
      <c r="J507" s="2"/>
      <c r="K507" s="2"/>
      <c r="L507" s="2"/>
      <c r="M507" s="2"/>
      <c r="N507" s="2"/>
      <c r="O507" s="2"/>
      <c r="P507" s="2"/>
      <c r="Q507" s="2"/>
    </row>
    <row r="508" spans="2:17" ht="14.5" x14ac:dyDescent="0.3">
      <c r="B508" s="2"/>
      <c r="C508" s="2"/>
      <c r="D508" s="2"/>
      <c r="E508" s="2"/>
      <c r="F508" s="2"/>
      <c r="G508" s="2"/>
      <c r="H508" s="2"/>
      <c r="I508" s="2"/>
      <c r="J508" s="2"/>
      <c r="K508" s="2"/>
      <c r="L508" s="2"/>
      <c r="M508" s="2"/>
      <c r="N508" s="2"/>
      <c r="O508" s="2"/>
      <c r="P508" s="2"/>
      <c r="Q508" s="2"/>
    </row>
    <row r="509" spans="2:17" ht="14.5" x14ac:dyDescent="0.3">
      <c r="B509" s="2"/>
      <c r="C509" s="2"/>
      <c r="D509" s="2"/>
      <c r="E509" s="2"/>
      <c r="F509" s="2"/>
      <c r="G509" s="2"/>
      <c r="H509" s="2"/>
      <c r="I509" s="2"/>
      <c r="J509" s="2"/>
      <c r="K509" s="2"/>
      <c r="L509" s="2"/>
      <c r="M509" s="2"/>
      <c r="N509" s="2"/>
      <c r="O509" s="2"/>
      <c r="P509" s="2"/>
      <c r="Q509" s="2"/>
    </row>
    <row r="510" spans="2:17" ht="14.5" x14ac:dyDescent="0.3">
      <c r="B510" s="2"/>
      <c r="C510" s="2"/>
      <c r="D510" s="2"/>
      <c r="E510" s="2"/>
      <c r="F510" s="2"/>
      <c r="G510" s="2"/>
      <c r="H510" s="2"/>
      <c r="I510" s="2"/>
      <c r="J510" s="2"/>
      <c r="K510" s="2"/>
      <c r="L510" s="2"/>
      <c r="M510" s="2"/>
      <c r="N510" s="2"/>
      <c r="O510" s="2"/>
      <c r="P510" s="2"/>
      <c r="Q510" s="2"/>
    </row>
    <row r="511" spans="2:17" ht="14.5" x14ac:dyDescent="0.3">
      <c r="B511" s="2"/>
      <c r="C511" s="2"/>
      <c r="D511" s="2"/>
      <c r="E511" s="2"/>
      <c r="F511" s="2"/>
      <c r="G511" s="2"/>
      <c r="H511" s="2"/>
      <c r="I511" s="2"/>
      <c r="J511" s="2"/>
      <c r="K511" s="2"/>
      <c r="L511" s="2"/>
      <c r="M511" s="2"/>
      <c r="N511" s="2"/>
      <c r="O511" s="2"/>
      <c r="P511" s="2"/>
      <c r="Q511" s="2"/>
    </row>
    <row r="512" spans="2:17" ht="14.5" x14ac:dyDescent="0.3">
      <c r="B512" s="2"/>
      <c r="C512" s="2"/>
      <c r="D512" s="2"/>
      <c r="E512" s="2"/>
      <c r="F512" s="2"/>
      <c r="G512" s="2"/>
      <c r="H512" s="2"/>
      <c r="I512" s="2"/>
      <c r="J512" s="2"/>
      <c r="K512" s="2"/>
      <c r="L512" s="2"/>
      <c r="M512" s="2"/>
      <c r="N512" s="2"/>
      <c r="O512" s="2"/>
      <c r="P512" s="2"/>
      <c r="Q512" s="2"/>
    </row>
    <row r="513" spans="2:17" ht="14.5" x14ac:dyDescent="0.3">
      <c r="B513" s="2"/>
      <c r="C513" s="2"/>
      <c r="D513" s="2"/>
      <c r="E513" s="2"/>
      <c r="F513" s="2"/>
      <c r="G513" s="2"/>
      <c r="H513" s="2"/>
      <c r="I513" s="2"/>
      <c r="J513" s="2"/>
      <c r="K513" s="2"/>
      <c r="L513" s="2"/>
      <c r="M513" s="2"/>
      <c r="N513" s="2"/>
      <c r="O513" s="2"/>
      <c r="P513" s="2"/>
      <c r="Q513" s="2"/>
    </row>
    <row r="514" spans="2:17" ht="14.5" x14ac:dyDescent="0.3">
      <c r="B514" s="2"/>
      <c r="C514" s="2"/>
      <c r="D514" s="2"/>
      <c r="E514" s="2"/>
      <c r="F514" s="2"/>
      <c r="G514" s="2"/>
      <c r="H514" s="2"/>
      <c r="I514" s="2"/>
      <c r="J514" s="2"/>
      <c r="K514" s="2"/>
      <c r="L514" s="2"/>
      <c r="M514" s="2"/>
      <c r="N514" s="2"/>
      <c r="O514" s="2"/>
      <c r="P514" s="2"/>
      <c r="Q514" s="2"/>
    </row>
    <row r="515" spans="2:17" ht="14.5" x14ac:dyDescent="0.3">
      <c r="B515" s="2"/>
      <c r="C515" s="2"/>
      <c r="D515" s="2"/>
      <c r="E515" s="2"/>
      <c r="F515" s="2"/>
      <c r="G515" s="2"/>
      <c r="H515" s="2"/>
      <c r="I515" s="2"/>
      <c r="J515" s="2"/>
      <c r="K515" s="2"/>
      <c r="L515" s="2"/>
      <c r="M515" s="2"/>
      <c r="N515" s="2"/>
      <c r="O515" s="2"/>
      <c r="P515" s="2"/>
      <c r="Q515" s="2"/>
    </row>
    <row r="516" spans="2:17" ht="14.5" x14ac:dyDescent="0.3">
      <c r="B516" s="2"/>
      <c r="C516" s="2"/>
      <c r="D516" s="2"/>
      <c r="E516" s="2"/>
      <c r="F516" s="2"/>
      <c r="G516" s="2"/>
      <c r="H516" s="2"/>
      <c r="I516" s="2"/>
      <c r="J516" s="2"/>
      <c r="K516" s="2"/>
      <c r="L516" s="2"/>
      <c r="M516" s="2"/>
      <c r="N516" s="2"/>
      <c r="O516" s="2"/>
      <c r="P516" s="2"/>
      <c r="Q516" s="2"/>
    </row>
    <row r="517" spans="2:17" ht="14.5" x14ac:dyDescent="0.3">
      <c r="B517" s="2"/>
      <c r="C517" s="2"/>
      <c r="D517" s="2"/>
      <c r="E517" s="2"/>
      <c r="F517" s="2"/>
      <c r="G517" s="2"/>
      <c r="H517" s="2"/>
      <c r="I517" s="2"/>
      <c r="J517" s="2"/>
      <c r="K517" s="2"/>
      <c r="L517" s="2"/>
      <c r="M517" s="2"/>
      <c r="N517" s="2"/>
      <c r="O517" s="2"/>
      <c r="P517" s="2"/>
      <c r="Q517" s="2"/>
    </row>
    <row r="518" spans="2:17" ht="14.5" x14ac:dyDescent="0.3">
      <c r="B518" s="2"/>
      <c r="C518" s="2"/>
      <c r="D518" s="2"/>
      <c r="E518" s="2"/>
      <c r="F518" s="2"/>
      <c r="G518" s="2"/>
      <c r="H518" s="2"/>
      <c r="I518" s="2"/>
      <c r="J518" s="2"/>
      <c r="K518" s="2"/>
      <c r="L518" s="2"/>
      <c r="M518" s="2"/>
      <c r="N518" s="2"/>
      <c r="O518" s="2"/>
      <c r="P518" s="2"/>
      <c r="Q518" s="2"/>
    </row>
    <row r="519" spans="2:17" ht="14.5" x14ac:dyDescent="0.3">
      <c r="B519" s="2"/>
      <c r="C519" s="2"/>
      <c r="D519" s="2"/>
      <c r="E519" s="2"/>
      <c r="F519" s="2"/>
      <c r="G519" s="2"/>
      <c r="H519" s="2"/>
      <c r="I519" s="2"/>
      <c r="J519" s="2"/>
      <c r="K519" s="2"/>
      <c r="L519" s="2"/>
      <c r="M519" s="2"/>
      <c r="N519" s="2"/>
      <c r="O519" s="2"/>
      <c r="P519" s="2"/>
      <c r="Q519" s="2"/>
    </row>
    <row r="520" spans="2:17" ht="14.5" x14ac:dyDescent="0.3">
      <c r="B520" s="2"/>
      <c r="C520" s="2"/>
      <c r="D520" s="2"/>
      <c r="E520" s="2"/>
      <c r="F520" s="2"/>
      <c r="G520" s="2"/>
      <c r="H520" s="2"/>
      <c r="I520" s="2"/>
      <c r="J520" s="2"/>
      <c r="K520" s="2"/>
      <c r="L520" s="2"/>
      <c r="M520" s="2"/>
      <c r="N520" s="2"/>
      <c r="O520" s="2"/>
      <c r="P520" s="2"/>
      <c r="Q520" s="2"/>
    </row>
    <row r="521" spans="2:17" ht="14.5" x14ac:dyDescent="0.3">
      <c r="B521" s="2"/>
      <c r="C521" s="2"/>
      <c r="D521" s="2"/>
      <c r="E521" s="2"/>
      <c r="F521" s="2"/>
      <c r="G521" s="2"/>
      <c r="H521" s="2"/>
      <c r="I521" s="2"/>
      <c r="J521" s="2"/>
      <c r="K521" s="2"/>
      <c r="L521" s="2"/>
      <c r="M521" s="2"/>
      <c r="N521" s="2"/>
      <c r="O521" s="2"/>
      <c r="P521" s="2"/>
      <c r="Q521" s="2"/>
    </row>
    <row r="522" spans="2:17" ht="14.5" x14ac:dyDescent="0.3">
      <c r="B522" s="2"/>
      <c r="C522" s="2"/>
      <c r="D522" s="2"/>
      <c r="E522" s="2"/>
      <c r="F522" s="2"/>
      <c r="G522" s="2"/>
      <c r="H522" s="2"/>
      <c r="I522" s="2"/>
      <c r="J522" s="2"/>
      <c r="K522" s="2"/>
      <c r="L522" s="2"/>
      <c r="M522" s="2"/>
      <c r="N522" s="2"/>
      <c r="O522" s="2"/>
      <c r="P522" s="2"/>
      <c r="Q522" s="2"/>
    </row>
    <row r="523" spans="2:17" ht="14.5" x14ac:dyDescent="0.3">
      <c r="B523" s="2"/>
      <c r="C523" s="2"/>
      <c r="D523" s="2"/>
      <c r="E523" s="2"/>
      <c r="F523" s="2"/>
      <c r="G523" s="2"/>
      <c r="H523" s="2"/>
      <c r="I523" s="2"/>
      <c r="J523" s="2"/>
      <c r="K523" s="2"/>
      <c r="L523" s="2"/>
      <c r="M523" s="2"/>
      <c r="N523" s="2"/>
      <c r="O523" s="2"/>
      <c r="P523" s="2"/>
      <c r="Q523" s="2"/>
    </row>
    <row r="524" spans="2:17" ht="14.5" x14ac:dyDescent="0.3">
      <c r="B524" s="2"/>
      <c r="C524" s="2"/>
      <c r="D524" s="2"/>
      <c r="E524" s="2"/>
      <c r="F524" s="2"/>
      <c r="G524" s="2"/>
      <c r="H524" s="2"/>
      <c r="I524" s="2"/>
      <c r="J524" s="2"/>
      <c r="K524" s="2"/>
      <c r="L524" s="2"/>
      <c r="M524" s="2"/>
      <c r="N524" s="2"/>
      <c r="O524" s="2"/>
      <c r="P524" s="2"/>
      <c r="Q524" s="2"/>
    </row>
    <row r="525" spans="2:17" ht="14.5" x14ac:dyDescent="0.3">
      <c r="B525" s="2"/>
      <c r="C525" s="2"/>
      <c r="D525" s="2"/>
      <c r="E525" s="2"/>
      <c r="F525" s="2"/>
      <c r="G525" s="2"/>
      <c r="H525" s="2"/>
      <c r="I525" s="2"/>
      <c r="J525" s="2"/>
      <c r="K525" s="2"/>
      <c r="L525" s="2"/>
      <c r="M525" s="2"/>
      <c r="N525" s="2"/>
      <c r="O525" s="2"/>
      <c r="P525" s="2"/>
      <c r="Q525" s="2"/>
    </row>
    <row r="526" spans="2:17" ht="14.5" x14ac:dyDescent="0.3">
      <c r="B526" s="2"/>
      <c r="C526" s="2"/>
      <c r="D526" s="2"/>
      <c r="E526" s="2"/>
      <c r="F526" s="2"/>
      <c r="G526" s="2"/>
      <c r="H526" s="2"/>
      <c r="I526" s="2"/>
      <c r="J526" s="2"/>
      <c r="K526" s="2"/>
      <c r="L526" s="2"/>
      <c r="M526" s="2"/>
      <c r="N526" s="2"/>
      <c r="O526" s="2"/>
      <c r="P526" s="2"/>
      <c r="Q526" s="2"/>
    </row>
    <row r="527" spans="2:17" ht="14.5" x14ac:dyDescent="0.3">
      <c r="B527" s="2"/>
      <c r="C527" s="2"/>
      <c r="D527" s="2"/>
      <c r="E527" s="2"/>
      <c r="F527" s="2"/>
      <c r="G527" s="2"/>
      <c r="H527" s="2"/>
      <c r="I527" s="2"/>
      <c r="J527" s="2"/>
      <c r="K527" s="2"/>
      <c r="L527" s="2"/>
      <c r="M527" s="2"/>
      <c r="N527" s="2"/>
      <c r="O527" s="2"/>
      <c r="P527" s="2"/>
      <c r="Q527" s="2"/>
    </row>
    <row r="528" spans="2:17" ht="14.5" x14ac:dyDescent="0.3">
      <c r="B528" s="2"/>
      <c r="C528" s="2"/>
      <c r="D528" s="2"/>
      <c r="E528" s="2"/>
      <c r="F528" s="2"/>
      <c r="G528" s="2"/>
      <c r="H528" s="2"/>
      <c r="I528" s="2"/>
      <c r="J528" s="2"/>
      <c r="K528" s="2"/>
      <c r="L528" s="2"/>
      <c r="M528" s="2"/>
      <c r="N528" s="2"/>
      <c r="O528" s="2"/>
      <c r="P528" s="2"/>
      <c r="Q528" s="2"/>
    </row>
    <row r="529" spans="2:17" ht="14.5" x14ac:dyDescent="0.3">
      <c r="B529" s="2"/>
      <c r="C529" s="2"/>
      <c r="D529" s="2"/>
      <c r="E529" s="2"/>
      <c r="F529" s="2"/>
      <c r="G529" s="2"/>
      <c r="H529" s="2"/>
      <c r="I529" s="2"/>
      <c r="J529" s="2"/>
      <c r="K529" s="2"/>
      <c r="L529" s="2"/>
      <c r="M529" s="2"/>
      <c r="N529" s="2"/>
      <c r="O529" s="2"/>
      <c r="P529" s="2"/>
      <c r="Q529" s="2"/>
    </row>
    <row r="530" spans="2:17" ht="14.5" x14ac:dyDescent="0.3">
      <c r="B530" s="2"/>
      <c r="C530" s="2"/>
      <c r="D530" s="2"/>
      <c r="E530" s="2"/>
      <c r="F530" s="2"/>
      <c r="G530" s="2"/>
      <c r="H530" s="2"/>
      <c r="I530" s="2"/>
      <c r="J530" s="2"/>
      <c r="K530" s="2"/>
      <c r="L530" s="2"/>
      <c r="M530" s="2"/>
      <c r="N530" s="2"/>
      <c r="O530" s="2"/>
      <c r="P530" s="2"/>
      <c r="Q530" s="2"/>
    </row>
    <row r="531" spans="2:17" ht="14.5" x14ac:dyDescent="0.3">
      <c r="B531" s="2"/>
      <c r="C531" s="2"/>
      <c r="D531" s="2"/>
      <c r="E531" s="2"/>
      <c r="F531" s="2"/>
      <c r="G531" s="2"/>
      <c r="H531" s="2"/>
      <c r="I531" s="2"/>
      <c r="J531" s="2"/>
      <c r="K531" s="2"/>
      <c r="L531" s="2"/>
      <c r="M531" s="2"/>
      <c r="N531" s="2"/>
      <c r="O531" s="2"/>
      <c r="P531" s="2"/>
      <c r="Q531" s="2"/>
    </row>
    <row r="532" spans="2:17" ht="14.5" x14ac:dyDescent="0.3">
      <c r="B532" s="2"/>
      <c r="C532" s="2"/>
      <c r="D532" s="2"/>
      <c r="E532" s="2"/>
      <c r="F532" s="2"/>
      <c r="G532" s="2"/>
      <c r="H532" s="2"/>
      <c r="I532" s="2"/>
      <c r="J532" s="2"/>
      <c r="K532" s="2"/>
      <c r="L532" s="2"/>
      <c r="M532" s="2"/>
      <c r="N532" s="2"/>
      <c r="O532" s="2"/>
      <c r="P532" s="2"/>
      <c r="Q532" s="2"/>
    </row>
    <row r="533" spans="2:17" ht="14.5" x14ac:dyDescent="0.3">
      <c r="B533" s="2"/>
      <c r="C533" s="2"/>
      <c r="D533" s="2"/>
      <c r="E533" s="2"/>
      <c r="F533" s="2"/>
      <c r="G533" s="2"/>
      <c r="H533" s="2"/>
      <c r="I533" s="2"/>
      <c r="J533" s="2"/>
      <c r="K533" s="2"/>
      <c r="L533" s="2"/>
      <c r="M533" s="2"/>
      <c r="N533" s="2"/>
      <c r="O533" s="2"/>
      <c r="P533" s="2"/>
      <c r="Q533" s="2"/>
    </row>
    <row r="534" spans="2:17" ht="14.5" x14ac:dyDescent="0.3">
      <c r="B534" s="2"/>
      <c r="C534" s="2"/>
      <c r="D534" s="2"/>
      <c r="E534" s="2"/>
      <c r="F534" s="2"/>
      <c r="G534" s="2"/>
      <c r="H534" s="2"/>
      <c r="I534" s="2"/>
      <c r="J534" s="2"/>
      <c r="K534" s="2"/>
      <c r="L534" s="2"/>
      <c r="M534" s="2"/>
      <c r="N534" s="2"/>
      <c r="O534" s="2"/>
      <c r="P534" s="2"/>
      <c r="Q534" s="2"/>
    </row>
    <row r="535" spans="2:17" ht="14.5" x14ac:dyDescent="0.3">
      <c r="B535" s="2"/>
      <c r="C535" s="2"/>
      <c r="D535" s="2"/>
      <c r="E535" s="2"/>
      <c r="F535" s="2"/>
      <c r="G535" s="2"/>
      <c r="H535" s="2"/>
      <c r="I535" s="2"/>
      <c r="J535" s="2"/>
      <c r="K535" s="2"/>
      <c r="L535" s="2"/>
      <c r="M535" s="2"/>
      <c r="N535" s="2"/>
      <c r="O535" s="2"/>
      <c r="P535" s="2"/>
      <c r="Q535" s="2"/>
    </row>
    <row r="536" spans="2:17" ht="14.5" x14ac:dyDescent="0.3">
      <c r="B536" s="2"/>
      <c r="C536" s="2"/>
      <c r="D536" s="2"/>
      <c r="E536" s="2"/>
      <c r="F536" s="2"/>
      <c r="G536" s="2"/>
      <c r="H536" s="2"/>
      <c r="I536" s="2"/>
      <c r="J536" s="2"/>
      <c r="K536" s="2"/>
      <c r="L536" s="2"/>
      <c r="M536" s="2"/>
      <c r="N536" s="2"/>
      <c r="O536" s="2"/>
      <c r="P536" s="2"/>
      <c r="Q536" s="2"/>
    </row>
    <row r="537" spans="2:17" ht="14.5" x14ac:dyDescent="0.3">
      <c r="B537" s="2"/>
      <c r="C537" s="2"/>
      <c r="D537" s="2"/>
      <c r="E537" s="2"/>
      <c r="F537" s="2"/>
      <c r="G537" s="2"/>
      <c r="H537" s="2"/>
      <c r="I537" s="2"/>
      <c r="J537" s="2"/>
      <c r="K537" s="2"/>
      <c r="L537" s="2"/>
      <c r="M537" s="2"/>
      <c r="N537" s="2"/>
      <c r="O537" s="2"/>
      <c r="P537" s="2"/>
      <c r="Q537" s="2"/>
    </row>
    <row r="538" spans="2:17" ht="14.5" x14ac:dyDescent="0.3">
      <c r="B538" s="2"/>
      <c r="C538" s="2"/>
      <c r="D538" s="2"/>
      <c r="E538" s="2"/>
      <c r="F538" s="2"/>
      <c r="G538" s="2"/>
      <c r="H538" s="2"/>
      <c r="I538" s="2"/>
      <c r="J538" s="2"/>
      <c r="K538" s="2"/>
      <c r="L538" s="2"/>
      <c r="M538" s="2"/>
      <c r="N538" s="2"/>
      <c r="O538" s="2"/>
      <c r="P538" s="2"/>
      <c r="Q538" s="2"/>
    </row>
    <row r="539" spans="2:17" ht="14.5" x14ac:dyDescent="0.3">
      <c r="B539" s="2"/>
      <c r="C539" s="2"/>
      <c r="D539" s="2"/>
      <c r="E539" s="2"/>
      <c r="F539" s="2"/>
      <c r="G539" s="2"/>
      <c r="H539" s="2"/>
      <c r="I539" s="2"/>
      <c r="J539" s="2"/>
      <c r="K539" s="2"/>
      <c r="L539" s="2"/>
      <c r="M539" s="2"/>
      <c r="N539" s="2"/>
      <c r="O539" s="2"/>
      <c r="P539" s="2"/>
      <c r="Q539" s="2"/>
    </row>
    <row r="540" spans="2:17" ht="14.5" x14ac:dyDescent="0.3">
      <c r="B540" s="2"/>
      <c r="C540" s="2"/>
      <c r="D540" s="2"/>
      <c r="E540" s="2"/>
      <c r="F540" s="2"/>
      <c r="G540" s="2"/>
      <c r="H540" s="2"/>
      <c r="I540" s="2"/>
      <c r="J540" s="2"/>
      <c r="K540" s="2"/>
      <c r="L540" s="2"/>
      <c r="M540" s="2"/>
      <c r="N540" s="2"/>
      <c r="O540" s="2"/>
      <c r="P540" s="2"/>
      <c r="Q540" s="2"/>
    </row>
    <row r="541" spans="2:17" ht="14.5" x14ac:dyDescent="0.3">
      <c r="B541" s="2"/>
      <c r="C541" s="2"/>
      <c r="D541" s="2"/>
      <c r="E541" s="2"/>
      <c r="F541" s="2"/>
      <c r="G541" s="2"/>
      <c r="H541" s="2"/>
      <c r="I541" s="2"/>
      <c r="J541" s="2"/>
      <c r="K541" s="2"/>
      <c r="L541" s="2"/>
      <c r="M541" s="2"/>
      <c r="N541" s="2"/>
      <c r="O541" s="2"/>
      <c r="P541" s="2"/>
      <c r="Q541" s="2"/>
    </row>
    <row r="542" spans="2:17" ht="14.5" x14ac:dyDescent="0.3">
      <c r="B542" s="2"/>
      <c r="C542" s="2"/>
      <c r="D542" s="2"/>
      <c r="E542" s="2"/>
      <c r="F542" s="2"/>
      <c r="G542" s="2"/>
      <c r="H542" s="2"/>
      <c r="I542" s="2"/>
      <c r="J542" s="2"/>
      <c r="K542" s="2"/>
      <c r="L542" s="2"/>
      <c r="M542" s="2"/>
      <c r="N542" s="2"/>
      <c r="O542" s="2"/>
      <c r="P542" s="2"/>
      <c r="Q542" s="2"/>
    </row>
    <row r="543" spans="2:17" ht="14.5" x14ac:dyDescent="0.3">
      <c r="B543" s="2"/>
      <c r="C543" s="2"/>
      <c r="D543" s="2"/>
      <c r="E543" s="2"/>
      <c r="F543" s="2"/>
      <c r="G543" s="2"/>
      <c r="H543" s="2"/>
      <c r="I543" s="2"/>
      <c r="J543" s="2"/>
      <c r="K543" s="2"/>
      <c r="L543" s="2"/>
      <c r="M543" s="2"/>
      <c r="N543" s="2"/>
      <c r="O543" s="2"/>
      <c r="P543" s="2"/>
      <c r="Q543" s="2"/>
    </row>
    <row r="544" spans="2:17" ht="14.5" x14ac:dyDescent="0.3">
      <c r="B544" s="2"/>
      <c r="C544" s="2"/>
      <c r="D544" s="2"/>
      <c r="E544" s="2"/>
      <c r="F544" s="2"/>
      <c r="G544" s="2"/>
      <c r="H544" s="2"/>
      <c r="I544" s="2"/>
      <c r="J544" s="2"/>
      <c r="K544" s="2"/>
      <c r="L544" s="2"/>
      <c r="M544" s="2"/>
      <c r="N544" s="2"/>
      <c r="O544" s="2"/>
      <c r="P544" s="2"/>
      <c r="Q544" s="2"/>
    </row>
    <row r="545" spans="2:17" ht="14.5" x14ac:dyDescent="0.3">
      <c r="B545" s="2"/>
      <c r="C545" s="2"/>
      <c r="D545" s="2"/>
      <c r="E545" s="2"/>
      <c r="F545" s="2"/>
      <c r="G545" s="2"/>
      <c r="H545" s="2"/>
      <c r="I545" s="2"/>
      <c r="J545" s="2"/>
      <c r="K545" s="2"/>
      <c r="L545" s="2"/>
      <c r="M545" s="2"/>
      <c r="N545" s="2"/>
      <c r="O545" s="2"/>
      <c r="P545" s="2"/>
      <c r="Q545" s="2"/>
    </row>
    <row r="546" spans="2:17" ht="14.5" x14ac:dyDescent="0.3">
      <c r="B546" s="2"/>
      <c r="C546" s="2"/>
      <c r="D546" s="2"/>
      <c r="E546" s="2"/>
      <c r="F546" s="2"/>
      <c r="G546" s="2"/>
      <c r="H546" s="2"/>
      <c r="I546" s="2"/>
      <c r="J546" s="2"/>
      <c r="K546" s="2"/>
      <c r="L546" s="2"/>
      <c r="M546" s="2"/>
      <c r="N546" s="2"/>
      <c r="O546" s="2"/>
      <c r="P546" s="2"/>
      <c r="Q546" s="2"/>
    </row>
    <row r="547" spans="2:17" ht="14.5" x14ac:dyDescent="0.3">
      <c r="B547" s="2"/>
      <c r="C547" s="2"/>
      <c r="D547" s="2"/>
      <c r="E547" s="2"/>
      <c r="F547" s="2"/>
      <c r="G547" s="2"/>
      <c r="H547" s="2"/>
      <c r="I547" s="2"/>
      <c r="J547" s="2"/>
      <c r="K547" s="2"/>
      <c r="L547" s="2"/>
      <c r="M547" s="2"/>
      <c r="N547" s="2"/>
      <c r="O547" s="2"/>
      <c r="P547" s="2"/>
      <c r="Q547" s="2"/>
    </row>
    <row r="548" spans="2:17" ht="14.5" x14ac:dyDescent="0.3">
      <c r="B548" s="2"/>
      <c r="C548" s="2"/>
      <c r="D548" s="2"/>
      <c r="E548" s="2"/>
      <c r="F548" s="2"/>
      <c r="G548" s="2"/>
      <c r="H548" s="2"/>
      <c r="I548" s="2"/>
      <c r="J548" s="2"/>
      <c r="K548" s="2"/>
      <c r="L548" s="2"/>
      <c r="M548" s="2"/>
      <c r="N548" s="2"/>
      <c r="O548" s="2"/>
      <c r="P548" s="2"/>
      <c r="Q548" s="2"/>
    </row>
    <row r="549" spans="2:17" ht="14.5" x14ac:dyDescent="0.3">
      <c r="B549" s="2"/>
      <c r="C549" s="2"/>
      <c r="D549" s="2"/>
      <c r="E549" s="2"/>
      <c r="F549" s="2"/>
      <c r="G549" s="2"/>
      <c r="H549" s="2"/>
      <c r="I549" s="2"/>
      <c r="J549" s="2"/>
      <c r="K549" s="2"/>
      <c r="L549" s="2"/>
      <c r="M549" s="2"/>
      <c r="N549" s="2"/>
      <c r="O549" s="2"/>
      <c r="P549" s="2"/>
      <c r="Q549" s="2"/>
    </row>
    <row r="550" spans="2:17" ht="14.5" x14ac:dyDescent="0.3">
      <c r="B550" s="2"/>
      <c r="C550" s="2"/>
      <c r="D550" s="2"/>
      <c r="E550" s="2"/>
      <c r="F550" s="2"/>
      <c r="G550" s="2"/>
      <c r="H550" s="2"/>
      <c r="I550" s="2"/>
      <c r="J550" s="2"/>
      <c r="K550" s="2"/>
      <c r="L550" s="2"/>
      <c r="M550" s="2"/>
      <c r="N550" s="2"/>
      <c r="O550" s="2"/>
      <c r="P550" s="2"/>
      <c r="Q550" s="2"/>
    </row>
    <row r="551" spans="2:17" ht="14.5" x14ac:dyDescent="0.3">
      <c r="B551" s="2"/>
      <c r="C551" s="2"/>
      <c r="D551" s="2"/>
      <c r="E551" s="2"/>
      <c r="F551" s="2"/>
      <c r="G551" s="2"/>
      <c r="H551" s="2"/>
      <c r="I551" s="2"/>
      <c r="J551" s="2"/>
      <c r="K551" s="2"/>
      <c r="L551" s="2"/>
      <c r="M551" s="2"/>
      <c r="N551" s="2"/>
      <c r="O551" s="2"/>
      <c r="P551" s="2"/>
      <c r="Q551" s="2"/>
    </row>
    <row r="552" spans="2:17" ht="14.5" x14ac:dyDescent="0.3">
      <c r="B552" s="2"/>
      <c r="C552" s="2"/>
      <c r="D552" s="2"/>
      <c r="E552" s="2"/>
      <c r="F552" s="2"/>
      <c r="G552" s="2"/>
      <c r="H552" s="2"/>
      <c r="I552" s="2"/>
      <c r="J552" s="2"/>
      <c r="K552" s="2"/>
      <c r="L552" s="2"/>
      <c r="M552" s="2"/>
      <c r="N552" s="2"/>
      <c r="O552" s="2"/>
      <c r="P552" s="2"/>
      <c r="Q552" s="2"/>
    </row>
    <row r="553" spans="2:17" ht="14.5" x14ac:dyDescent="0.3">
      <c r="B553" s="2"/>
      <c r="C553" s="2"/>
      <c r="D553" s="2"/>
      <c r="E553" s="2"/>
      <c r="F553" s="2"/>
      <c r="G553" s="2"/>
      <c r="H553" s="2"/>
      <c r="I553" s="2"/>
      <c r="J553" s="2"/>
      <c r="K553" s="2"/>
      <c r="L553" s="2"/>
      <c r="M553" s="2"/>
      <c r="N553" s="2"/>
      <c r="O553" s="2"/>
      <c r="P553" s="2"/>
      <c r="Q553" s="2"/>
    </row>
    <row r="554" spans="2:17" ht="14.5" x14ac:dyDescent="0.3">
      <c r="B554" s="2"/>
      <c r="C554" s="2"/>
      <c r="D554" s="2"/>
      <c r="E554" s="2"/>
      <c r="F554" s="2"/>
      <c r="G554" s="2"/>
      <c r="H554" s="2"/>
      <c r="I554" s="2"/>
      <c r="J554" s="2"/>
      <c r="K554" s="2"/>
      <c r="L554" s="2"/>
      <c r="M554" s="2"/>
      <c r="N554" s="2"/>
      <c r="O554" s="2"/>
      <c r="P554" s="2"/>
      <c r="Q554" s="2"/>
    </row>
    <row r="555" spans="2:17" ht="14.5" x14ac:dyDescent="0.3">
      <c r="B555" s="2"/>
      <c r="C555" s="2"/>
      <c r="D555" s="2"/>
      <c r="E555" s="2"/>
      <c r="F555" s="2"/>
      <c r="G555" s="2"/>
      <c r="H555" s="2"/>
      <c r="I555" s="2"/>
      <c r="J555" s="2"/>
      <c r="K555" s="2"/>
      <c r="L555" s="2"/>
      <c r="M555" s="2"/>
      <c r="N555" s="2"/>
      <c r="O555" s="2"/>
      <c r="P555" s="2"/>
      <c r="Q555" s="2"/>
    </row>
    <row r="556" spans="2:17" ht="14.5" x14ac:dyDescent="0.3">
      <c r="B556" s="2"/>
      <c r="C556" s="2"/>
      <c r="D556" s="2"/>
      <c r="E556" s="2"/>
      <c r="F556" s="2"/>
      <c r="G556" s="2"/>
      <c r="H556" s="2"/>
      <c r="I556" s="2"/>
      <c r="J556" s="2"/>
      <c r="K556" s="2"/>
      <c r="L556" s="2"/>
      <c r="M556" s="2"/>
      <c r="N556" s="2"/>
      <c r="O556" s="2"/>
      <c r="P556" s="2"/>
      <c r="Q556" s="2"/>
    </row>
    <row r="557" spans="2:17" ht="14.5" x14ac:dyDescent="0.3">
      <c r="B557" s="2"/>
      <c r="C557" s="2"/>
      <c r="D557" s="2"/>
      <c r="E557" s="2"/>
      <c r="F557" s="2"/>
      <c r="G557" s="2"/>
      <c r="H557" s="2"/>
      <c r="I557" s="2"/>
      <c r="J557" s="2"/>
      <c r="K557" s="2"/>
      <c r="L557" s="2"/>
      <c r="M557" s="2"/>
      <c r="N557" s="2"/>
      <c r="O557" s="2"/>
      <c r="P557" s="2"/>
      <c r="Q557" s="2"/>
    </row>
    <row r="558" spans="2:17" ht="14.5" x14ac:dyDescent="0.3">
      <c r="B558" s="2"/>
      <c r="C558" s="2"/>
      <c r="D558" s="2"/>
      <c r="E558" s="2"/>
      <c r="F558" s="2"/>
      <c r="G558" s="2"/>
      <c r="H558" s="2"/>
      <c r="I558" s="2"/>
      <c r="J558" s="2"/>
      <c r="K558" s="2"/>
      <c r="L558" s="2"/>
      <c r="M558" s="2"/>
      <c r="N558" s="2"/>
      <c r="O558" s="2"/>
      <c r="P558" s="2"/>
      <c r="Q558" s="2"/>
    </row>
    <row r="559" spans="2:17" ht="14.5" x14ac:dyDescent="0.3">
      <c r="B559" s="2"/>
      <c r="C559" s="2"/>
      <c r="D559" s="2"/>
      <c r="E559" s="2"/>
      <c r="F559" s="2"/>
      <c r="G559" s="2"/>
      <c r="H559" s="2"/>
      <c r="I559" s="2"/>
      <c r="J559" s="2"/>
      <c r="K559" s="2"/>
      <c r="L559" s="2"/>
      <c r="M559" s="2"/>
      <c r="N559" s="2"/>
      <c r="O559" s="2"/>
      <c r="P559" s="2"/>
      <c r="Q559" s="2"/>
    </row>
    <row r="560" spans="2:17" ht="14.5" x14ac:dyDescent="0.3">
      <c r="B560" s="2"/>
      <c r="C560" s="2"/>
      <c r="D560" s="2"/>
      <c r="E560" s="2"/>
      <c r="F560" s="2"/>
      <c r="G560" s="2"/>
      <c r="H560" s="2"/>
      <c r="I560" s="2"/>
      <c r="J560" s="2"/>
      <c r="K560" s="2"/>
      <c r="L560" s="2"/>
      <c r="M560" s="2"/>
      <c r="N560" s="2"/>
      <c r="O560" s="2"/>
      <c r="P560" s="2"/>
      <c r="Q560" s="2"/>
    </row>
    <row r="561" spans="2:17" ht="14.5" x14ac:dyDescent="0.3">
      <c r="B561" s="2"/>
      <c r="C561" s="2"/>
      <c r="D561" s="2"/>
      <c r="E561" s="2"/>
      <c r="F561" s="2"/>
      <c r="G561" s="2"/>
      <c r="H561" s="2"/>
      <c r="I561" s="2"/>
      <c r="J561" s="2"/>
      <c r="K561" s="2"/>
      <c r="L561" s="2"/>
      <c r="M561" s="2"/>
      <c r="N561" s="2"/>
      <c r="O561" s="2"/>
      <c r="P561" s="2"/>
      <c r="Q561" s="2"/>
    </row>
    <row r="562" spans="2:17" ht="14.5" x14ac:dyDescent="0.3">
      <c r="B562" s="2"/>
      <c r="C562" s="2"/>
      <c r="D562" s="2"/>
      <c r="E562" s="2"/>
      <c r="F562" s="2"/>
      <c r="G562" s="2"/>
      <c r="H562" s="2"/>
      <c r="I562" s="2"/>
      <c r="J562" s="2"/>
      <c r="K562" s="2"/>
      <c r="L562" s="2"/>
      <c r="M562" s="2"/>
      <c r="N562" s="2"/>
      <c r="O562" s="2"/>
      <c r="P562" s="2"/>
      <c r="Q562" s="2"/>
    </row>
    <row r="563" spans="2:17" ht="14.5" x14ac:dyDescent="0.3">
      <c r="B563" s="2"/>
      <c r="C563" s="2"/>
      <c r="D563" s="2"/>
      <c r="E563" s="2"/>
      <c r="F563" s="2"/>
      <c r="G563" s="2"/>
      <c r="H563" s="2"/>
      <c r="I563" s="2"/>
      <c r="J563" s="2"/>
      <c r="K563" s="2"/>
      <c r="L563" s="2"/>
      <c r="M563" s="2"/>
      <c r="N563" s="2"/>
      <c r="O563" s="2"/>
      <c r="P563" s="2"/>
      <c r="Q563" s="2"/>
    </row>
    <row r="564" spans="2:17" ht="14.5" x14ac:dyDescent="0.3">
      <c r="B564" s="2"/>
      <c r="C564" s="2"/>
      <c r="D564" s="2"/>
      <c r="E564" s="2"/>
      <c r="F564" s="2"/>
      <c r="G564" s="2"/>
      <c r="H564" s="2"/>
      <c r="I564" s="2"/>
      <c r="J564" s="2"/>
      <c r="K564" s="2"/>
      <c r="L564" s="2"/>
      <c r="M564" s="2"/>
      <c r="N564" s="2"/>
      <c r="O564" s="2"/>
      <c r="P564" s="2"/>
      <c r="Q564" s="2"/>
    </row>
    <row r="565" spans="2:17" ht="14.5" x14ac:dyDescent="0.3">
      <c r="B565" s="2"/>
      <c r="C565" s="2"/>
      <c r="D565" s="2"/>
      <c r="E565" s="2"/>
      <c r="F565" s="2"/>
      <c r="G565" s="2"/>
      <c r="H565" s="2"/>
      <c r="I565" s="2"/>
      <c r="J565" s="2"/>
      <c r="K565" s="2"/>
      <c r="L565" s="2"/>
      <c r="M565" s="2"/>
      <c r="N565" s="2"/>
      <c r="O565" s="2"/>
      <c r="P565" s="2"/>
      <c r="Q565" s="2"/>
    </row>
    <row r="566" spans="2:17" ht="14.5" x14ac:dyDescent="0.3">
      <c r="B566" s="2"/>
      <c r="C566" s="2"/>
      <c r="D566" s="2"/>
      <c r="E566" s="2"/>
      <c r="F566" s="2"/>
      <c r="G566" s="2"/>
      <c r="H566" s="2"/>
      <c r="I566" s="2"/>
      <c r="J566" s="2"/>
      <c r="K566" s="2"/>
      <c r="L566" s="2"/>
      <c r="M566" s="2"/>
      <c r="N566" s="2"/>
      <c r="O566" s="2"/>
      <c r="P566" s="2"/>
      <c r="Q566" s="2"/>
    </row>
    <row r="567" spans="2:17" ht="14.5" x14ac:dyDescent="0.3">
      <c r="B567" s="2"/>
      <c r="C567" s="2"/>
      <c r="D567" s="2"/>
      <c r="E567" s="2"/>
      <c r="F567" s="2"/>
      <c r="G567" s="2"/>
      <c r="H567" s="2"/>
      <c r="I567" s="2"/>
      <c r="J567" s="2"/>
      <c r="K567" s="2"/>
      <c r="L567" s="2"/>
      <c r="M567" s="2"/>
      <c r="N567" s="2"/>
      <c r="O567" s="2"/>
      <c r="P567" s="2"/>
      <c r="Q567" s="2"/>
    </row>
    <row r="568" spans="2:17" ht="14.5" x14ac:dyDescent="0.3">
      <c r="B568" s="2"/>
      <c r="C568" s="2"/>
      <c r="D568" s="2"/>
      <c r="E568" s="2"/>
      <c r="F568" s="2"/>
      <c r="G568" s="2"/>
      <c r="H568" s="2"/>
      <c r="I568" s="2"/>
      <c r="J568" s="2"/>
      <c r="K568" s="2"/>
      <c r="L568" s="2"/>
      <c r="M568" s="2"/>
      <c r="N568" s="2"/>
      <c r="O568" s="2"/>
      <c r="P568" s="2"/>
      <c r="Q568" s="2"/>
    </row>
    <row r="569" spans="2:17" ht="14.5" x14ac:dyDescent="0.3">
      <c r="B569" s="2"/>
      <c r="C569" s="2"/>
      <c r="D569" s="2"/>
      <c r="E569" s="2"/>
      <c r="F569" s="2"/>
      <c r="G569" s="2"/>
      <c r="H569" s="2"/>
      <c r="I569" s="2"/>
      <c r="J569" s="2"/>
      <c r="K569" s="2"/>
      <c r="L569" s="2"/>
      <c r="M569" s="2"/>
      <c r="N569" s="2"/>
      <c r="O569" s="2"/>
      <c r="P569" s="2"/>
      <c r="Q569" s="2"/>
    </row>
    <row r="570" spans="2:17" ht="14.5" x14ac:dyDescent="0.3">
      <c r="B570" s="2"/>
      <c r="C570" s="2"/>
      <c r="D570" s="2"/>
      <c r="E570" s="2"/>
      <c r="F570" s="2"/>
      <c r="G570" s="2"/>
      <c r="H570" s="2"/>
      <c r="I570" s="2"/>
      <c r="J570" s="2"/>
      <c r="K570" s="2"/>
      <c r="L570" s="2"/>
      <c r="M570" s="2"/>
      <c r="N570" s="2"/>
      <c r="O570" s="2"/>
      <c r="P570" s="2"/>
      <c r="Q570" s="2"/>
    </row>
    <row r="571" spans="2:17" ht="14.5" x14ac:dyDescent="0.3">
      <c r="B571" s="2"/>
      <c r="C571" s="2"/>
      <c r="D571" s="2"/>
      <c r="E571" s="2"/>
      <c r="F571" s="2"/>
      <c r="G571" s="2"/>
      <c r="H571" s="2"/>
      <c r="I571" s="2"/>
      <c r="J571" s="2"/>
      <c r="K571" s="2"/>
      <c r="L571" s="2"/>
      <c r="M571" s="2"/>
      <c r="N571" s="2"/>
      <c r="O571" s="2"/>
      <c r="P571" s="2"/>
      <c r="Q571" s="2"/>
    </row>
    <row r="572" spans="2:17" ht="14.5" x14ac:dyDescent="0.3">
      <c r="B572" s="2"/>
      <c r="C572" s="2"/>
      <c r="D572" s="2"/>
      <c r="E572" s="2"/>
      <c r="F572" s="2"/>
      <c r="G572" s="2"/>
      <c r="H572" s="2"/>
      <c r="I572" s="2"/>
      <c r="J572" s="2"/>
      <c r="K572" s="2"/>
      <c r="L572" s="2"/>
      <c r="M572" s="2"/>
      <c r="N572" s="2"/>
      <c r="O572" s="2"/>
      <c r="P572" s="2"/>
      <c r="Q572" s="2"/>
    </row>
    <row r="573" spans="2:17" ht="14.5" x14ac:dyDescent="0.3">
      <c r="B573" s="2"/>
      <c r="C573" s="2"/>
      <c r="D573" s="2"/>
      <c r="E573" s="2"/>
      <c r="F573" s="2"/>
      <c r="G573" s="2"/>
      <c r="H573" s="2"/>
      <c r="I573" s="2"/>
      <c r="J573" s="2"/>
      <c r="K573" s="2"/>
      <c r="L573" s="2"/>
      <c r="M573" s="2"/>
      <c r="N573" s="2"/>
      <c r="O573" s="2"/>
      <c r="P573" s="2"/>
      <c r="Q573" s="2"/>
    </row>
    <row r="574" spans="2:17" ht="14.5" x14ac:dyDescent="0.3">
      <c r="B574" s="2"/>
      <c r="C574" s="2"/>
      <c r="D574" s="2"/>
      <c r="E574" s="2"/>
      <c r="F574" s="2"/>
      <c r="G574" s="2"/>
      <c r="H574" s="2"/>
      <c r="I574" s="2"/>
      <c r="J574" s="2"/>
      <c r="K574" s="2"/>
      <c r="L574" s="2"/>
      <c r="M574" s="2"/>
      <c r="N574" s="2"/>
      <c r="O574" s="2"/>
      <c r="P574" s="2"/>
      <c r="Q574" s="2"/>
    </row>
    <row r="575" spans="2:17" ht="14.5" x14ac:dyDescent="0.3">
      <c r="B575" s="2"/>
      <c r="C575" s="2"/>
      <c r="D575" s="2"/>
      <c r="E575" s="2"/>
      <c r="F575" s="2"/>
      <c r="G575" s="2"/>
      <c r="H575" s="2"/>
      <c r="I575" s="2"/>
      <c r="J575" s="2"/>
      <c r="K575" s="2"/>
      <c r="L575" s="2"/>
      <c r="M575" s="2"/>
      <c r="N575" s="2"/>
      <c r="O575" s="2"/>
      <c r="P575" s="2"/>
      <c r="Q575" s="2"/>
    </row>
    <row r="576" spans="2:17" ht="14.5" x14ac:dyDescent="0.3">
      <c r="B576" s="2"/>
      <c r="C576" s="2"/>
      <c r="D576" s="2"/>
      <c r="E576" s="2"/>
      <c r="F576" s="2"/>
      <c r="G576" s="2"/>
      <c r="H576" s="2"/>
      <c r="I576" s="2"/>
      <c r="J576" s="2"/>
      <c r="K576" s="2"/>
      <c r="L576" s="2"/>
      <c r="M576" s="2"/>
      <c r="N576" s="2"/>
      <c r="O576" s="2"/>
      <c r="P576" s="2"/>
      <c r="Q576" s="2"/>
    </row>
    <row r="577" spans="2:17" ht="14.5" x14ac:dyDescent="0.3">
      <c r="B577" s="2"/>
      <c r="C577" s="2"/>
      <c r="D577" s="2"/>
      <c r="E577" s="2"/>
      <c r="F577" s="2"/>
      <c r="G577" s="2"/>
      <c r="H577" s="2"/>
      <c r="I577" s="2"/>
      <c r="J577" s="2"/>
      <c r="K577" s="2"/>
      <c r="L577" s="2"/>
      <c r="M577" s="2"/>
      <c r="N577" s="2"/>
      <c r="O577" s="2"/>
      <c r="P577" s="2"/>
      <c r="Q577" s="2"/>
    </row>
    <row r="578" spans="2:17" ht="14.5" x14ac:dyDescent="0.3">
      <c r="B578" s="2"/>
      <c r="C578" s="2"/>
      <c r="D578" s="2"/>
      <c r="E578" s="2"/>
      <c r="F578" s="2"/>
      <c r="G578" s="2"/>
      <c r="H578" s="2"/>
      <c r="I578" s="2"/>
      <c r="J578" s="2"/>
      <c r="K578" s="2"/>
      <c r="L578" s="2"/>
      <c r="M578" s="2"/>
      <c r="N578" s="2"/>
      <c r="O578" s="2"/>
      <c r="P578" s="2"/>
      <c r="Q578" s="2"/>
    </row>
    <row r="579" spans="2:17" ht="14.5" x14ac:dyDescent="0.3">
      <c r="B579" s="2"/>
      <c r="C579" s="2"/>
      <c r="D579" s="2"/>
      <c r="E579" s="2"/>
      <c r="F579" s="2"/>
      <c r="G579" s="2"/>
      <c r="H579" s="2"/>
      <c r="I579" s="2"/>
      <c r="J579" s="2"/>
      <c r="K579" s="2"/>
      <c r="L579" s="2"/>
      <c r="M579" s="2"/>
      <c r="N579" s="2"/>
      <c r="O579" s="2"/>
      <c r="P579" s="2"/>
      <c r="Q579" s="2"/>
    </row>
    <row r="580" spans="2:17" ht="14.5" x14ac:dyDescent="0.3">
      <c r="B580" s="2"/>
      <c r="C580" s="2"/>
      <c r="D580" s="2"/>
      <c r="E580" s="2"/>
      <c r="F580" s="2"/>
      <c r="G580" s="2"/>
      <c r="H580" s="2"/>
      <c r="I580" s="2"/>
      <c r="J580" s="2"/>
      <c r="K580" s="2"/>
      <c r="L580" s="2"/>
      <c r="M580" s="2"/>
      <c r="N580" s="2"/>
      <c r="O580" s="2"/>
      <c r="P580" s="2"/>
      <c r="Q580" s="2"/>
    </row>
    <row r="581" spans="2:17" ht="14.5" x14ac:dyDescent="0.3">
      <c r="B581" s="2"/>
      <c r="C581" s="2"/>
      <c r="D581" s="2"/>
      <c r="E581" s="2"/>
      <c r="F581" s="2"/>
      <c r="G581" s="2"/>
      <c r="H581" s="2"/>
      <c r="I581" s="2"/>
      <c r="J581" s="2"/>
      <c r="K581" s="2"/>
      <c r="L581" s="2"/>
      <c r="M581" s="2"/>
      <c r="N581" s="2"/>
      <c r="O581" s="2"/>
      <c r="P581" s="2"/>
      <c r="Q581" s="2"/>
    </row>
    <row r="582" spans="2:17" ht="14.5" x14ac:dyDescent="0.3">
      <c r="B582" s="2"/>
      <c r="C582" s="2"/>
      <c r="D582" s="2"/>
      <c r="E582" s="2"/>
      <c r="F582" s="2"/>
      <c r="G582" s="2"/>
      <c r="H582" s="2"/>
      <c r="I582" s="2"/>
      <c r="J582" s="2"/>
      <c r="K582" s="2"/>
      <c r="L582" s="2"/>
      <c r="M582" s="2"/>
      <c r="N582" s="2"/>
      <c r="O582" s="2"/>
      <c r="P582" s="2"/>
      <c r="Q582" s="2"/>
    </row>
    <row r="583" spans="2:17" ht="14.5" x14ac:dyDescent="0.3">
      <c r="B583" s="2"/>
      <c r="C583" s="2"/>
      <c r="D583" s="2"/>
      <c r="E583" s="2"/>
      <c r="F583" s="2"/>
      <c r="G583" s="2"/>
      <c r="H583" s="2"/>
      <c r="I583" s="2"/>
      <c r="J583" s="2"/>
      <c r="K583" s="2"/>
      <c r="L583" s="2"/>
      <c r="M583" s="2"/>
      <c r="N583" s="2"/>
      <c r="O583" s="2"/>
      <c r="P583" s="2"/>
      <c r="Q583" s="2"/>
    </row>
    <row r="584" spans="2:17" ht="14.5" x14ac:dyDescent="0.3">
      <c r="B584" s="2"/>
      <c r="C584" s="2"/>
      <c r="D584" s="2"/>
      <c r="E584" s="2"/>
      <c r="F584" s="2"/>
      <c r="G584" s="2"/>
      <c r="H584" s="2"/>
      <c r="I584" s="2"/>
      <c r="J584" s="2"/>
      <c r="K584" s="2"/>
      <c r="L584" s="2"/>
      <c r="M584" s="2"/>
      <c r="N584" s="2"/>
      <c r="O584" s="2"/>
      <c r="P584" s="2"/>
      <c r="Q584" s="2"/>
    </row>
    <row r="585" spans="2:17" ht="14.5" x14ac:dyDescent="0.3">
      <c r="B585" s="2"/>
      <c r="C585" s="2"/>
      <c r="D585" s="2"/>
      <c r="E585" s="2"/>
      <c r="F585" s="2"/>
      <c r="G585" s="2"/>
      <c r="H585" s="2"/>
      <c r="I585" s="2"/>
      <c r="J585" s="2"/>
      <c r="K585" s="2"/>
      <c r="L585" s="2"/>
      <c r="M585" s="2"/>
      <c r="N585" s="2"/>
      <c r="O585" s="2"/>
      <c r="P585" s="2"/>
      <c r="Q585" s="2"/>
    </row>
    <row r="586" spans="2:17" ht="14.5" x14ac:dyDescent="0.3">
      <c r="B586" s="2"/>
      <c r="C586" s="2"/>
      <c r="D586" s="2"/>
      <c r="E586" s="2"/>
      <c r="F586" s="2"/>
      <c r="G586" s="2"/>
      <c r="H586" s="2"/>
      <c r="I586" s="2"/>
      <c r="J586" s="2"/>
      <c r="K586" s="2"/>
      <c r="L586" s="2"/>
      <c r="M586" s="2"/>
      <c r="N586" s="2"/>
      <c r="O586" s="2"/>
      <c r="P586" s="2"/>
      <c r="Q586" s="2"/>
    </row>
    <row r="587" spans="2:17" ht="14.5" x14ac:dyDescent="0.3">
      <c r="B587" s="2"/>
      <c r="C587" s="2"/>
      <c r="D587" s="2"/>
      <c r="E587" s="2"/>
      <c r="F587" s="2"/>
      <c r="G587" s="2"/>
      <c r="H587" s="2"/>
      <c r="I587" s="2"/>
      <c r="J587" s="2"/>
      <c r="K587" s="2"/>
      <c r="L587" s="2"/>
      <c r="M587" s="2"/>
      <c r="N587" s="2"/>
      <c r="O587" s="2"/>
      <c r="P587" s="2"/>
      <c r="Q587" s="2"/>
    </row>
    <row r="588" spans="2:17" ht="14.5" x14ac:dyDescent="0.3">
      <c r="B588" s="2"/>
      <c r="C588" s="2"/>
      <c r="D588" s="2"/>
      <c r="E588" s="2"/>
      <c r="F588" s="2"/>
      <c r="G588" s="2"/>
      <c r="H588" s="2"/>
      <c r="I588" s="2"/>
      <c r="J588" s="2"/>
      <c r="K588" s="2"/>
      <c r="L588" s="2"/>
      <c r="M588" s="2"/>
      <c r="N588" s="2"/>
      <c r="O588" s="2"/>
      <c r="P588" s="2"/>
      <c r="Q588" s="2"/>
    </row>
    <row r="589" spans="2:17" ht="14.5" x14ac:dyDescent="0.3">
      <c r="B589" s="2"/>
      <c r="C589" s="2"/>
      <c r="D589" s="2"/>
      <c r="E589" s="2"/>
      <c r="F589" s="2"/>
      <c r="G589" s="2"/>
      <c r="H589" s="2"/>
      <c r="I589" s="2"/>
      <c r="J589" s="2"/>
      <c r="K589" s="2"/>
      <c r="L589" s="2"/>
      <c r="M589" s="2"/>
      <c r="N589" s="2"/>
      <c r="O589" s="2"/>
      <c r="P589" s="2"/>
      <c r="Q589" s="2"/>
    </row>
    <row r="590" spans="2:17" ht="14.5" x14ac:dyDescent="0.3">
      <c r="B590" s="2"/>
      <c r="C590" s="2"/>
      <c r="D590" s="2"/>
      <c r="E590" s="2"/>
      <c r="F590" s="2"/>
      <c r="G590" s="2"/>
      <c r="H590" s="2"/>
      <c r="I590" s="2"/>
      <c r="J590" s="2"/>
      <c r="K590" s="2"/>
      <c r="L590" s="2"/>
      <c r="M590" s="2"/>
      <c r="N590" s="2"/>
      <c r="O590" s="2"/>
      <c r="P590" s="2"/>
      <c r="Q590" s="2"/>
    </row>
    <row r="591" spans="2:17" ht="14.5" x14ac:dyDescent="0.3">
      <c r="B591" s="2"/>
      <c r="C591" s="2"/>
      <c r="D591" s="2"/>
      <c r="E591" s="2"/>
      <c r="F591" s="2"/>
      <c r="G591" s="2"/>
      <c r="H591" s="2"/>
      <c r="I591" s="2"/>
      <c r="J591" s="2"/>
      <c r="K591" s="2"/>
      <c r="L591" s="2"/>
      <c r="M591" s="2"/>
      <c r="N591" s="2"/>
      <c r="O591" s="2"/>
      <c r="P591" s="2"/>
      <c r="Q591" s="2"/>
    </row>
    <row r="592" spans="2:17" ht="14.5" x14ac:dyDescent="0.3">
      <c r="B592" s="2"/>
      <c r="C592" s="2"/>
      <c r="D592" s="2"/>
      <c r="E592" s="2"/>
      <c r="F592" s="2"/>
      <c r="G592" s="2"/>
      <c r="H592" s="2"/>
      <c r="I592" s="2"/>
      <c r="J592" s="2"/>
      <c r="K592" s="2"/>
      <c r="L592" s="2"/>
      <c r="M592" s="2"/>
      <c r="N592" s="2"/>
      <c r="O592" s="2"/>
      <c r="P592" s="2"/>
      <c r="Q592" s="2"/>
    </row>
    <row r="593" spans="2:17" ht="14.5" x14ac:dyDescent="0.3">
      <c r="B593" s="2"/>
      <c r="C593" s="2"/>
      <c r="D593" s="2"/>
      <c r="E593" s="2"/>
      <c r="F593" s="2"/>
      <c r="G593" s="2"/>
      <c r="H593" s="2"/>
      <c r="I593" s="2"/>
      <c r="J593" s="2"/>
      <c r="K593" s="2"/>
      <c r="L593" s="2"/>
      <c r="M593" s="2"/>
      <c r="N593" s="2"/>
      <c r="O593" s="2"/>
      <c r="P593" s="2"/>
      <c r="Q593" s="2"/>
    </row>
    <row r="594" spans="2:17" ht="14.5" x14ac:dyDescent="0.3">
      <c r="B594" s="2"/>
      <c r="C594" s="2"/>
      <c r="D594" s="2"/>
      <c r="E594" s="2"/>
      <c r="F594" s="2"/>
      <c r="G594" s="2"/>
      <c r="H594" s="2"/>
      <c r="I594" s="2"/>
      <c r="J594" s="2"/>
      <c r="K594" s="2"/>
      <c r="L594" s="2"/>
      <c r="M594" s="2"/>
      <c r="N594" s="2"/>
      <c r="O594" s="2"/>
      <c r="P594" s="2"/>
      <c r="Q594" s="2"/>
    </row>
    <row r="595" spans="2:17" ht="14.5" x14ac:dyDescent="0.3">
      <c r="B595" s="2"/>
      <c r="C595" s="2"/>
      <c r="D595" s="2"/>
      <c r="E595" s="2"/>
      <c r="F595" s="2"/>
      <c r="G595" s="2"/>
      <c r="H595" s="2"/>
      <c r="I595" s="2"/>
      <c r="J595" s="2"/>
      <c r="K595" s="2"/>
      <c r="L595" s="2"/>
      <c r="M595" s="2"/>
      <c r="N595" s="2"/>
      <c r="O595" s="2"/>
      <c r="P595" s="2"/>
      <c r="Q595" s="2"/>
    </row>
    <row r="596" spans="2:17" ht="14.5" x14ac:dyDescent="0.3">
      <c r="B596" s="2"/>
      <c r="C596" s="2"/>
      <c r="D596" s="2"/>
      <c r="E596" s="2"/>
      <c r="F596" s="2"/>
      <c r="G596" s="2"/>
      <c r="H596" s="2"/>
      <c r="I596" s="2"/>
      <c r="J596" s="2"/>
      <c r="K596" s="2"/>
      <c r="L596" s="2"/>
      <c r="M596" s="2"/>
      <c r="N596" s="2"/>
      <c r="O596" s="2"/>
      <c r="P596" s="2"/>
      <c r="Q596" s="2"/>
    </row>
    <row r="597" spans="2:17" ht="14.5" x14ac:dyDescent="0.3">
      <c r="B597" s="2"/>
      <c r="C597" s="2"/>
      <c r="D597" s="2"/>
      <c r="E597" s="2"/>
      <c r="F597" s="2"/>
      <c r="G597" s="2"/>
      <c r="H597" s="2"/>
      <c r="I597" s="2"/>
      <c r="J597" s="2"/>
      <c r="K597" s="2"/>
      <c r="L597" s="2"/>
      <c r="M597" s="2"/>
      <c r="N597" s="2"/>
      <c r="O597" s="2"/>
      <c r="P597" s="2"/>
      <c r="Q597" s="2"/>
    </row>
    <row r="598" spans="2:17" ht="14.5" x14ac:dyDescent="0.3">
      <c r="B598" s="2"/>
      <c r="C598" s="2"/>
      <c r="D598" s="2"/>
      <c r="E598" s="2"/>
      <c r="F598" s="2"/>
      <c r="G598" s="2"/>
      <c r="H598" s="2"/>
      <c r="I598" s="2"/>
      <c r="J598" s="2"/>
      <c r="K598" s="2"/>
      <c r="L598" s="2"/>
      <c r="M598" s="2"/>
      <c r="N598" s="2"/>
      <c r="O598" s="2"/>
      <c r="P598" s="2"/>
      <c r="Q598" s="2"/>
    </row>
    <row r="599" spans="2:17" ht="14.5" x14ac:dyDescent="0.3">
      <c r="B599" s="2"/>
      <c r="C599" s="2"/>
      <c r="D599" s="2"/>
      <c r="E599" s="2"/>
      <c r="F599" s="2"/>
      <c r="G599" s="2"/>
      <c r="H599" s="2"/>
      <c r="I599" s="2"/>
      <c r="J599" s="2"/>
      <c r="K599" s="2"/>
      <c r="L599" s="2"/>
      <c r="M599" s="2"/>
      <c r="N599" s="2"/>
      <c r="O599" s="2"/>
      <c r="P599" s="2"/>
      <c r="Q599" s="2"/>
    </row>
    <row r="600" spans="2:17" ht="14.5" x14ac:dyDescent="0.3">
      <c r="B600" s="2"/>
      <c r="C600" s="2"/>
      <c r="D600" s="2"/>
      <c r="E600" s="2"/>
      <c r="F600" s="2"/>
      <c r="G600" s="2"/>
      <c r="H600" s="2"/>
      <c r="I600" s="2"/>
      <c r="J600" s="2"/>
      <c r="K600" s="2"/>
      <c r="L600" s="2"/>
      <c r="M600" s="2"/>
      <c r="N600" s="2"/>
      <c r="O600" s="2"/>
      <c r="P600" s="2"/>
      <c r="Q600" s="2"/>
    </row>
    <row r="601" spans="2:17" ht="14.5" x14ac:dyDescent="0.3">
      <c r="B601" s="2"/>
      <c r="C601" s="2"/>
      <c r="D601" s="2"/>
      <c r="E601" s="2"/>
      <c r="F601" s="2"/>
      <c r="G601" s="2"/>
      <c r="H601" s="2"/>
      <c r="I601" s="2"/>
      <c r="J601" s="2"/>
      <c r="K601" s="2"/>
      <c r="L601" s="2"/>
      <c r="M601" s="2"/>
      <c r="N601" s="2"/>
      <c r="O601" s="2"/>
      <c r="P601" s="2"/>
      <c r="Q601" s="2"/>
    </row>
    <row r="602" spans="2:17" ht="14.5" x14ac:dyDescent="0.3">
      <c r="B602" s="2"/>
      <c r="C602" s="2"/>
      <c r="D602" s="2"/>
      <c r="E602" s="2"/>
      <c r="F602" s="2"/>
      <c r="G602" s="2"/>
      <c r="H602" s="2"/>
      <c r="I602" s="2"/>
      <c r="J602" s="2"/>
      <c r="K602" s="2"/>
      <c r="L602" s="2"/>
      <c r="M602" s="2"/>
      <c r="N602" s="2"/>
      <c r="O602" s="2"/>
      <c r="P602" s="2"/>
      <c r="Q602" s="2"/>
    </row>
    <row r="603" spans="2:17" ht="14.5" x14ac:dyDescent="0.3">
      <c r="B603" s="2"/>
      <c r="C603" s="2"/>
      <c r="D603" s="2"/>
      <c r="E603" s="2"/>
      <c r="F603" s="2"/>
      <c r="G603" s="2"/>
      <c r="H603" s="2"/>
      <c r="I603" s="2"/>
      <c r="J603" s="2"/>
      <c r="K603" s="2"/>
      <c r="L603" s="2"/>
      <c r="M603" s="2"/>
      <c r="N603" s="2"/>
      <c r="O603" s="2"/>
      <c r="P603" s="2"/>
      <c r="Q603" s="2"/>
    </row>
    <row r="604" spans="2:17" ht="14.5" x14ac:dyDescent="0.3">
      <c r="B604" s="2"/>
      <c r="C604" s="2"/>
      <c r="D604" s="2"/>
      <c r="E604" s="2"/>
      <c r="F604" s="2"/>
      <c r="G604" s="2"/>
      <c r="H604" s="2"/>
      <c r="I604" s="2"/>
      <c r="J604" s="2"/>
      <c r="K604" s="2"/>
      <c r="L604" s="2"/>
      <c r="M604" s="2"/>
      <c r="N604" s="2"/>
      <c r="O604" s="2"/>
      <c r="P604" s="2"/>
      <c r="Q604" s="2"/>
    </row>
    <row r="605" spans="2:17" ht="14.5" x14ac:dyDescent="0.3">
      <c r="B605" s="2"/>
      <c r="C605" s="2"/>
      <c r="D605" s="2"/>
      <c r="E605" s="2"/>
      <c r="F605" s="2"/>
      <c r="G605" s="2"/>
      <c r="H605" s="2"/>
      <c r="I605" s="2"/>
      <c r="J605" s="2"/>
      <c r="K605" s="2"/>
      <c r="L605" s="2"/>
      <c r="M605" s="2"/>
      <c r="N605" s="2"/>
      <c r="O605" s="2"/>
      <c r="P605" s="2"/>
      <c r="Q605" s="2"/>
    </row>
    <row r="606" spans="2:17" ht="14.5" x14ac:dyDescent="0.3">
      <c r="B606" s="2"/>
      <c r="C606" s="2"/>
      <c r="D606" s="2"/>
      <c r="E606" s="2"/>
      <c r="F606" s="2"/>
      <c r="G606" s="2"/>
      <c r="H606" s="2"/>
      <c r="I606" s="2"/>
      <c r="J606" s="2"/>
      <c r="K606" s="2"/>
      <c r="L606" s="2"/>
      <c r="M606" s="2"/>
      <c r="N606" s="2"/>
      <c r="O606" s="2"/>
      <c r="P606" s="2"/>
      <c r="Q606" s="2"/>
    </row>
    <row r="607" spans="2:17" ht="14.5" x14ac:dyDescent="0.3">
      <c r="B607" s="2"/>
      <c r="C607" s="2"/>
      <c r="D607" s="2"/>
      <c r="E607" s="2"/>
      <c r="F607" s="2"/>
      <c r="G607" s="2"/>
      <c r="H607" s="2"/>
      <c r="I607" s="2"/>
      <c r="J607" s="2"/>
      <c r="K607" s="2"/>
      <c r="L607" s="2"/>
      <c r="M607" s="2"/>
      <c r="N607" s="2"/>
      <c r="O607" s="2"/>
      <c r="P607" s="2"/>
      <c r="Q607" s="2"/>
    </row>
    <row r="608" spans="2:17" ht="14.5" x14ac:dyDescent="0.3">
      <c r="B608" s="2"/>
      <c r="C608" s="2"/>
      <c r="D608" s="2"/>
      <c r="E608" s="2"/>
      <c r="F608" s="2"/>
      <c r="G608" s="2"/>
      <c r="H608" s="2"/>
      <c r="I608" s="2"/>
      <c r="J608" s="2"/>
      <c r="K608" s="2"/>
      <c r="L608" s="2"/>
      <c r="M608" s="2"/>
      <c r="N608" s="2"/>
      <c r="O608" s="2"/>
      <c r="P608" s="2"/>
      <c r="Q608" s="2"/>
    </row>
    <row r="609" spans="2:17" ht="14.5" x14ac:dyDescent="0.3">
      <c r="B609" s="2"/>
      <c r="C609" s="2"/>
      <c r="D609" s="2"/>
      <c r="E609" s="2"/>
      <c r="F609" s="2"/>
      <c r="G609" s="2"/>
      <c r="H609" s="2"/>
      <c r="I609" s="2"/>
      <c r="J609" s="2"/>
      <c r="K609" s="2"/>
      <c r="L609" s="2"/>
      <c r="M609" s="2"/>
      <c r="N609" s="2"/>
      <c r="O609" s="2"/>
      <c r="P609" s="2"/>
      <c r="Q609" s="2"/>
    </row>
    <row r="610" spans="2:17" ht="14.5" x14ac:dyDescent="0.3">
      <c r="B610" s="2"/>
      <c r="C610" s="2"/>
      <c r="D610" s="2"/>
      <c r="E610" s="2"/>
      <c r="F610" s="2"/>
      <c r="G610" s="2"/>
      <c r="H610" s="2"/>
      <c r="I610" s="2"/>
      <c r="J610" s="2"/>
      <c r="K610" s="2"/>
      <c r="L610" s="2"/>
      <c r="M610" s="2"/>
      <c r="N610" s="2"/>
      <c r="O610" s="2"/>
      <c r="P610" s="2"/>
      <c r="Q610" s="2"/>
    </row>
    <row r="611" spans="2:17" ht="14.5" x14ac:dyDescent="0.3">
      <c r="B611" s="2"/>
      <c r="C611" s="2"/>
      <c r="D611" s="2"/>
      <c r="E611" s="2"/>
      <c r="F611" s="2"/>
      <c r="G611" s="2"/>
      <c r="H611" s="2"/>
      <c r="I611" s="2"/>
      <c r="J611" s="2"/>
      <c r="K611" s="2"/>
      <c r="L611" s="2"/>
      <c r="M611" s="2"/>
      <c r="N611" s="2"/>
      <c r="O611" s="2"/>
      <c r="P611" s="2"/>
      <c r="Q611" s="2"/>
    </row>
    <row r="612" spans="2:17" ht="14.5" x14ac:dyDescent="0.3">
      <c r="B612" s="2"/>
      <c r="C612" s="2"/>
      <c r="D612" s="2"/>
      <c r="E612" s="2"/>
      <c r="F612" s="2"/>
      <c r="G612" s="2"/>
      <c r="H612" s="2"/>
      <c r="I612" s="2"/>
      <c r="J612" s="2"/>
      <c r="K612" s="2"/>
      <c r="L612" s="2"/>
      <c r="M612" s="2"/>
      <c r="N612" s="2"/>
      <c r="O612" s="2"/>
      <c r="P612" s="2"/>
      <c r="Q612" s="2"/>
    </row>
    <row r="613" spans="2:17" ht="14.5" x14ac:dyDescent="0.3">
      <c r="B613" s="2"/>
      <c r="C613" s="2"/>
      <c r="D613" s="2"/>
      <c r="E613" s="2"/>
      <c r="F613" s="2"/>
      <c r="G613" s="2"/>
      <c r="H613" s="2"/>
      <c r="I613" s="2"/>
      <c r="J613" s="2"/>
      <c r="K613" s="2"/>
      <c r="L613" s="2"/>
      <c r="M613" s="2"/>
      <c r="N613" s="2"/>
      <c r="O613" s="2"/>
      <c r="P613" s="2"/>
      <c r="Q613" s="2"/>
    </row>
    <row r="614" spans="2:17" ht="14.5" x14ac:dyDescent="0.3">
      <c r="B614" s="2"/>
      <c r="C614" s="2"/>
      <c r="D614" s="2"/>
      <c r="E614" s="2"/>
      <c r="F614" s="2"/>
      <c r="G614" s="2"/>
      <c r="H614" s="2"/>
      <c r="I614" s="2"/>
      <c r="J614" s="2"/>
      <c r="K614" s="2"/>
      <c r="L614" s="2"/>
      <c r="M614" s="2"/>
      <c r="N614" s="2"/>
      <c r="O614" s="2"/>
      <c r="P614" s="2"/>
      <c r="Q614" s="2"/>
    </row>
    <row r="615" spans="2:17" ht="14.5" x14ac:dyDescent="0.3">
      <c r="B615" s="2"/>
      <c r="C615" s="2"/>
      <c r="D615" s="2"/>
      <c r="E615" s="2"/>
      <c r="F615" s="2"/>
      <c r="G615" s="2"/>
      <c r="H615" s="2"/>
      <c r="I615" s="2"/>
      <c r="J615" s="2"/>
      <c r="K615" s="2"/>
      <c r="L615" s="2"/>
      <c r="M615" s="2"/>
      <c r="N615" s="2"/>
      <c r="O615" s="2"/>
      <c r="P615" s="2"/>
      <c r="Q615" s="2"/>
    </row>
    <row r="616" spans="2:17" ht="14.5" x14ac:dyDescent="0.3">
      <c r="B616" s="2"/>
      <c r="C616" s="2"/>
      <c r="D616" s="2"/>
      <c r="E616" s="2"/>
      <c r="F616" s="2"/>
      <c r="G616" s="2"/>
      <c r="H616" s="2"/>
      <c r="I616" s="2"/>
      <c r="J616" s="2"/>
      <c r="K616" s="2"/>
      <c r="L616" s="2"/>
      <c r="M616" s="2"/>
      <c r="N616" s="2"/>
      <c r="O616" s="2"/>
      <c r="P616" s="2"/>
      <c r="Q616" s="2"/>
    </row>
    <row r="617" spans="2:17" ht="14.5" x14ac:dyDescent="0.3">
      <c r="B617" s="2"/>
      <c r="C617" s="2"/>
      <c r="D617" s="2"/>
      <c r="E617" s="2"/>
      <c r="F617" s="2"/>
      <c r="G617" s="2"/>
      <c r="H617" s="2"/>
      <c r="I617" s="2"/>
      <c r="J617" s="2"/>
      <c r="K617" s="2"/>
      <c r="L617" s="2"/>
      <c r="M617" s="2"/>
      <c r="N617" s="2"/>
      <c r="O617" s="2"/>
      <c r="P617" s="2"/>
      <c r="Q617" s="2"/>
    </row>
    <row r="618" spans="2:17" ht="14.5" x14ac:dyDescent="0.3">
      <c r="B618" s="2"/>
      <c r="C618" s="2"/>
      <c r="D618" s="2"/>
      <c r="E618" s="2"/>
      <c r="F618" s="2"/>
      <c r="G618" s="2"/>
      <c r="H618" s="2"/>
      <c r="I618" s="2"/>
      <c r="J618" s="2"/>
      <c r="K618" s="2"/>
      <c r="L618" s="2"/>
      <c r="M618" s="2"/>
      <c r="N618" s="2"/>
      <c r="O618" s="2"/>
      <c r="P618" s="2"/>
      <c r="Q618" s="2"/>
    </row>
    <row r="619" spans="2:17" ht="14.5" x14ac:dyDescent="0.3">
      <c r="B619" s="2"/>
      <c r="C619" s="2"/>
      <c r="D619" s="2"/>
      <c r="E619" s="2"/>
      <c r="F619" s="2"/>
      <c r="G619" s="2"/>
      <c r="H619" s="2"/>
      <c r="I619" s="2"/>
      <c r="J619" s="2"/>
      <c r="K619" s="2"/>
      <c r="L619" s="2"/>
      <c r="M619" s="2"/>
      <c r="N619" s="2"/>
      <c r="O619" s="2"/>
      <c r="P619" s="2"/>
      <c r="Q619" s="2"/>
    </row>
    <row r="620" spans="2:17" ht="14.5" x14ac:dyDescent="0.3">
      <c r="B620" s="2"/>
      <c r="C620" s="2"/>
      <c r="D620" s="2"/>
      <c r="E620" s="2"/>
      <c r="F620" s="2"/>
      <c r="G620" s="2"/>
      <c r="H620" s="2"/>
      <c r="I620" s="2"/>
      <c r="J620" s="2"/>
      <c r="K620" s="2"/>
      <c r="L620" s="2"/>
      <c r="M620" s="2"/>
      <c r="N620" s="2"/>
      <c r="O620" s="2"/>
      <c r="P620" s="2"/>
      <c r="Q620" s="2"/>
    </row>
    <row r="621" spans="2:17" ht="14.5" x14ac:dyDescent="0.3">
      <c r="B621" s="2"/>
      <c r="C621" s="2"/>
      <c r="D621" s="2"/>
      <c r="E621" s="2"/>
      <c r="F621" s="2"/>
      <c r="G621" s="2"/>
      <c r="H621" s="2"/>
      <c r="I621" s="2"/>
      <c r="J621" s="2"/>
      <c r="K621" s="2"/>
      <c r="L621" s="2"/>
      <c r="M621" s="2"/>
      <c r="N621" s="2"/>
      <c r="O621" s="2"/>
      <c r="P621" s="2"/>
      <c r="Q621" s="2"/>
    </row>
    <row r="622" spans="2:17" ht="14.5" x14ac:dyDescent="0.3">
      <c r="B622" s="2"/>
      <c r="C622" s="2"/>
      <c r="D622" s="2"/>
      <c r="E622" s="2"/>
      <c r="F622" s="2"/>
      <c r="G622" s="2"/>
      <c r="H622" s="2"/>
      <c r="I622" s="2"/>
      <c r="J622" s="2"/>
      <c r="K622" s="2"/>
      <c r="L622" s="2"/>
      <c r="M622" s="2"/>
      <c r="N622" s="2"/>
      <c r="O622" s="2"/>
      <c r="P622" s="2"/>
      <c r="Q622" s="2"/>
    </row>
    <row r="623" spans="2:17" ht="14.5" x14ac:dyDescent="0.3">
      <c r="B623" s="2"/>
      <c r="C623" s="2"/>
      <c r="D623" s="2"/>
      <c r="E623" s="2"/>
      <c r="F623" s="2"/>
      <c r="G623" s="2"/>
      <c r="H623" s="2"/>
      <c r="I623" s="2"/>
      <c r="J623" s="2"/>
      <c r="K623" s="2"/>
      <c r="L623" s="2"/>
      <c r="M623" s="2"/>
      <c r="N623" s="2"/>
      <c r="O623" s="2"/>
      <c r="P623" s="2"/>
      <c r="Q623" s="2"/>
    </row>
    <row r="624" spans="2:17" ht="14.5" x14ac:dyDescent="0.3">
      <c r="B624" s="2"/>
      <c r="C624" s="2"/>
      <c r="D624" s="2"/>
      <c r="E624" s="2"/>
      <c r="F624" s="2"/>
      <c r="G624" s="2"/>
      <c r="H624" s="2"/>
      <c r="I624" s="2"/>
      <c r="J624" s="2"/>
      <c r="K624" s="2"/>
      <c r="L624" s="2"/>
      <c r="M624" s="2"/>
      <c r="N624" s="2"/>
      <c r="O624" s="2"/>
      <c r="P624" s="2"/>
      <c r="Q624" s="2"/>
    </row>
    <row r="625" spans="2:17" ht="14.5" x14ac:dyDescent="0.3">
      <c r="B625" s="2"/>
      <c r="C625" s="2"/>
      <c r="D625" s="2"/>
      <c r="E625" s="2"/>
      <c r="F625" s="2"/>
      <c r="G625" s="2"/>
      <c r="H625" s="2"/>
      <c r="I625" s="2"/>
      <c r="J625" s="2"/>
      <c r="K625" s="2"/>
      <c r="L625" s="2"/>
      <c r="M625" s="2"/>
      <c r="N625" s="2"/>
      <c r="O625" s="2"/>
      <c r="P625" s="2"/>
      <c r="Q625" s="2"/>
    </row>
    <row r="626" spans="2:17" ht="14.5" x14ac:dyDescent="0.3">
      <c r="B626" s="2"/>
      <c r="C626" s="2"/>
      <c r="D626" s="2"/>
      <c r="E626" s="2"/>
      <c r="F626" s="2"/>
      <c r="G626" s="2"/>
      <c r="H626" s="2"/>
      <c r="I626" s="2"/>
      <c r="J626" s="2"/>
      <c r="K626" s="2"/>
      <c r="L626" s="2"/>
      <c r="M626" s="2"/>
      <c r="N626" s="2"/>
      <c r="O626" s="2"/>
      <c r="P626" s="2"/>
      <c r="Q626" s="2"/>
    </row>
    <row r="627" spans="2:17" ht="14.5" x14ac:dyDescent="0.3">
      <c r="B627" s="2"/>
      <c r="C627" s="2"/>
      <c r="D627" s="2"/>
      <c r="E627" s="2"/>
      <c r="F627" s="2"/>
      <c r="G627" s="2"/>
      <c r="H627" s="2"/>
      <c r="I627" s="2"/>
      <c r="J627" s="2"/>
      <c r="K627" s="2"/>
      <c r="L627" s="2"/>
      <c r="M627" s="2"/>
      <c r="N627" s="2"/>
      <c r="O627" s="2"/>
      <c r="P627" s="2"/>
      <c r="Q627" s="2"/>
    </row>
    <row r="628" spans="2:17" ht="14.5" x14ac:dyDescent="0.3">
      <c r="B628" s="2"/>
      <c r="C628" s="2"/>
      <c r="D628" s="2"/>
      <c r="E628" s="2"/>
      <c r="F628" s="2"/>
      <c r="G628" s="2"/>
      <c r="H628" s="2"/>
      <c r="I628" s="2"/>
      <c r="J628" s="2"/>
      <c r="K628" s="2"/>
      <c r="L628" s="2"/>
      <c r="M628" s="2"/>
      <c r="N628" s="2"/>
      <c r="O628" s="2"/>
      <c r="P628" s="2"/>
      <c r="Q628" s="2"/>
    </row>
    <row r="629" spans="2:17" ht="14.5" x14ac:dyDescent="0.3">
      <c r="B629" s="2"/>
      <c r="C629" s="2"/>
      <c r="D629" s="2"/>
      <c r="E629" s="2"/>
      <c r="F629" s="2"/>
      <c r="G629" s="2"/>
      <c r="H629" s="2"/>
      <c r="I629" s="2"/>
      <c r="J629" s="2"/>
      <c r="K629" s="2"/>
      <c r="L629" s="2"/>
      <c r="M629" s="2"/>
      <c r="N629" s="2"/>
      <c r="O629" s="2"/>
      <c r="P629" s="2"/>
      <c r="Q629" s="2"/>
    </row>
    <row r="630" spans="2:17" ht="14.5" x14ac:dyDescent="0.3">
      <c r="B630" s="2"/>
      <c r="C630" s="2"/>
      <c r="D630" s="2"/>
      <c r="E630" s="2"/>
      <c r="F630" s="2"/>
      <c r="G630" s="2"/>
      <c r="H630" s="2"/>
      <c r="I630" s="2"/>
      <c r="J630" s="2"/>
      <c r="K630" s="2"/>
      <c r="L630" s="2"/>
      <c r="M630" s="2"/>
      <c r="N630" s="2"/>
      <c r="O630" s="2"/>
      <c r="P630" s="2"/>
      <c r="Q630" s="2"/>
    </row>
    <row r="631" spans="2:17" ht="14.5" x14ac:dyDescent="0.3">
      <c r="B631" s="2"/>
      <c r="C631" s="2"/>
      <c r="D631" s="2"/>
      <c r="E631" s="2"/>
      <c r="F631" s="2"/>
      <c r="G631" s="2"/>
      <c r="H631" s="2"/>
      <c r="I631" s="2"/>
      <c r="J631" s="2"/>
      <c r="K631" s="2"/>
      <c r="L631" s="2"/>
      <c r="M631" s="2"/>
      <c r="N631" s="2"/>
      <c r="O631" s="2"/>
      <c r="P631" s="2"/>
      <c r="Q631" s="2"/>
    </row>
    <row r="632" spans="2:17" ht="14.5" x14ac:dyDescent="0.3">
      <c r="B632" s="2"/>
      <c r="C632" s="2"/>
      <c r="D632" s="2"/>
      <c r="E632" s="2"/>
      <c r="F632" s="2"/>
      <c r="G632" s="2"/>
      <c r="H632" s="2"/>
      <c r="I632" s="2"/>
      <c r="J632" s="2"/>
      <c r="K632" s="2"/>
      <c r="L632" s="2"/>
      <c r="M632" s="2"/>
      <c r="N632" s="2"/>
      <c r="O632" s="2"/>
      <c r="P632" s="2"/>
      <c r="Q632" s="2"/>
    </row>
    <row r="633" spans="2:17" ht="14.5" x14ac:dyDescent="0.3">
      <c r="B633" s="2"/>
      <c r="C633" s="2"/>
      <c r="D633" s="2"/>
      <c r="E633" s="2"/>
      <c r="F633" s="2"/>
      <c r="G633" s="2"/>
      <c r="H633" s="2"/>
      <c r="I633" s="2"/>
      <c r="J633" s="2"/>
      <c r="K633" s="2"/>
      <c r="L633" s="2"/>
      <c r="M633" s="2"/>
      <c r="N633" s="2"/>
      <c r="O633" s="2"/>
      <c r="P633" s="2"/>
      <c r="Q633" s="2"/>
    </row>
    <row r="634" spans="2:17" ht="14.5" x14ac:dyDescent="0.3">
      <c r="B634" s="2"/>
      <c r="C634" s="2"/>
      <c r="D634" s="2"/>
      <c r="E634" s="2"/>
      <c r="F634" s="2"/>
      <c r="G634" s="2"/>
      <c r="H634" s="2"/>
      <c r="I634" s="2"/>
      <c r="J634" s="2"/>
      <c r="K634" s="2"/>
      <c r="L634" s="2"/>
      <c r="M634" s="2"/>
      <c r="N634" s="2"/>
      <c r="O634" s="2"/>
      <c r="P634" s="2"/>
      <c r="Q634" s="2"/>
    </row>
    <row r="635" spans="2:17" ht="14.5" x14ac:dyDescent="0.3">
      <c r="B635" s="2"/>
      <c r="C635" s="2"/>
      <c r="D635" s="2"/>
      <c r="E635" s="2"/>
      <c r="F635" s="2"/>
      <c r="G635" s="2"/>
      <c r="H635" s="2"/>
      <c r="I635" s="2"/>
      <c r="J635" s="2"/>
      <c r="K635" s="2"/>
      <c r="L635" s="2"/>
      <c r="M635" s="2"/>
      <c r="N635" s="2"/>
      <c r="O635" s="2"/>
      <c r="P635" s="2"/>
      <c r="Q635" s="2"/>
    </row>
    <row r="636" spans="2:17" ht="14.5" x14ac:dyDescent="0.3">
      <c r="B636" s="2"/>
      <c r="C636" s="2"/>
      <c r="D636" s="2"/>
      <c r="E636" s="2"/>
      <c r="F636" s="2"/>
      <c r="G636" s="2"/>
      <c r="H636" s="2"/>
      <c r="I636" s="2"/>
      <c r="J636" s="2"/>
      <c r="K636" s="2"/>
      <c r="L636" s="2"/>
      <c r="M636" s="2"/>
      <c r="N636" s="2"/>
      <c r="O636" s="2"/>
      <c r="P636" s="2"/>
      <c r="Q636" s="2"/>
    </row>
    <row r="637" spans="2:17" ht="14.5" x14ac:dyDescent="0.3">
      <c r="B637" s="2"/>
      <c r="C637" s="2"/>
      <c r="D637" s="2"/>
      <c r="E637" s="2"/>
      <c r="F637" s="2"/>
      <c r="G637" s="2"/>
      <c r="H637" s="2"/>
      <c r="I637" s="2"/>
      <c r="J637" s="2"/>
      <c r="K637" s="2"/>
      <c r="L637" s="2"/>
      <c r="M637" s="2"/>
      <c r="N637" s="2"/>
      <c r="O637" s="2"/>
      <c r="P637" s="2"/>
      <c r="Q637" s="2"/>
    </row>
    <row r="638" spans="2:17" ht="14.5" x14ac:dyDescent="0.3">
      <c r="B638" s="2"/>
      <c r="C638" s="2"/>
      <c r="D638" s="2"/>
      <c r="E638" s="2"/>
      <c r="F638" s="2"/>
      <c r="G638" s="2"/>
      <c r="H638" s="2"/>
      <c r="I638" s="2"/>
      <c r="J638" s="2"/>
      <c r="K638" s="2"/>
      <c r="L638" s="2"/>
      <c r="M638" s="2"/>
      <c r="N638" s="2"/>
      <c r="O638" s="2"/>
      <c r="P638" s="2"/>
      <c r="Q638" s="2"/>
    </row>
    <row r="639" spans="2:17" ht="14.5" x14ac:dyDescent="0.3">
      <c r="B639" s="2"/>
      <c r="C639" s="2"/>
      <c r="D639" s="2"/>
      <c r="E639" s="2"/>
      <c r="F639" s="2"/>
      <c r="G639" s="2"/>
      <c r="H639" s="2"/>
      <c r="I639" s="2"/>
      <c r="J639" s="2"/>
      <c r="K639" s="2"/>
      <c r="L639" s="2"/>
      <c r="M639" s="2"/>
      <c r="N639" s="2"/>
      <c r="O639" s="2"/>
      <c r="P639" s="2"/>
      <c r="Q639" s="2"/>
    </row>
    <row r="640" spans="2:17" ht="14.5" x14ac:dyDescent="0.3">
      <c r="B640" s="2"/>
      <c r="C640" s="2"/>
      <c r="D640" s="2"/>
      <c r="E640" s="2"/>
      <c r="F640" s="2"/>
      <c r="G640" s="2"/>
      <c r="H640" s="2"/>
      <c r="I640" s="2"/>
      <c r="J640" s="2"/>
      <c r="K640" s="2"/>
      <c r="L640" s="2"/>
      <c r="M640" s="2"/>
      <c r="N640" s="2"/>
      <c r="O640" s="2"/>
      <c r="P640" s="2"/>
      <c r="Q640" s="2"/>
    </row>
    <row r="641" spans="2:17" ht="14.5" x14ac:dyDescent="0.3">
      <c r="B641" s="2"/>
      <c r="C641" s="2"/>
      <c r="D641" s="2"/>
      <c r="E641" s="2"/>
      <c r="F641" s="2"/>
      <c r="G641" s="2"/>
      <c r="H641" s="2"/>
      <c r="I641" s="2"/>
      <c r="J641" s="2"/>
      <c r="K641" s="2"/>
      <c r="L641" s="2"/>
      <c r="M641" s="2"/>
      <c r="N641" s="2"/>
      <c r="O641" s="2"/>
      <c r="P641" s="2"/>
      <c r="Q641" s="2"/>
    </row>
    <row r="642" spans="2:17" ht="14.5" x14ac:dyDescent="0.3">
      <c r="B642" s="2"/>
      <c r="C642" s="2"/>
      <c r="D642" s="2"/>
      <c r="E642" s="2"/>
      <c r="F642" s="2"/>
      <c r="G642" s="2"/>
      <c r="H642" s="2"/>
      <c r="I642" s="2"/>
      <c r="J642" s="2"/>
      <c r="K642" s="2"/>
      <c r="L642" s="2"/>
      <c r="M642" s="2"/>
      <c r="N642" s="2"/>
      <c r="O642" s="2"/>
      <c r="P642" s="2"/>
      <c r="Q642" s="2"/>
    </row>
    <row r="643" spans="2:17" ht="14.5" x14ac:dyDescent="0.3">
      <c r="B643" s="2"/>
      <c r="C643" s="2"/>
      <c r="D643" s="2"/>
      <c r="E643" s="2"/>
      <c r="F643" s="2"/>
      <c r="G643" s="2"/>
      <c r="H643" s="2"/>
      <c r="I643" s="2"/>
      <c r="J643" s="2"/>
      <c r="K643" s="2"/>
      <c r="L643" s="2"/>
      <c r="M643" s="2"/>
      <c r="N643" s="2"/>
      <c r="O643" s="2"/>
      <c r="P643" s="2"/>
      <c r="Q643" s="2"/>
    </row>
    <row r="644" spans="2:17" ht="14.5" x14ac:dyDescent="0.3">
      <c r="B644" s="2"/>
      <c r="C644" s="2"/>
      <c r="D644" s="2"/>
      <c r="E644" s="2"/>
      <c r="F644" s="2"/>
      <c r="G644" s="2"/>
      <c r="H644" s="2"/>
      <c r="I644" s="2"/>
      <c r="J644" s="2"/>
      <c r="K644" s="2"/>
      <c r="L644" s="2"/>
      <c r="M644" s="2"/>
      <c r="N644" s="2"/>
      <c r="O644" s="2"/>
      <c r="P644" s="2"/>
      <c r="Q644" s="2"/>
    </row>
    <row r="645" spans="2:17" ht="14.5" x14ac:dyDescent="0.3">
      <c r="B645" s="2"/>
      <c r="C645" s="2"/>
      <c r="D645" s="2"/>
      <c r="E645" s="2"/>
      <c r="F645" s="2"/>
      <c r="G645" s="2"/>
      <c r="H645" s="2"/>
      <c r="I645" s="2"/>
      <c r="J645" s="2"/>
      <c r="K645" s="2"/>
      <c r="L645" s="2"/>
      <c r="M645" s="2"/>
      <c r="N645" s="2"/>
      <c r="O645" s="2"/>
      <c r="P645" s="2"/>
      <c r="Q645" s="2"/>
    </row>
    <row r="646" spans="2:17" ht="14.5" x14ac:dyDescent="0.3">
      <c r="B646" s="2"/>
      <c r="C646" s="2"/>
      <c r="D646" s="2"/>
      <c r="E646" s="2"/>
      <c r="F646" s="2"/>
      <c r="G646" s="2"/>
      <c r="H646" s="2"/>
      <c r="I646" s="2"/>
      <c r="J646" s="2"/>
      <c r="K646" s="2"/>
      <c r="L646" s="2"/>
      <c r="M646" s="2"/>
      <c r="N646" s="2"/>
      <c r="O646" s="2"/>
      <c r="P646" s="2"/>
      <c r="Q646" s="2"/>
    </row>
    <row r="647" spans="2:17" ht="14.5" x14ac:dyDescent="0.3">
      <c r="B647" s="2"/>
      <c r="C647" s="2"/>
      <c r="D647" s="2"/>
      <c r="E647" s="2"/>
      <c r="F647" s="2"/>
      <c r="G647" s="2"/>
      <c r="H647" s="2"/>
      <c r="I647" s="2"/>
      <c r="J647" s="2"/>
      <c r="K647" s="2"/>
      <c r="L647" s="2"/>
      <c r="M647" s="2"/>
      <c r="N647" s="2"/>
      <c r="O647" s="2"/>
      <c r="P647" s="2"/>
      <c r="Q647" s="2"/>
    </row>
    <row r="648" spans="2:17" ht="14.5" x14ac:dyDescent="0.3">
      <c r="B648" s="2"/>
      <c r="C648" s="2"/>
      <c r="D648" s="2"/>
      <c r="E648" s="2"/>
      <c r="F648" s="2"/>
      <c r="G648" s="2"/>
      <c r="H648" s="2"/>
      <c r="I648" s="2"/>
      <c r="J648" s="2"/>
      <c r="K648" s="2"/>
      <c r="L648" s="2"/>
      <c r="M648" s="2"/>
      <c r="N648" s="2"/>
      <c r="O648" s="2"/>
      <c r="P648" s="2"/>
      <c r="Q648" s="2"/>
    </row>
    <row r="649" spans="2:17" ht="14.5" x14ac:dyDescent="0.3">
      <c r="B649" s="2"/>
      <c r="C649" s="2"/>
      <c r="D649" s="2"/>
      <c r="E649" s="2"/>
      <c r="F649" s="2"/>
      <c r="G649" s="2"/>
      <c r="H649" s="2"/>
      <c r="I649" s="2"/>
      <c r="J649" s="2"/>
      <c r="K649" s="2"/>
      <c r="L649" s="2"/>
      <c r="M649" s="2"/>
      <c r="N649" s="2"/>
      <c r="O649" s="2"/>
      <c r="P649" s="2"/>
      <c r="Q649" s="2"/>
    </row>
    <row r="650" spans="2:17" ht="14.5" x14ac:dyDescent="0.3">
      <c r="B650" s="2"/>
      <c r="C650" s="2"/>
      <c r="D650" s="2"/>
      <c r="E650" s="2"/>
      <c r="F650" s="2"/>
      <c r="G650" s="2"/>
      <c r="H650" s="2"/>
      <c r="I650" s="2"/>
      <c r="J650" s="2"/>
      <c r="K650" s="2"/>
      <c r="L650" s="2"/>
      <c r="M650" s="2"/>
      <c r="N650" s="2"/>
      <c r="O650" s="2"/>
      <c r="P650" s="2"/>
      <c r="Q650" s="2"/>
    </row>
    <row r="651" spans="2:17" ht="14.5" x14ac:dyDescent="0.3">
      <c r="B651" s="2"/>
      <c r="C651" s="2"/>
      <c r="D651" s="2"/>
      <c r="E651" s="2"/>
      <c r="F651" s="2"/>
      <c r="G651" s="2"/>
      <c r="H651" s="2"/>
      <c r="I651" s="2"/>
      <c r="J651" s="2"/>
      <c r="K651" s="2"/>
      <c r="L651" s="2"/>
      <c r="M651" s="2"/>
      <c r="N651" s="2"/>
      <c r="O651" s="2"/>
      <c r="P651" s="2"/>
      <c r="Q651" s="2"/>
    </row>
    <row r="652" spans="2:17" ht="14.5" x14ac:dyDescent="0.3">
      <c r="B652" s="2"/>
      <c r="C652" s="2"/>
      <c r="D652" s="2"/>
      <c r="E652" s="2"/>
      <c r="F652" s="2"/>
      <c r="G652" s="2"/>
      <c r="H652" s="2"/>
      <c r="I652" s="2"/>
      <c r="J652" s="2"/>
      <c r="K652" s="2"/>
      <c r="L652" s="2"/>
      <c r="M652" s="2"/>
      <c r="N652" s="2"/>
      <c r="O652" s="2"/>
      <c r="P652" s="2"/>
      <c r="Q652" s="2"/>
    </row>
    <row r="653" spans="2:17" ht="14.5" x14ac:dyDescent="0.3">
      <c r="B653" s="2"/>
      <c r="C653" s="2"/>
      <c r="D653" s="2"/>
      <c r="E653" s="2"/>
      <c r="F653" s="2"/>
      <c r="G653" s="2"/>
      <c r="H653" s="2"/>
      <c r="I653" s="2"/>
      <c r="J653" s="2"/>
      <c r="K653" s="2"/>
      <c r="L653" s="2"/>
      <c r="M653" s="2"/>
      <c r="N653" s="2"/>
      <c r="O653" s="2"/>
      <c r="P653" s="2"/>
      <c r="Q653" s="2"/>
    </row>
    <row r="654" spans="2:17" ht="14.5" x14ac:dyDescent="0.3">
      <c r="B654" s="2"/>
      <c r="C654" s="2"/>
      <c r="D654" s="2"/>
      <c r="E654" s="2"/>
      <c r="F654" s="2"/>
      <c r="G654" s="2"/>
      <c r="H654" s="2"/>
      <c r="I654" s="2"/>
      <c r="J654" s="2"/>
      <c r="K654" s="2"/>
      <c r="L654" s="2"/>
      <c r="M654" s="2"/>
      <c r="N654" s="2"/>
      <c r="O654" s="2"/>
      <c r="P654" s="2"/>
      <c r="Q654" s="2"/>
    </row>
    <row r="655" spans="2:17" ht="14.5" x14ac:dyDescent="0.3">
      <c r="B655" s="2"/>
      <c r="C655" s="2"/>
      <c r="D655" s="2"/>
      <c r="E655" s="2"/>
      <c r="F655" s="2"/>
      <c r="G655" s="2"/>
      <c r="H655" s="2"/>
      <c r="I655" s="2"/>
      <c r="J655" s="2"/>
      <c r="K655" s="2"/>
      <c r="L655" s="2"/>
      <c r="M655" s="2"/>
      <c r="N655" s="2"/>
      <c r="O655" s="2"/>
      <c r="P655" s="2"/>
      <c r="Q655" s="2"/>
    </row>
    <row r="656" spans="2:17" ht="14.5" x14ac:dyDescent="0.3">
      <c r="B656" s="2"/>
      <c r="C656" s="2"/>
      <c r="D656" s="2"/>
      <c r="E656" s="2"/>
      <c r="F656" s="2"/>
      <c r="G656" s="2"/>
      <c r="H656" s="2"/>
      <c r="I656" s="2"/>
      <c r="J656" s="2"/>
      <c r="K656" s="2"/>
      <c r="L656" s="2"/>
      <c r="M656" s="2"/>
      <c r="N656" s="2"/>
      <c r="O656" s="2"/>
      <c r="P656" s="2"/>
      <c r="Q656" s="2"/>
    </row>
    <row r="657" spans="2:17" ht="14.5" x14ac:dyDescent="0.3">
      <c r="B657" s="2"/>
      <c r="C657" s="2"/>
      <c r="D657" s="2"/>
      <c r="E657" s="2"/>
      <c r="F657" s="2"/>
      <c r="G657" s="2"/>
      <c r="H657" s="2"/>
      <c r="I657" s="2"/>
      <c r="J657" s="2"/>
      <c r="K657" s="2"/>
      <c r="L657" s="2"/>
      <c r="M657" s="2"/>
      <c r="N657" s="2"/>
      <c r="O657" s="2"/>
      <c r="P657" s="2"/>
      <c r="Q657" s="2"/>
    </row>
    <row r="658" spans="2:17" ht="14.5" x14ac:dyDescent="0.3">
      <c r="B658" s="2"/>
      <c r="C658" s="2"/>
      <c r="D658" s="2"/>
      <c r="E658" s="2"/>
      <c r="F658" s="2"/>
      <c r="G658" s="2"/>
      <c r="H658" s="2"/>
      <c r="I658" s="2"/>
      <c r="J658" s="2"/>
      <c r="K658" s="2"/>
      <c r="L658" s="2"/>
      <c r="M658" s="2"/>
      <c r="N658" s="2"/>
      <c r="O658" s="2"/>
      <c r="P658" s="2"/>
      <c r="Q658" s="2"/>
    </row>
    <row r="659" spans="2:17" ht="14.5" x14ac:dyDescent="0.3">
      <c r="B659" s="2"/>
      <c r="C659" s="2"/>
      <c r="D659" s="2"/>
      <c r="E659" s="2"/>
      <c r="F659" s="2"/>
      <c r="G659" s="2"/>
      <c r="H659" s="2"/>
      <c r="I659" s="2"/>
      <c r="J659" s="2"/>
      <c r="K659" s="2"/>
      <c r="L659" s="2"/>
      <c r="M659" s="2"/>
      <c r="N659" s="2"/>
      <c r="O659" s="2"/>
      <c r="P659" s="2"/>
      <c r="Q659" s="2"/>
    </row>
    <row r="660" spans="2:17" ht="14.5" x14ac:dyDescent="0.3">
      <c r="B660" s="2"/>
      <c r="C660" s="2"/>
      <c r="D660" s="2"/>
      <c r="E660" s="2"/>
      <c r="F660" s="2"/>
      <c r="G660" s="2"/>
      <c r="H660" s="2"/>
      <c r="I660" s="2"/>
      <c r="J660" s="2"/>
      <c r="K660" s="2"/>
      <c r="L660" s="2"/>
      <c r="M660" s="2"/>
      <c r="N660" s="2"/>
      <c r="O660" s="2"/>
      <c r="P660" s="2"/>
      <c r="Q660" s="2"/>
    </row>
    <row r="661" spans="2:17" ht="14.5" x14ac:dyDescent="0.3">
      <c r="B661" s="2"/>
      <c r="C661" s="2"/>
      <c r="D661" s="2"/>
      <c r="E661" s="2"/>
      <c r="F661" s="2"/>
      <c r="G661" s="2"/>
      <c r="H661" s="2"/>
      <c r="I661" s="2"/>
      <c r="J661" s="2"/>
      <c r="K661" s="2"/>
      <c r="L661" s="2"/>
      <c r="M661" s="2"/>
      <c r="N661" s="2"/>
      <c r="O661" s="2"/>
      <c r="P661" s="2"/>
      <c r="Q661" s="2"/>
    </row>
    <row r="662" spans="2:17" ht="14.5" x14ac:dyDescent="0.3">
      <c r="B662" s="2"/>
      <c r="C662" s="2"/>
      <c r="D662" s="2"/>
      <c r="E662" s="2"/>
      <c r="F662" s="2"/>
      <c r="G662" s="2"/>
      <c r="H662" s="2"/>
      <c r="I662" s="2"/>
      <c r="J662" s="2"/>
      <c r="K662" s="2"/>
      <c r="L662" s="2"/>
      <c r="M662" s="2"/>
      <c r="N662" s="2"/>
      <c r="O662" s="2"/>
      <c r="P662" s="2"/>
      <c r="Q662" s="2"/>
    </row>
    <row r="663" spans="2:17" ht="14.5" x14ac:dyDescent="0.3">
      <c r="B663" s="2"/>
      <c r="C663" s="2"/>
      <c r="D663" s="2"/>
      <c r="E663" s="2"/>
      <c r="F663" s="2"/>
      <c r="G663" s="2"/>
      <c r="H663" s="2"/>
      <c r="I663" s="2"/>
      <c r="J663" s="2"/>
      <c r="K663" s="2"/>
      <c r="L663" s="2"/>
      <c r="M663" s="2"/>
      <c r="N663" s="2"/>
      <c r="O663" s="2"/>
      <c r="P663" s="2"/>
      <c r="Q663" s="2"/>
    </row>
    <row r="664" spans="2:17" ht="14.5" x14ac:dyDescent="0.3">
      <c r="B664" s="2"/>
      <c r="C664" s="2"/>
      <c r="D664" s="2"/>
      <c r="E664" s="2"/>
      <c r="F664" s="2"/>
      <c r="G664" s="2"/>
      <c r="H664" s="2"/>
      <c r="I664" s="2"/>
      <c r="J664" s="2"/>
      <c r="K664" s="2"/>
      <c r="L664" s="2"/>
      <c r="M664" s="2"/>
      <c r="N664" s="2"/>
      <c r="O664" s="2"/>
      <c r="P664" s="2"/>
      <c r="Q664" s="2"/>
    </row>
    <row r="665" spans="2:17" ht="14.5" x14ac:dyDescent="0.3">
      <c r="B665" s="2"/>
      <c r="C665" s="2"/>
      <c r="D665" s="2"/>
      <c r="E665" s="2"/>
      <c r="F665" s="2"/>
      <c r="G665" s="2"/>
      <c r="H665" s="2"/>
      <c r="I665" s="2"/>
      <c r="J665" s="2"/>
      <c r="K665" s="2"/>
      <c r="L665" s="2"/>
      <c r="M665" s="2"/>
      <c r="N665" s="2"/>
      <c r="O665" s="2"/>
      <c r="P665" s="2"/>
      <c r="Q665" s="2"/>
    </row>
    <row r="666" spans="2:17" ht="14.5" x14ac:dyDescent="0.3">
      <c r="B666" s="2"/>
      <c r="C666" s="2"/>
      <c r="D666" s="2"/>
      <c r="E666" s="2"/>
      <c r="F666" s="2"/>
      <c r="G666" s="2"/>
      <c r="H666" s="2"/>
      <c r="I666" s="2"/>
      <c r="J666" s="2"/>
      <c r="K666" s="2"/>
      <c r="L666" s="2"/>
      <c r="M666" s="2"/>
      <c r="N666" s="2"/>
      <c r="O666" s="2"/>
      <c r="P666" s="2"/>
      <c r="Q666" s="2"/>
    </row>
    <row r="667" spans="2:17" ht="14.5" x14ac:dyDescent="0.3">
      <c r="B667" s="2"/>
      <c r="C667" s="2"/>
      <c r="D667" s="2"/>
      <c r="E667" s="2"/>
      <c r="F667" s="2"/>
      <c r="G667" s="2"/>
      <c r="H667" s="2"/>
      <c r="I667" s="2"/>
      <c r="J667" s="2"/>
      <c r="K667" s="2"/>
      <c r="L667" s="2"/>
      <c r="M667" s="2"/>
      <c r="N667" s="2"/>
      <c r="O667" s="2"/>
      <c r="P667" s="2"/>
      <c r="Q667" s="2"/>
    </row>
    <row r="668" spans="2:17" ht="14.5" x14ac:dyDescent="0.3">
      <c r="B668" s="2"/>
      <c r="C668" s="2"/>
      <c r="D668" s="2"/>
      <c r="E668" s="2"/>
      <c r="F668" s="2"/>
      <c r="G668" s="2"/>
      <c r="H668" s="2"/>
      <c r="I668" s="2"/>
      <c r="J668" s="2"/>
      <c r="K668" s="2"/>
      <c r="L668" s="2"/>
      <c r="M668" s="2"/>
      <c r="N668" s="2"/>
      <c r="O668" s="2"/>
      <c r="P668" s="2"/>
      <c r="Q668" s="2"/>
    </row>
    <row r="669" spans="2:17" ht="14.5" x14ac:dyDescent="0.3">
      <c r="B669" s="2"/>
      <c r="C669" s="2"/>
      <c r="D669" s="2"/>
      <c r="E669" s="2"/>
      <c r="F669" s="2"/>
      <c r="G669" s="2"/>
      <c r="H669" s="2"/>
      <c r="I669" s="2"/>
      <c r="J669" s="2"/>
      <c r="K669" s="2"/>
      <c r="L669" s="2"/>
      <c r="M669" s="2"/>
      <c r="N669" s="2"/>
      <c r="O669" s="2"/>
      <c r="P669" s="2"/>
      <c r="Q669" s="2"/>
    </row>
    <row r="670" spans="2:17" ht="14.5" x14ac:dyDescent="0.3">
      <c r="B670" s="2"/>
      <c r="C670" s="2"/>
      <c r="D670" s="2"/>
      <c r="E670" s="2"/>
      <c r="F670" s="2"/>
      <c r="G670" s="2"/>
      <c r="H670" s="2"/>
      <c r="I670" s="2"/>
      <c r="J670" s="2"/>
      <c r="K670" s="2"/>
      <c r="L670" s="2"/>
      <c r="M670" s="2"/>
      <c r="N670" s="2"/>
      <c r="O670" s="2"/>
      <c r="P670" s="2"/>
      <c r="Q670" s="2"/>
    </row>
    <row r="671" spans="2:17" ht="14.5" x14ac:dyDescent="0.3">
      <c r="B671" s="2"/>
      <c r="C671" s="2"/>
      <c r="D671" s="2"/>
      <c r="E671" s="2"/>
      <c r="F671" s="2"/>
      <c r="G671" s="2"/>
      <c r="H671" s="2"/>
      <c r="I671" s="2"/>
      <c r="J671" s="2"/>
      <c r="K671" s="2"/>
      <c r="L671" s="2"/>
      <c r="M671" s="2"/>
      <c r="N671" s="2"/>
      <c r="O671" s="2"/>
      <c r="P671" s="2"/>
      <c r="Q671" s="2"/>
    </row>
    <row r="672" spans="2:17" ht="14.5" x14ac:dyDescent="0.3">
      <c r="B672" s="2"/>
      <c r="C672" s="2"/>
      <c r="D672" s="2"/>
      <c r="E672" s="2"/>
      <c r="F672" s="2"/>
      <c r="G672" s="2"/>
      <c r="H672" s="2"/>
      <c r="I672" s="2"/>
      <c r="J672" s="2"/>
      <c r="K672" s="2"/>
      <c r="L672" s="2"/>
      <c r="M672" s="2"/>
      <c r="N672" s="2"/>
      <c r="O672" s="2"/>
      <c r="P672" s="2"/>
      <c r="Q672" s="2"/>
    </row>
    <row r="673" spans="2:17" ht="14.5" x14ac:dyDescent="0.3">
      <c r="B673" s="2"/>
      <c r="C673" s="2"/>
      <c r="D673" s="2"/>
      <c r="E673" s="2"/>
      <c r="F673" s="2"/>
      <c r="G673" s="2"/>
      <c r="H673" s="2"/>
      <c r="I673" s="2"/>
      <c r="J673" s="2"/>
      <c r="K673" s="2"/>
      <c r="L673" s="2"/>
      <c r="M673" s="2"/>
      <c r="N673" s="2"/>
      <c r="O673" s="2"/>
      <c r="P673" s="2"/>
      <c r="Q673" s="2"/>
    </row>
    <row r="674" spans="2:17" ht="14.5" x14ac:dyDescent="0.3">
      <c r="B674" s="2"/>
      <c r="C674" s="2"/>
      <c r="D674" s="2"/>
      <c r="E674" s="2"/>
      <c r="F674" s="2"/>
      <c r="G674" s="2"/>
      <c r="H674" s="2"/>
      <c r="I674" s="2"/>
      <c r="J674" s="2"/>
      <c r="K674" s="2"/>
      <c r="L674" s="2"/>
      <c r="M674" s="2"/>
      <c r="N674" s="2"/>
      <c r="O674" s="2"/>
      <c r="P674" s="2"/>
      <c r="Q674" s="2"/>
    </row>
    <row r="675" spans="2:17" ht="14.5" x14ac:dyDescent="0.3">
      <c r="B675" s="2"/>
      <c r="C675" s="2"/>
      <c r="D675" s="2"/>
      <c r="E675" s="2"/>
      <c r="F675" s="2"/>
      <c r="G675" s="2"/>
      <c r="H675" s="2"/>
      <c r="I675" s="2"/>
      <c r="J675" s="2"/>
      <c r="K675" s="2"/>
      <c r="L675" s="2"/>
      <c r="M675" s="2"/>
      <c r="N675" s="2"/>
      <c r="O675" s="2"/>
      <c r="P675" s="2"/>
      <c r="Q675" s="2"/>
    </row>
    <row r="676" spans="2:17" ht="14.5" x14ac:dyDescent="0.3">
      <c r="B676" s="2"/>
      <c r="C676" s="2"/>
      <c r="D676" s="2"/>
      <c r="E676" s="2"/>
      <c r="F676" s="2"/>
      <c r="G676" s="2"/>
      <c r="H676" s="2"/>
      <c r="I676" s="2"/>
      <c r="J676" s="2"/>
      <c r="K676" s="2"/>
      <c r="L676" s="2"/>
      <c r="M676" s="2"/>
      <c r="N676" s="2"/>
      <c r="O676" s="2"/>
      <c r="P676" s="2"/>
      <c r="Q676" s="2"/>
    </row>
    <row r="677" spans="2:17" ht="14.5" x14ac:dyDescent="0.3">
      <c r="B677" s="2"/>
      <c r="C677" s="2"/>
      <c r="D677" s="2"/>
      <c r="E677" s="2"/>
      <c r="F677" s="2"/>
      <c r="G677" s="2"/>
      <c r="H677" s="2"/>
      <c r="I677" s="2"/>
      <c r="J677" s="2"/>
      <c r="K677" s="2"/>
      <c r="L677" s="2"/>
      <c r="M677" s="2"/>
      <c r="N677" s="2"/>
      <c r="O677" s="2"/>
      <c r="P677" s="2"/>
      <c r="Q677" s="2"/>
    </row>
    <row r="678" spans="2:17" ht="14.5" x14ac:dyDescent="0.3">
      <c r="B678" s="2"/>
      <c r="C678" s="2"/>
      <c r="D678" s="2"/>
      <c r="E678" s="2"/>
      <c r="F678" s="2"/>
      <c r="G678" s="2"/>
      <c r="H678" s="2"/>
      <c r="I678" s="2"/>
      <c r="J678" s="2"/>
      <c r="K678" s="2"/>
      <c r="L678" s="2"/>
      <c r="M678" s="2"/>
      <c r="N678" s="2"/>
      <c r="O678" s="2"/>
      <c r="P678" s="2"/>
      <c r="Q678" s="2"/>
    </row>
    <row r="679" spans="2:17" ht="14.5" x14ac:dyDescent="0.3">
      <c r="B679" s="2"/>
      <c r="C679" s="2"/>
      <c r="D679" s="2"/>
      <c r="E679" s="2"/>
      <c r="F679" s="2"/>
      <c r="G679" s="2"/>
      <c r="H679" s="2"/>
      <c r="I679" s="2"/>
      <c r="J679" s="2"/>
      <c r="K679" s="2"/>
      <c r="L679" s="2"/>
      <c r="M679" s="2"/>
      <c r="N679" s="2"/>
      <c r="O679" s="2"/>
      <c r="P679" s="2"/>
      <c r="Q679" s="2"/>
    </row>
    <row r="680" spans="2:17" ht="14.5" x14ac:dyDescent="0.3">
      <c r="B680" s="2"/>
      <c r="C680" s="2"/>
      <c r="D680" s="2"/>
      <c r="E680" s="2"/>
      <c r="F680" s="2"/>
      <c r="G680" s="2"/>
      <c r="H680" s="2"/>
      <c r="I680" s="2"/>
      <c r="J680" s="2"/>
      <c r="K680" s="2"/>
      <c r="L680" s="2"/>
      <c r="M680" s="2"/>
      <c r="N680" s="2"/>
      <c r="O680" s="2"/>
      <c r="P680" s="2"/>
      <c r="Q680" s="2"/>
    </row>
    <row r="681" spans="2:17" ht="14.5" x14ac:dyDescent="0.3">
      <c r="B681" s="2"/>
      <c r="C681" s="2"/>
      <c r="D681" s="2"/>
      <c r="E681" s="2"/>
      <c r="F681" s="2"/>
      <c r="G681" s="2"/>
      <c r="H681" s="2"/>
      <c r="I681" s="2"/>
      <c r="J681" s="2"/>
      <c r="K681" s="2"/>
      <c r="L681" s="2"/>
      <c r="M681" s="2"/>
      <c r="N681" s="2"/>
      <c r="O681" s="2"/>
      <c r="P681" s="2"/>
      <c r="Q681" s="2"/>
    </row>
    <row r="682" spans="2:17" ht="14.5" x14ac:dyDescent="0.3">
      <c r="B682" s="2"/>
      <c r="C682" s="2"/>
      <c r="D682" s="2"/>
      <c r="E682" s="2"/>
      <c r="F682" s="2"/>
      <c r="G682" s="2"/>
      <c r="H682" s="2"/>
      <c r="I682" s="2"/>
      <c r="J682" s="2"/>
      <c r="K682" s="2"/>
      <c r="L682" s="2"/>
      <c r="M682" s="2"/>
      <c r="N682" s="2"/>
      <c r="O682" s="2"/>
      <c r="P682" s="2"/>
      <c r="Q682" s="2"/>
    </row>
    <row r="683" spans="2:17" ht="14.5" x14ac:dyDescent="0.3">
      <c r="B683" s="2"/>
      <c r="C683" s="2"/>
      <c r="D683" s="2"/>
      <c r="E683" s="2"/>
      <c r="F683" s="2"/>
      <c r="G683" s="2"/>
      <c r="H683" s="2"/>
      <c r="I683" s="2"/>
      <c r="J683" s="2"/>
      <c r="K683" s="2"/>
      <c r="L683" s="2"/>
      <c r="M683" s="2"/>
      <c r="N683" s="2"/>
      <c r="O683" s="2"/>
      <c r="P683" s="2"/>
      <c r="Q683" s="2"/>
    </row>
    <row r="684" spans="2:17" ht="14.5" x14ac:dyDescent="0.3">
      <c r="B684" s="2"/>
      <c r="C684" s="2"/>
      <c r="D684" s="2"/>
      <c r="E684" s="2"/>
      <c r="F684" s="2"/>
      <c r="G684" s="2"/>
      <c r="H684" s="2"/>
      <c r="I684" s="2"/>
      <c r="J684" s="2"/>
      <c r="K684" s="2"/>
      <c r="L684" s="2"/>
      <c r="M684" s="2"/>
      <c r="N684" s="2"/>
      <c r="O684" s="2"/>
      <c r="P684" s="2"/>
      <c r="Q684" s="2"/>
    </row>
    <row r="685" spans="2:17" ht="14.5" x14ac:dyDescent="0.3">
      <c r="B685" s="2"/>
      <c r="C685" s="2"/>
      <c r="D685" s="2"/>
      <c r="E685" s="2"/>
      <c r="F685" s="2"/>
      <c r="G685" s="2"/>
      <c r="H685" s="2"/>
      <c r="I685" s="2"/>
      <c r="J685" s="2"/>
      <c r="K685" s="2"/>
      <c r="L685" s="2"/>
      <c r="M685" s="2"/>
      <c r="N685" s="2"/>
      <c r="O685" s="2"/>
      <c r="P685" s="2"/>
      <c r="Q685" s="2"/>
    </row>
    <row r="686" spans="2:17" ht="14.5" x14ac:dyDescent="0.3">
      <c r="B686" s="2"/>
      <c r="C686" s="2"/>
      <c r="D686" s="2"/>
      <c r="E686" s="2"/>
      <c r="F686" s="2"/>
      <c r="G686" s="2"/>
      <c r="H686" s="2"/>
      <c r="I686" s="2"/>
      <c r="J686" s="2"/>
      <c r="K686" s="2"/>
      <c r="L686" s="2"/>
      <c r="M686" s="2"/>
      <c r="N686" s="2"/>
      <c r="O686" s="2"/>
      <c r="P686" s="2"/>
      <c r="Q686" s="2"/>
    </row>
    <row r="687" spans="2:17" ht="14.5" x14ac:dyDescent="0.3">
      <c r="B687" s="2"/>
      <c r="C687" s="2"/>
      <c r="D687" s="2"/>
      <c r="E687" s="2"/>
      <c r="F687" s="2"/>
      <c r="G687" s="2"/>
      <c r="H687" s="2"/>
      <c r="I687" s="2"/>
      <c r="J687" s="2"/>
      <c r="K687" s="2"/>
      <c r="L687" s="2"/>
      <c r="M687" s="2"/>
      <c r="N687" s="2"/>
      <c r="O687" s="2"/>
      <c r="P687" s="2"/>
      <c r="Q687" s="2"/>
    </row>
    <row r="688" spans="2:17" ht="14.5" x14ac:dyDescent="0.3">
      <c r="B688" s="2"/>
      <c r="C688" s="2"/>
      <c r="D688" s="2"/>
      <c r="E688" s="2"/>
      <c r="F688" s="2"/>
      <c r="G688" s="2"/>
      <c r="H688" s="2"/>
      <c r="I688" s="2"/>
      <c r="J688" s="2"/>
      <c r="K688" s="2"/>
      <c r="L688" s="2"/>
      <c r="M688" s="2"/>
      <c r="N688" s="2"/>
      <c r="O688" s="2"/>
      <c r="P688" s="2"/>
      <c r="Q688" s="2"/>
    </row>
    <row r="689" spans="2:17" ht="14.5" x14ac:dyDescent="0.3">
      <c r="B689" s="2"/>
      <c r="C689" s="2"/>
      <c r="D689" s="2"/>
      <c r="E689" s="2"/>
      <c r="F689" s="2"/>
      <c r="G689" s="2"/>
      <c r="H689" s="2"/>
      <c r="I689" s="2"/>
      <c r="J689" s="2"/>
      <c r="K689" s="2"/>
      <c r="L689" s="2"/>
      <c r="M689" s="2"/>
      <c r="N689" s="2"/>
      <c r="O689" s="2"/>
      <c r="P689" s="2"/>
      <c r="Q689" s="2"/>
    </row>
    <row r="690" spans="2:17" ht="14.5" x14ac:dyDescent="0.3">
      <c r="B690" s="2"/>
      <c r="C690" s="2"/>
      <c r="D690" s="2"/>
      <c r="E690" s="2"/>
      <c r="F690" s="2"/>
      <c r="G690" s="2"/>
      <c r="H690" s="2"/>
      <c r="I690" s="2"/>
      <c r="J690" s="2"/>
      <c r="K690" s="2"/>
      <c r="L690" s="2"/>
      <c r="M690" s="2"/>
      <c r="N690" s="2"/>
      <c r="O690" s="2"/>
      <c r="P690" s="2"/>
      <c r="Q690" s="2"/>
    </row>
    <row r="691" spans="2:17" ht="14.5" x14ac:dyDescent="0.3">
      <c r="B691" s="2"/>
      <c r="C691" s="2"/>
      <c r="D691" s="2"/>
      <c r="E691" s="2"/>
      <c r="F691" s="2"/>
      <c r="G691" s="2"/>
      <c r="H691" s="2"/>
      <c r="I691" s="2"/>
      <c r="J691" s="2"/>
      <c r="K691" s="2"/>
      <c r="L691" s="2"/>
      <c r="M691" s="2"/>
      <c r="N691" s="2"/>
      <c r="O691" s="2"/>
      <c r="P691" s="2"/>
      <c r="Q691" s="2"/>
    </row>
    <row r="692" spans="2:17" ht="14.5" x14ac:dyDescent="0.3">
      <c r="B692" s="2"/>
      <c r="C692" s="2"/>
      <c r="D692" s="2"/>
      <c r="E692" s="2"/>
      <c r="F692" s="2"/>
      <c r="G692" s="2"/>
      <c r="H692" s="2"/>
      <c r="I692" s="2"/>
      <c r="J692" s="2"/>
      <c r="K692" s="2"/>
      <c r="L692" s="2"/>
      <c r="M692" s="2"/>
      <c r="N692" s="2"/>
      <c r="O692" s="2"/>
      <c r="P692" s="2"/>
      <c r="Q692" s="2"/>
    </row>
    <row r="693" spans="2:17" ht="14.5" x14ac:dyDescent="0.3">
      <c r="B693" s="2"/>
      <c r="C693" s="2"/>
      <c r="D693" s="2"/>
      <c r="E693" s="2"/>
      <c r="F693" s="2"/>
      <c r="G693" s="2"/>
      <c r="H693" s="2"/>
      <c r="I693" s="2"/>
      <c r="J693" s="2"/>
      <c r="K693" s="2"/>
      <c r="L693" s="2"/>
      <c r="M693" s="2"/>
      <c r="N693" s="2"/>
      <c r="O693" s="2"/>
      <c r="P693" s="2"/>
      <c r="Q693" s="2"/>
    </row>
    <row r="694" spans="2:17" ht="14.5" x14ac:dyDescent="0.3">
      <c r="B694" s="2"/>
      <c r="C694" s="2"/>
      <c r="D694" s="2"/>
      <c r="E694" s="2"/>
      <c r="F694" s="2"/>
      <c r="G694" s="2"/>
      <c r="H694" s="2"/>
      <c r="I694" s="2"/>
      <c r="J694" s="2"/>
      <c r="K694" s="2"/>
      <c r="L694" s="2"/>
      <c r="M694" s="2"/>
      <c r="N694" s="2"/>
      <c r="O694" s="2"/>
      <c r="P694" s="2"/>
      <c r="Q694" s="2"/>
    </row>
    <row r="695" spans="2:17" ht="14.5" x14ac:dyDescent="0.3">
      <c r="B695" s="2"/>
      <c r="C695" s="2"/>
      <c r="D695" s="2"/>
      <c r="E695" s="2"/>
      <c r="F695" s="2"/>
      <c r="G695" s="2"/>
      <c r="H695" s="2"/>
      <c r="I695" s="2"/>
      <c r="J695" s="2"/>
      <c r="K695" s="2"/>
      <c r="L695" s="2"/>
      <c r="M695" s="2"/>
      <c r="N695" s="2"/>
      <c r="O695" s="2"/>
      <c r="P695" s="2"/>
      <c r="Q695" s="2"/>
    </row>
    <row r="696" spans="2:17" ht="14.5" x14ac:dyDescent="0.3">
      <c r="B696" s="2"/>
      <c r="C696" s="2"/>
      <c r="D696" s="2"/>
      <c r="E696" s="2"/>
      <c r="F696" s="2"/>
      <c r="G696" s="2"/>
      <c r="H696" s="2"/>
      <c r="I696" s="2"/>
      <c r="J696" s="2"/>
      <c r="K696" s="2"/>
      <c r="L696" s="2"/>
      <c r="M696" s="2"/>
      <c r="N696" s="2"/>
      <c r="O696" s="2"/>
      <c r="P696" s="2"/>
      <c r="Q696" s="2"/>
    </row>
    <row r="697" spans="2:17" ht="14.5" x14ac:dyDescent="0.3">
      <c r="B697" s="2"/>
      <c r="C697" s="2"/>
      <c r="D697" s="2"/>
      <c r="E697" s="2"/>
      <c r="F697" s="2"/>
      <c r="G697" s="2"/>
      <c r="H697" s="2"/>
      <c r="I697" s="2"/>
      <c r="J697" s="2"/>
      <c r="K697" s="2"/>
      <c r="L697" s="2"/>
      <c r="M697" s="2"/>
      <c r="N697" s="2"/>
      <c r="O697" s="2"/>
      <c r="P697" s="2"/>
      <c r="Q697" s="2"/>
    </row>
    <row r="698" spans="2:17" ht="14.5" x14ac:dyDescent="0.3">
      <c r="B698" s="2"/>
      <c r="C698" s="2"/>
      <c r="D698" s="2"/>
      <c r="E698" s="2"/>
      <c r="F698" s="2"/>
      <c r="G698" s="2"/>
      <c r="H698" s="2"/>
      <c r="I698" s="2"/>
      <c r="J698" s="2"/>
      <c r="K698" s="2"/>
      <c r="L698" s="2"/>
      <c r="M698" s="2"/>
      <c r="N698" s="2"/>
      <c r="O698" s="2"/>
      <c r="P698" s="2"/>
      <c r="Q698" s="2"/>
    </row>
    <row r="699" spans="2:17" ht="14.5" x14ac:dyDescent="0.3">
      <c r="B699" s="2"/>
      <c r="C699" s="2"/>
      <c r="D699" s="2"/>
      <c r="E699" s="2"/>
      <c r="F699" s="2"/>
      <c r="G699" s="2"/>
      <c r="H699" s="2"/>
      <c r="I699" s="2"/>
      <c r="J699" s="2"/>
      <c r="K699" s="2"/>
      <c r="L699" s="2"/>
      <c r="M699" s="2"/>
      <c r="N699" s="2"/>
      <c r="O699" s="2"/>
      <c r="P699" s="2"/>
      <c r="Q699" s="2"/>
    </row>
    <row r="700" spans="2:17" ht="14.5" x14ac:dyDescent="0.3">
      <c r="B700" s="2"/>
      <c r="C700" s="2"/>
      <c r="D700" s="2"/>
      <c r="E700" s="2"/>
      <c r="F700" s="2"/>
      <c r="G700" s="2"/>
      <c r="H700" s="2"/>
      <c r="I700" s="2"/>
      <c r="J700" s="2"/>
      <c r="K700" s="2"/>
      <c r="L700" s="2"/>
      <c r="M700" s="2"/>
      <c r="N700" s="2"/>
      <c r="O700" s="2"/>
      <c r="P700" s="2"/>
      <c r="Q700" s="2"/>
    </row>
    <row r="701" spans="2:17" ht="14.5" x14ac:dyDescent="0.3">
      <c r="B701" s="2"/>
      <c r="C701" s="2"/>
      <c r="D701" s="2"/>
      <c r="E701" s="2"/>
      <c r="F701" s="2"/>
      <c r="G701" s="2"/>
      <c r="H701" s="2"/>
      <c r="I701" s="2"/>
      <c r="J701" s="2"/>
      <c r="K701" s="2"/>
      <c r="L701" s="2"/>
      <c r="M701" s="2"/>
      <c r="N701" s="2"/>
      <c r="O701" s="2"/>
      <c r="P701" s="2"/>
      <c r="Q701" s="2"/>
    </row>
    <row r="702" spans="2:17" ht="14.5" x14ac:dyDescent="0.3">
      <c r="B702" s="2"/>
      <c r="C702" s="2"/>
      <c r="D702" s="2"/>
      <c r="E702" s="2"/>
      <c r="F702" s="2"/>
      <c r="G702" s="2"/>
      <c r="H702" s="2"/>
      <c r="I702" s="2"/>
      <c r="J702" s="2"/>
      <c r="K702" s="2"/>
      <c r="L702" s="2"/>
      <c r="M702" s="2"/>
      <c r="N702" s="2"/>
      <c r="O702" s="2"/>
      <c r="P702" s="2"/>
      <c r="Q702" s="2"/>
    </row>
    <row r="703" spans="2:17" ht="14.5" x14ac:dyDescent="0.3">
      <c r="B703" s="2"/>
      <c r="C703" s="2"/>
      <c r="D703" s="2"/>
      <c r="E703" s="2"/>
      <c r="F703" s="2"/>
      <c r="G703" s="2"/>
      <c r="H703" s="2"/>
      <c r="I703" s="2"/>
      <c r="J703" s="2"/>
      <c r="K703" s="2"/>
      <c r="L703" s="2"/>
      <c r="M703" s="2"/>
      <c r="N703" s="2"/>
      <c r="O703" s="2"/>
      <c r="P703" s="2"/>
      <c r="Q703" s="2"/>
    </row>
    <row r="704" spans="2:17" ht="14.5" x14ac:dyDescent="0.3">
      <c r="B704" s="2"/>
      <c r="C704" s="2"/>
      <c r="D704" s="2"/>
      <c r="E704" s="2"/>
      <c r="F704" s="2"/>
      <c r="G704" s="2"/>
      <c r="H704" s="2"/>
      <c r="I704" s="2"/>
      <c r="J704" s="2"/>
      <c r="K704" s="2"/>
      <c r="L704" s="2"/>
      <c r="M704" s="2"/>
      <c r="N704" s="2"/>
      <c r="O704" s="2"/>
      <c r="P704" s="2"/>
      <c r="Q704" s="2"/>
    </row>
    <row r="705" spans="2:17" ht="14.5" x14ac:dyDescent="0.3">
      <c r="B705" s="2"/>
      <c r="C705" s="2"/>
      <c r="D705" s="2"/>
      <c r="E705" s="2"/>
      <c r="F705" s="2"/>
      <c r="G705" s="2"/>
      <c r="H705" s="2"/>
      <c r="I705" s="2"/>
      <c r="J705" s="2"/>
      <c r="K705" s="2"/>
      <c r="L705" s="2"/>
      <c r="M705" s="2"/>
      <c r="N705" s="2"/>
      <c r="O705" s="2"/>
      <c r="P705" s="2"/>
      <c r="Q705" s="2"/>
    </row>
    <row r="706" spans="2:17" ht="14.5" x14ac:dyDescent="0.3">
      <c r="B706" s="2"/>
      <c r="C706" s="2"/>
      <c r="D706" s="2"/>
      <c r="E706" s="2"/>
      <c r="F706" s="2"/>
      <c r="G706" s="2"/>
      <c r="H706" s="2"/>
      <c r="I706" s="2"/>
      <c r="J706" s="2"/>
      <c r="K706" s="2"/>
      <c r="L706" s="2"/>
      <c r="M706" s="2"/>
      <c r="N706" s="2"/>
      <c r="O706" s="2"/>
      <c r="P706" s="2"/>
      <c r="Q706" s="2"/>
    </row>
    <row r="707" spans="2:17" ht="14.5" x14ac:dyDescent="0.3">
      <c r="B707" s="2"/>
      <c r="C707" s="2"/>
      <c r="D707" s="2"/>
      <c r="E707" s="2"/>
      <c r="F707" s="2"/>
      <c r="G707" s="2"/>
      <c r="H707" s="2"/>
      <c r="I707" s="2"/>
      <c r="J707" s="2"/>
      <c r="K707" s="2"/>
      <c r="L707" s="2"/>
      <c r="M707" s="2"/>
      <c r="N707" s="2"/>
      <c r="O707" s="2"/>
      <c r="P707" s="2"/>
      <c r="Q707" s="2"/>
    </row>
    <row r="708" spans="2:17" ht="14.5" x14ac:dyDescent="0.3">
      <c r="B708" s="2"/>
      <c r="C708" s="2"/>
      <c r="D708" s="2"/>
      <c r="E708" s="2"/>
      <c r="F708" s="2"/>
      <c r="G708" s="2"/>
      <c r="H708" s="2"/>
      <c r="I708" s="2"/>
      <c r="J708" s="2"/>
      <c r="K708" s="2"/>
      <c r="L708" s="2"/>
      <c r="M708" s="2"/>
      <c r="N708" s="2"/>
      <c r="O708" s="2"/>
      <c r="P708" s="2"/>
      <c r="Q708" s="2"/>
    </row>
    <row r="709" spans="2:17" ht="14.5" x14ac:dyDescent="0.3">
      <c r="B709" s="2"/>
      <c r="C709" s="2"/>
      <c r="D709" s="2"/>
      <c r="E709" s="2"/>
      <c r="F709" s="2"/>
      <c r="G709" s="2"/>
      <c r="H709" s="2"/>
      <c r="I709" s="2"/>
      <c r="J709" s="2"/>
      <c r="K709" s="2"/>
      <c r="L709" s="2"/>
      <c r="M709" s="2"/>
      <c r="N709" s="2"/>
      <c r="O709" s="2"/>
      <c r="P709" s="2"/>
      <c r="Q709" s="2"/>
    </row>
    <row r="710" spans="2:17" ht="14.5" x14ac:dyDescent="0.3">
      <c r="B710" s="2"/>
      <c r="C710" s="2"/>
      <c r="D710" s="2"/>
      <c r="E710" s="2"/>
      <c r="F710" s="2"/>
      <c r="G710" s="2"/>
      <c r="H710" s="2"/>
      <c r="I710" s="2"/>
      <c r="J710" s="2"/>
      <c r="K710" s="2"/>
      <c r="L710" s="2"/>
      <c r="M710" s="2"/>
      <c r="N710" s="2"/>
      <c r="O710" s="2"/>
      <c r="P710" s="2"/>
      <c r="Q710" s="2"/>
    </row>
    <row r="711" spans="2:17" ht="14.5" x14ac:dyDescent="0.3">
      <c r="B711" s="2"/>
      <c r="C711" s="2"/>
      <c r="D711" s="2"/>
      <c r="E711" s="2"/>
      <c r="F711" s="2"/>
      <c r="G711" s="2"/>
      <c r="H711" s="2"/>
      <c r="I711" s="2"/>
      <c r="J711" s="2"/>
      <c r="K711" s="2"/>
      <c r="L711" s="2"/>
      <c r="M711" s="2"/>
      <c r="N711" s="2"/>
      <c r="O711" s="2"/>
      <c r="P711" s="2"/>
      <c r="Q711" s="2"/>
    </row>
    <row r="712" spans="2:17" ht="14.5" x14ac:dyDescent="0.3">
      <c r="B712" s="2"/>
      <c r="C712" s="2"/>
      <c r="D712" s="2"/>
      <c r="E712" s="2"/>
      <c r="F712" s="2"/>
      <c r="G712" s="2"/>
      <c r="H712" s="2"/>
      <c r="I712" s="2"/>
      <c r="J712" s="2"/>
      <c r="K712" s="2"/>
      <c r="L712" s="2"/>
      <c r="M712" s="2"/>
      <c r="N712" s="2"/>
      <c r="O712" s="2"/>
      <c r="P712" s="2"/>
      <c r="Q712" s="2"/>
    </row>
    <row r="713" spans="2:17" ht="14.5" x14ac:dyDescent="0.3">
      <c r="B713" s="2"/>
      <c r="C713" s="2"/>
      <c r="D713" s="2"/>
      <c r="E713" s="2"/>
      <c r="F713" s="2"/>
      <c r="G713" s="2"/>
      <c r="H713" s="2"/>
      <c r="I713" s="2"/>
      <c r="J713" s="2"/>
      <c r="K713" s="2"/>
      <c r="L713" s="2"/>
      <c r="M713" s="2"/>
      <c r="N713" s="2"/>
      <c r="O713" s="2"/>
      <c r="P713" s="2"/>
      <c r="Q713" s="2"/>
    </row>
    <row r="714" spans="2:17" ht="14.5" x14ac:dyDescent="0.3">
      <c r="B714" s="2"/>
      <c r="C714" s="2"/>
      <c r="D714" s="2"/>
      <c r="E714" s="2"/>
      <c r="F714" s="2"/>
      <c r="G714" s="2"/>
      <c r="H714" s="2"/>
      <c r="I714" s="2"/>
      <c r="J714" s="2"/>
      <c r="K714" s="2"/>
      <c r="L714" s="2"/>
      <c r="M714" s="2"/>
      <c r="N714" s="2"/>
      <c r="O714" s="2"/>
      <c r="P714" s="2"/>
      <c r="Q714" s="2"/>
    </row>
    <row r="715" spans="2:17" ht="14.5" x14ac:dyDescent="0.3">
      <c r="B715" s="2"/>
      <c r="C715" s="2"/>
      <c r="D715" s="2"/>
      <c r="E715" s="2"/>
      <c r="F715" s="2"/>
      <c r="G715" s="2"/>
      <c r="H715" s="2"/>
      <c r="I715" s="2"/>
      <c r="J715" s="2"/>
      <c r="K715" s="2"/>
      <c r="L715" s="2"/>
      <c r="M715" s="2"/>
      <c r="N715" s="2"/>
      <c r="O715" s="2"/>
      <c r="P715" s="2"/>
      <c r="Q715" s="2"/>
    </row>
    <row r="716" spans="2:17" ht="14.5" x14ac:dyDescent="0.3">
      <c r="B716" s="2"/>
      <c r="C716" s="2"/>
      <c r="D716" s="2"/>
      <c r="E716" s="2"/>
      <c r="F716" s="2"/>
      <c r="G716" s="2"/>
      <c r="H716" s="2"/>
      <c r="I716" s="2"/>
      <c r="J716" s="2"/>
      <c r="K716" s="2"/>
      <c r="L716" s="2"/>
      <c r="M716" s="2"/>
      <c r="N716" s="2"/>
      <c r="O716" s="2"/>
      <c r="P716" s="2"/>
      <c r="Q716" s="2"/>
    </row>
    <row r="717" spans="2:17" ht="14.5" x14ac:dyDescent="0.3">
      <c r="B717" s="2"/>
      <c r="C717" s="2"/>
      <c r="D717" s="2"/>
      <c r="E717" s="2"/>
      <c r="F717" s="2"/>
      <c r="G717" s="2"/>
      <c r="H717" s="2"/>
      <c r="I717" s="2"/>
      <c r="J717" s="2"/>
      <c r="K717" s="2"/>
      <c r="L717" s="2"/>
      <c r="M717" s="2"/>
      <c r="N717" s="2"/>
      <c r="O717" s="2"/>
      <c r="P717" s="2"/>
      <c r="Q717" s="2"/>
    </row>
    <row r="718" spans="2:17" ht="14.5" x14ac:dyDescent="0.3">
      <c r="B718" s="2"/>
      <c r="C718" s="2"/>
      <c r="D718" s="2"/>
      <c r="E718" s="2"/>
      <c r="F718" s="2"/>
      <c r="G718" s="2"/>
      <c r="H718" s="2"/>
      <c r="I718" s="2"/>
      <c r="J718" s="2"/>
      <c r="K718" s="2"/>
      <c r="L718" s="2"/>
      <c r="M718" s="2"/>
      <c r="N718" s="2"/>
      <c r="O718" s="2"/>
      <c r="P718" s="2"/>
      <c r="Q718" s="2"/>
    </row>
    <row r="719" spans="2:17" ht="14.5" x14ac:dyDescent="0.3">
      <c r="B719" s="2"/>
      <c r="C719" s="2"/>
      <c r="D719" s="2"/>
      <c r="E719" s="2"/>
      <c r="F719" s="2"/>
      <c r="G719" s="2"/>
      <c r="H719" s="2"/>
      <c r="I719" s="2"/>
      <c r="J719" s="2"/>
      <c r="K719" s="2"/>
      <c r="L719" s="2"/>
      <c r="M719" s="2"/>
      <c r="N719" s="2"/>
      <c r="O719" s="2"/>
      <c r="P719" s="2"/>
      <c r="Q719" s="2"/>
    </row>
    <row r="720" spans="2:17" ht="14.5" x14ac:dyDescent="0.3">
      <c r="B720" s="2"/>
      <c r="C720" s="2"/>
      <c r="D720" s="2"/>
      <c r="E720" s="2"/>
      <c r="F720" s="2"/>
      <c r="G720" s="2"/>
      <c r="H720" s="2"/>
      <c r="I720" s="2"/>
      <c r="J720" s="2"/>
      <c r="K720" s="2"/>
      <c r="L720" s="2"/>
      <c r="M720" s="2"/>
      <c r="N720" s="2"/>
      <c r="O720" s="2"/>
      <c r="P720" s="2"/>
      <c r="Q720" s="2"/>
    </row>
    <row r="721" spans="2:17" ht="14.5" x14ac:dyDescent="0.3">
      <c r="B721" s="2"/>
      <c r="C721" s="2"/>
      <c r="D721" s="2"/>
      <c r="E721" s="2"/>
      <c r="F721" s="2"/>
      <c r="G721" s="2"/>
      <c r="H721" s="2"/>
      <c r="I721" s="2"/>
      <c r="J721" s="2"/>
      <c r="K721" s="2"/>
      <c r="L721" s="2"/>
      <c r="M721" s="2"/>
      <c r="N721" s="2"/>
      <c r="O721" s="2"/>
      <c r="P721" s="2"/>
      <c r="Q721" s="2"/>
    </row>
    <row r="722" spans="2:17" ht="14.5" x14ac:dyDescent="0.3">
      <c r="B722" s="2"/>
      <c r="C722" s="2"/>
      <c r="D722" s="2"/>
      <c r="E722" s="2"/>
      <c r="F722" s="2"/>
      <c r="G722" s="2"/>
      <c r="H722" s="2"/>
      <c r="I722" s="2"/>
      <c r="J722" s="2"/>
      <c r="K722" s="2"/>
      <c r="L722" s="2"/>
      <c r="M722" s="2"/>
      <c r="N722" s="2"/>
      <c r="O722" s="2"/>
      <c r="P722" s="2"/>
      <c r="Q722" s="2"/>
    </row>
    <row r="723" spans="2:17" ht="14.5" x14ac:dyDescent="0.3">
      <c r="B723" s="2"/>
      <c r="C723" s="2"/>
      <c r="D723" s="2"/>
      <c r="E723" s="2"/>
      <c r="F723" s="2"/>
      <c r="G723" s="2"/>
      <c r="H723" s="2"/>
      <c r="I723" s="2"/>
      <c r="J723" s="2"/>
      <c r="K723" s="2"/>
      <c r="L723" s="2"/>
      <c r="M723" s="2"/>
      <c r="N723" s="2"/>
      <c r="O723" s="2"/>
      <c r="P723" s="2"/>
      <c r="Q723" s="2"/>
    </row>
    <row r="724" spans="2:17" ht="14.5" x14ac:dyDescent="0.3">
      <c r="B724" s="2"/>
      <c r="C724" s="2"/>
      <c r="D724" s="2"/>
      <c r="E724" s="2"/>
      <c r="F724" s="2"/>
      <c r="G724" s="2"/>
      <c r="H724" s="2"/>
      <c r="I724" s="2"/>
      <c r="J724" s="2"/>
      <c r="K724" s="2"/>
      <c r="L724" s="2"/>
      <c r="M724" s="2"/>
      <c r="N724" s="2"/>
      <c r="O724" s="2"/>
      <c r="P724" s="2"/>
      <c r="Q724" s="2"/>
    </row>
    <row r="725" spans="2:17" ht="14.5" x14ac:dyDescent="0.3">
      <c r="B725" s="2"/>
      <c r="C725" s="2"/>
      <c r="D725" s="2"/>
      <c r="E725" s="2"/>
      <c r="F725" s="2"/>
      <c r="G725" s="2"/>
      <c r="H725" s="2"/>
      <c r="I725" s="2"/>
      <c r="J725" s="2"/>
      <c r="K725" s="2"/>
      <c r="L725" s="2"/>
      <c r="M725" s="2"/>
      <c r="N725" s="2"/>
      <c r="O725" s="2"/>
      <c r="P725" s="2"/>
      <c r="Q725" s="2"/>
    </row>
    <row r="726" spans="2:17" ht="14.5" x14ac:dyDescent="0.3">
      <c r="B726" s="2"/>
      <c r="C726" s="2"/>
      <c r="D726" s="2"/>
      <c r="E726" s="2"/>
      <c r="F726" s="2"/>
      <c r="G726" s="2"/>
      <c r="H726" s="2"/>
      <c r="I726" s="2"/>
      <c r="J726" s="2"/>
      <c r="K726" s="2"/>
      <c r="L726" s="2"/>
      <c r="M726" s="2"/>
      <c r="N726" s="2"/>
      <c r="O726" s="2"/>
      <c r="P726" s="2"/>
      <c r="Q726" s="2"/>
    </row>
    <row r="727" spans="2:17" ht="14.5" x14ac:dyDescent="0.3">
      <c r="B727" s="2"/>
      <c r="C727" s="2"/>
      <c r="D727" s="2"/>
      <c r="E727" s="2"/>
      <c r="F727" s="2"/>
      <c r="G727" s="2"/>
      <c r="H727" s="2"/>
      <c r="I727" s="2"/>
      <c r="J727" s="2"/>
      <c r="K727" s="2"/>
      <c r="L727" s="2"/>
      <c r="M727" s="2"/>
      <c r="N727" s="2"/>
      <c r="O727" s="2"/>
      <c r="P727" s="2"/>
      <c r="Q727" s="2"/>
    </row>
    <row r="728" spans="2:17" ht="14.5" x14ac:dyDescent="0.3">
      <c r="B728" s="2"/>
      <c r="C728" s="2"/>
      <c r="D728" s="2"/>
      <c r="E728" s="2"/>
      <c r="F728" s="2"/>
      <c r="G728" s="2"/>
      <c r="H728" s="2"/>
      <c r="I728" s="2"/>
      <c r="J728" s="2"/>
      <c r="K728" s="2"/>
      <c r="L728" s="2"/>
      <c r="M728" s="2"/>
      <c r="N728" s="2"/>
      <c r="O728" s="2"/>
      <c r="P728" s="2"/>
      <c r="Q728" s="2"/>
    </row>
    <row r="729" spans="2:17" ht="14.5" x14ac:dyDescent="0.3">
      <c r="B729" s="2"/>
      <c r="C729" s="2"/>
      <c r="D729" s="2"/>
      <c r="E729" s="2"/>
      <c r="F729" s="2"/>
      <c r="G729" s="2"/>
      <c r="H729" s="2"/>
      <c r="I729" s="2"/>
      <c r="J729" s="2"/>
      <c r="K729" s="2"/>
      <c r="L729" s="2"/>
      <c r="M729" s="2"/>
      <c r="N729" s="2"/>
      <c r="O729" s="2"/>
      <c r="P729" s="2"/>
      <c r="Q729" s="2"/>
    </row>
    <row r="730" spans="2:17" ht="14.5" x14ac:dyDescent="0.3">
      <c r="B730" s="2"/>
      <c r="C730" s="2"/>
      <c r="D730" s="2"/>
      <c r="E730" s="2"/>
      <c r="F730" s="2"/>
      <c r="G730" s="2"/>
      <c r="H730" s="2"/>
      <c r="I730" s="2"/>
      <c r="J730" s="2"/>
      <c r="K730" s="2"/>
      <c r="L730" s="2"/>
      <c r="M730" s="2"/>
      <c r="N730" s="2"/>
      <c r="O730" s="2"/>
      <c r="P730" s="2"/>
      <c r="Q730" s="2"/>
    </row>
    <row r="731" spans="2:17" ht="14.5" x14ac:dyDescent="0.3">
      <c r="B731" s="2"/>
      <c r="C731" s="2"/>
      <c r="D731" s="2"/>
      <c r="E731" s="2"/>
      <c r="F731" s="2"/>
      <c r="G731" s="2"/>
      <c r="H731" s="2"/>
      <c r="I731" s="2"/>
      <c r="J731" s="2"/>
      <c r="K731" s="2"/>
      <c r="L731" s="2"/>
      <c r="M731" s="2"/>
      <c r="N731" s="2"/>
      <c r="O731" s="2"/>
      <c r="P731" s="2"/>
      <c r="Q731" s="2"/>
    </row>
    <row r="732" spans="2:17" ht="14.5" x14ac:dyDescent="0.3">
      <c r="B732" s="2"/>
      <c r="C732" s="2"/>
      <c r="D732" s="2"/>
      <c r="E732" s="2"/>
      <c r="F732" s="2"/>
      <c r="G732" s="2"/>
      <c r="H732" s="2"/>
      <c r="I732" s="2"/>
      <c r="J732" s="2"/>
      <c r="K732" s="2"/>
      <c r="L732" s="2"/>
      <c r="M732" s="2"/>
      <c r="N732" s="2"/>
      <c r="O732" s="2"/>
      <c r="P732" s="2"/>
      <c r="Q732" s="2"/>
    </row>
    <row r="733" spans="2:17" ht="14.5" x14ac:dyDescent="0.3">
      <c r="B733" s="2"/>
      <c r="C733" s="2"/>
      <c r="D733" s="2"/>
      <c r="E733" s="2"/>
      <c r="F733" s="2"/>
      <c r="G733" s="2"/>
      <c r="H733" s="2"/>
      <c r="I733" s="2"/>
      <c r="J733" s="2"/>
      <c r="K733" s="2"/>
      <c r="L733" s="2"/>
      <c r="M733" s="2"/>
      <c r="N733" s="2"/>
      <c r="O733" s="2"/>
      <c r="P733" s="2"/>
      <c r="Q733" s="2"/>
    </row>
    <row r="734" spans="2:17" ht="14.5" x14ac:dyDescent="0.3">
      <c r="B734" s="2"/>
      <c r="C734" s="2"/>
      <c r="D734" s="2"/>
      <c r="E734" s="2"/>
      <c r="F734" s="2"/>
      <c r="G734" s="2"/>
      <c r="H734" s="2"/>
      <c r="I734" s="2"/>
      <c r="J734" s="2"/>
      <c r="K734" s="2"/>
      <c r="L734" s="2"/>
      <c r="M734" s="2"/>
      <c r="N734" s="2"/>
      <c r="O734" s="2"/>
      <c r="P734" s="2"/>
      <c r="Q734" s="2"/>
    </row>
    <row r="735" spans="2:17" ht="14.5" x14ac:dyDescent="0.3">
      <c r="B735" s="2"/>
      <c r="C735" s="2"/>
      <c r="D735" s="2"/>
      <c r="E735" s="2"/>
      <c r="F735" s="2"/>
      <c r="G735" s="2"/>
      <c r="H735" s="2"/>
      <c r="I735" s="2"/>
      <c r="J735" s="2"/>
      <c r="K735" s="2"/>
      <c r="L735" s="2"/>
      <c r="M735" s="2"/>
      <c r="N735" s="2"/>
      <c r="O735" s="2"/>
      <c r="P735" s="2"/>
      <c r="Q735" s="2"/>
    </row>
    <row r="736" spans="2:17" ht="14.5" x14ac:dyDescent="0.3">
      <c r="B736" s="2"/>
      <c r="C736" s="2"/>
      <c r="D736" s="2"/>
      <c r="E736" s="2"/>
      <c r="F736" s="2"/>
      <c r="G736" s="2"/>
      <c r="H736" s="2"/>
      <c r="I736" s="2"/>
      <c r="J736" s="2"/>
      <c r="K736" s="2"/>
      <c r="L736" s="2"/>
      <c r="M736" s="2"/>
      <c r="N736" s="2"/>
      <c r="O736" s="2"/>
      <c r="P736" s="2"/>
      <c r="Q736" s="2"/>
    </row>
    <row r="737" spans="2:17" ht="14.5" x14ac:dyDescent="0.3">
      <c r="B737" s="2"/>
      <c r="C737" s="2"/>
      <c r="D737" s="2"/>
      <c r="E737" s="2"/>
      <c r="F737" s="2"/>
      <c r="G737" s="2"/>
      <c r="H737" s="2"/>
      <c r="I737" s="2"/>
      <c r="J737" s="2"/>
      <c r="K737" s="2"/>
      <c r="L737" s="2"/>
      <c r="M737" s="2"/>
      <c r="N737" s="2"/>
      <c r="O737" s="2"/>
      <c r="P737" s="2"/>
      <c r="Q737" s="2"/>
    </row>
    <row r="738" spans="2:17" ht="14.5" x14ac:dyDescent="0.3">
      <c r="B738" s="2"/>
      <c r="C738" s="2"/>
      <c r="D738" s="2"/>
      <c r="E738" s="2"/>
      <c r="F738" s="2"/>
      <c r="G738" s="2"/>
      <c r="H738" s="2"/>
      <c r="I738" s="2"/>
      <c r="J738" s="2"/>
      <c r="K738" s="2"/>
      <c r="L738" s="2"/>
      <c r="M738" s="2"/>
      <c r="N738" s="2"/>
      <c r="O738" s="2"/>
      <c r="P738" s="2"/>
      <c r="Q738" s="2"/>
    </row>
    <row r="739" spans="2:17" ht="14.5" x14ac:dyDescent="0.3">
      <c r="B739" s="2"/>
      <c r="C739" s="2"/>
      <c r="D739" s="2"/>
      <c r="E739" s="2"/>
      <c r="F739" s="2"/>
      <c r="G739" s="2"/>
      <c r="H739" s="2"/>
      <c r="I739" s="2"/>
      <c r="J739" s="2"/>
      <c r="K739" s="2"/>
      <c r="L739" s="2"/>
      <c r="M739" s="2"/>
      <c r="N739" s="2"/>
      <c r="O739" s="2"/>
      <c r="P739" s="2"/>
      <c r="Q739" s="2"/>
    </row>
    <row r="740" spans="2:17" ht="14.5" x14ac:dyDescent="0.3">
      <c r="B740" s="2"/>
      <c r="C740" s="2"/>
      <c r="D740" s="2"/>
      <c r="E740" s="2"/>
      <c r="F740" s="2"/>
      <c r="G740" s="2"/>
      <c r="H740" s="2"/>
      <c r="I740" s="2"/>
      <c r="J740" s="2"/>
      <c r="K740" s="2"/>
      <c r="L740" s="2"/>
      <c r="M740" s="2"/>
      <c r="N740" s="2"/>
      <c r="O740" s="2"/>
      <c r="P740" s="2"/>
      <c r="Q740" s="2"/>
    </row>
    <row r="741" spans="2:17" ht="14.5" x14ac:dyDescent="0.3">
      <c r="B741" s="2"/>
      <c r="C741" s="2"/>
      <c r="D741" s="2"/>
      <c r="E741" s="2"/>
      <c r="F741" s="2"/>
      <c r="G741" s="2"/>
      <c r="H741" s="2"/>
      <c r="I741" s="2"/>
      <c r="J741" s="2"/>
      <c r="K741" s="2"/>
      <c r="L741" s="2"/>
      <c r="M741" s="2"/>
      <c r="N741" s="2"/>
      <c r="O741" s="2"/>
      <c r="P741" s="2"/>
      <c r="Q741" s="2"/>
    </row>
    <row r="742" spans="2:17" ht="14.5" x14ac:dyDescent="0.3">
      <c r="B742" s="2"/>
      <c r="C742" s="2"/>
      <c r="D742" s="2"/>
      <c r="E742" s="2"/>
      <c r="F742" s="2"/>
      <c r="G742" s="2"/>
      <c r="H742" s="2"/>
      <c r="I742" s="2"/>
      <c r="J742" s="2"/>
      <c r="K742" s="2"/>
      <c r="L742" s="2"/>
      <c r="M742" s="2"/>
      <c r="N742" s="2"/>
      <c r="O742" s="2"/>
      <c r="P742" s="2"/>
      <c r="Q742" s="2"/>
    </row>
    <row r="743" spans="2:17" ht="14.5" x14ac:dyDescent="0.3">
      <c r="B743" s="2"/>
      <c r="C743" s="2"/>
      <c r="D743" s="2"/>
      <c r="E743" s="2"/>
      <c r="F743" s="2"/>
      <c r="G743" s="2"/>
      <c r="H743" s="2"/>
      <c r="I743" s="2"/>
      <c r="J743" s="2"/>
      <c r="K743" s="2"/>
      <c r="L743" s="2"/>
      <c r="M743" s="2"/>
      <c r="N743" s="2"/>
      <c r="O743" s="2"/>
      <c r="P743" s="2"/>
      <c r="Q743" s="2"/>
    </row>
    <row r="744" spans="2:17" ht="14.5" x14ac:dyDescent="0.3">
      <c r="B744" s="2"/>
      <c r="C744" s="2"/>
      <c r="D744" s="2"/>
      <c r="E744" s="2"/>
      <c r="F744" s="2"/>
      <c r="G744" s="2"/>
      <c r="H744" s="2"/>
      <c r="I744" s="2"/>
      <c r="J744" s="2"/>
      <c r="K744" s="2"/>
      <c r="L744" s="2"/>
      <c r="M744" s="2"/>
      <c r="N744" s="2"/>
      <c r="O744" s="2"/>
      <c r="P744" s="2"/>
      <c r="Q744" s="2"/>
    </row>
    <row r="745" spans="2:17" ht="14.5" x14ac:dyDescent="0.3">
      <c r="B745" s="2"/>
      <c r="C745" s="2"/>
      <c r="D745" s="2"/>
      <c r="E745" s="2"/>
      <c r="F745" s="2"/>
      <c r="G745" s="2"/>
      <c r="H745" s="2"/>
      <c r="I745" s="2"/>
      <c r="J745" s="2"/>
      <c r="K745" s="2"/>
      <c r="L745" s="2"/>
      <c r="M745" s="2"/>
      <c r="N745" s="2"/>
      <c r="O745" s="2"/>
      <c r="P745" s="2"/>
      <c r="Q745" s="2"/>
    </row>
    <row r="746" spans="2:17" ht="14.5" x14ac:dyDescent="0.3">
      <c r="B746" s="2"/>
      <c r="C746" s="2"/>
      <c r="D746" s="2"/>
      <c r="E746" s="2"/>
      <c r="F746" s="2"/>
      <c r="G746" s="2"/>
      <c r="H746" s="2"/>
      <c r="I746" s="2"/>
      <c r="J746" s="2"/>
      <c r="K746" s="2"/>
      <c r="L746" s="2"/>
      <c r="M746" s="2"/>
      <c r="N746" s="2"/>
      <c r="O746" s="2"/>
      <c r="P746" s="2"/>
      <c r="Q746" s="2"/>
    </row>
    <row r="747" spans="2:17" ht="14.5" x14ac:dyDescent="0.3">
      <c r="B747" s="2"/>
      <c r="C747" s="2"/>
      <c r="D747" s="2"/>
      <c r="E747" s="2"/>
      <c r="F747" s="2"/>
      <c r="G747" s="2"/>
      <c r="H747" s="2"/>
      <c r="I747" s="2"/>
      <c r="J747" s="2"/>
      <c r="K747" s="2"/>
      <c r="L747" s="2"/>
      <c r="M747" s="2"/>
      <c r="N747" s="2"/>
      <c r="O747" s="2"/>
      <c r="P747" s="2"/>
      <c r="Q747" s="2"/>
    </row>
    <row r="748" spans="2:17" ht="14.5" x14ac:dyDescent="0.3">
      <c r="B748" s="2"/>
      <c r="C748" s="2"/>
      <c r="D748" s="2"/>
      <c r="E748" s="2"/>
      <c r="F748" s="2"/>
      <c r="G748" s="2"/>
      <c r="H748" s="2"/>
      <c r="I748" s="2"/>
      <c r="J748" s="2"/>
      <c r="K748" s="2"/>
      <c r="L748" s="2"/>
      <c r="M748" s="2"/>
      <c r="N748" s="2"/>
      <c r="O748" s="2"/>
      <c r="P748" s="2"/>
      <c r="Q748" s="2"/>
    </row>
    <row r="749" spans="2:17" ht="14.5" x14ac:dyDescent="0.3">
      <c r="B749" s="2"/>
      <c r="C749" s="2"/>
      <c r="D749" s="2"/>
      <c r="E749" s="2"/>
      <c r="F749" s="2"/>
      <c r="G749" s="2"/>
      <c r="H749" s="2"/>
      <c r="I749" s="2"/>
      <c r="J749" s="2"/>
      <c r="K749" s="2"/>
      <c r="L749" s="2"/>
      <c r="M749" s="2"/>
      <c r="N749" s="2"/>
      <c r="O749" s="2"/>
      <c r="P749" s="2"/>
      <c r="Q749" s="2"/>
    </row>
    <row r="750" spans="2:17" ht="14.5" x14ac:dyDescent="0.3">
      <c r="B750" s="2"/>
      <c r="C750" s="2"/>
      <c r="D750" s="2"/>
      <c r="E750" s="2"/>
      <c r="F750" s="2"/>
      <c r="G750" s="2"/>
      <c r="H750" s="2"/>
      <c r="I750" s="2"/>
      <c r="J750" s="2"/>
      <c r="K750" s="2"/>
      <c r="L750" s="2"/>
      <c r="M750" s="2"/>
      <c r="N750" s="2"/>
      <c r="O750" s="2"/>
      <c r="P750" s="2"/>
      <c r="Q750" s="2"/>
    </row>
    <row r="751" spans="2:17" ht="14.5" x14ac:dyDescent="0.3">
      <c r="B751" s="2"/>
      <c r="C751" s="2"/>
      <c r="D751" s="2"/>
      <c r="E751" s="2"/>
      <c r="F751" s="2"/>
      <c r="G751" s="2"/>
      <c r="H751" s="2"/>
      <c r="I751" s="2"/>
      <c r="J751" s="2"/>
      <c r="K751" s="2"/>
      <c r="L751" s="2"/>
      <c r="M751" s="2"/>
      <c r="N751" s="2"/>
      <c r="O751" s="2"/>
      <c r="P751" s="2"/>
      <c r="Q751" s="2"/>
    </row>
    <row r="752" spans="2:17" ht="14.5" x14ac:dyDescent="0.3">
      <c r="B752" s="2"/>
      <c r="C752" s="2"/>
      <c r="D752" s="2"/>
      <c r="E752" s="2"/>
      <c r="F752" s="2"/>
      <c r="G752" s="2"/>
      <c r="H752" s="2"/>
      <c r="I752" s="2"/>
      <c r="J752" s="2"/>
      <c r="K752" s="2"/>
      <c r="L752" s="2"/>
      <c r="M752" s="2"/>
      <c r="N752" s="2"/>
      <c r="O752" s="2"/>
      <c r="P752" s="2"/>
      <c r="Q752" s="2"/>
    </row>
    <row r="753" spans="2:17" ht="14.5" x14ac:dyDescent="0.3">
      <c r="B753" s="2"/>
      <c r="C753" s="2"/>
      <c r="D753" s="2"/>
      <c r="E753" s="2"/>
      <c r="F753" s="2"/>
      <c r="G753" s="2"/>
      <c r="H753" s="2"/>
      <c r="I753" s="2"/>
      <c r="J753" s="2"/>
      <c r="K753" s="2"/>
      <c r="L753" s="2"/>
      <c r="M753" s="2"/>
      <c r="N753" s="2"/>
      <c r="O753" s="2"/>
      <c r="P753" s="2"/>
      <c r="Q753" s="2"/>
    </row>
    <row r="754" spans="2:17" ht="14.5" x14ac:dyDescent="0.3">
      <c r="B754" s="2"/>
      <c r="C754" s="2"/>
      <c r="D754" s="2"/>
      <c r="E754" s="2"/>
      <c r="F754" s="2"/>
      <c r="G754" s="2"/>
      <c r="H754" s="2"/>
      <c r="I754" s="2"/>
      <c r="J754" s="2"/>
      <c r="K754" s="2"/>
      <c r="L754" s="2"/>
      <c r="M754" s="2"/>
      <c r="N754" s="2"/>
      <c r="O754" s="2"/>
      <c r="P754" s="2"/>
      <c r="Q754" s="2"/>
    </row>
    <row r="755" spans="2:17" ht="14.5" x14ac:dyDescent="0.3">
      <c r="B755" s="2"/>
      <c r="C755" s="2"/>
      <c r="D755" s="2"/>
      <c r="E755" s="2"/>
      <c r="F755" s="2"/>
      <c r="G755" s="2"/>
      <c r="H755" s="2"/>
      <c r="I755" s="2"/>
      <c r="J755" s="2"/>
      <c r="K755" s="2"/>
      <c r="L755" s="2"/>
      <c r="M755" s="2"/>
      <c r="N755" s="2"/>
      <c r="O755" s="2"/>
      <c r="P755" s="2"/>
      <c r="Q755" s="2"/>
    </row>
    <row r="756" spans="2:17" ht="14.5" x14ac:dyDescent="0.3">
      <c r="B756" s="2"/>
      <c r="C756" s="2"/>
      <c r="D756" s="2"/>
      <c r="E756" s="2"/>
      <c r="F756" s="2"/>
      <c r="G756" s="2"/>
      <c r="H756" s="2"/>
      <c r="I756" s="2"/>
      <c r="J756" s="2"/>
      <c r="K756" s="2"/>
      <c r="L756" s="2"/>
      <c r="M756" s="2"/>
      <c r="N756" s="2"/>
      <c r="O756" s="2"/>
      <c r="P756" s="2"/>
      <c r="Q756" s="2"/>
    </row>
    <row r="757" spans="2:17" ht="14.5" x14ac:dyDescent="0.3">
      <c r="B757" s="2"/>
      <c r="C757" s="2"/>
      <c r="D757" s="2"/>
      <c r="E757" s="2"/>
      <c r="F757" s="2"/>
      <c r="G757" s="2"/>
      <c r="H757" s="2"/>
      <c r="I757" s="2"/>
      <c r="J757" s="2"/>
      <c r="K757" s="2"/>
      <c r="L757" s="2"/>
      <c r="M757" s="2"/>
      <c r="N757" s="2"/>
      <c r="O757" s="2"/>
      <c r="P757" s="2"/>
      <c r="Q757" s="2"/>
    </row>
  </sheetData>
  <mergeCells count="105">
    <mergeCell ref="B98:Q98"/>
    <mergeCell ref="B137:Q137"/>
    <mergeCell ref="B161:Q161"/>
    <mergeCell ref="B166:Q166"/>
    <mergeCell ref="B205:Q205"/>
    <mergeCell ref="B194:Q194"/>
    <mergeCell ref="B196:Q196"/>
    <mergeCell ref="B176:Q176"/>
    <mergeCell ref="B167:Q167"/>
    <mergeCell ref="B168:Q168"/>
    <mergeCell ref="B186:Q186"/>
    <mergeCell ref="B177:Q177"/>
    <mergeCell ref="B140:Q140"/>
    <mergeCell ref="B164:Q164"/>
    <mergeCell ref="B100:Q100"/>
    <mergeCell ref="B227:Q227"/>
    <mergeCell ref="B222:Q222"/>
    <mergeCell ref="B220:Q220"/>
    <mergeCell ref="B215:Q215"/>
    <mergeCell ref="B213:Q213"/>
    <mergeCell ref="B211:Q211"/>
    <mergeCell ref="B212:Q212"/>
    <mergeCell ref="B209:Q209"/>
    <mergeCell ref="B214:Q214"/>
    <mergeCell ref="B87:Q87"/>
    <mergeCell ref="B89:Q89"/>
    <mergeCell ref="B70:Q70"/>
    <mergeCell ref="B134:Q134"/>
    <mergeCell ref="B139:Q139"/>
    <mergeCell ref="B138:Q138"/>
    <mergeCell ref="B157:Q157"/>
    <mergeCell ref="B120:Q120"/>
    <mergeCell ref="B136:Q136"/>
    <mergeCell ref="B121:Q121"/>
    <mergeCell ref="B124:Q124"/>
    <mergeCell ref="B128:Q129"/>
    <mergeCell ref="B130:Q130"/>
    <mergeCell ref="B123:Q123"/>
    <mergeCell ref="B135:Q135"/>
    <mergeCell ref="B117:Q118"/>
    <mergeCell ref="B102:Q102"/>
    <mergeCell ref="B99:Q99"/>
    <mergeCell ref="B103:Q103"/>
    <mergeCell ref="B104:Q104"/>
    <mergeCell ref="B88:Q88"/>
    <mergeCell ref="B90:Q90"/>
    <mergeCell ref="B91:Q91"/>
    <mergeCell ref="B151:Q151"/>
    <mergeCell ref="B64:Q64"/>
    <mergeCell ref="B66:Q67"/>
    <mergeCell ref="B34:Q34"/>
    <mergeCell ref="B13:Q13"/>
    <mergeCell ref="B96:Q96"/>
    <mergeCell ref="B92:Q92"/>
    <mergeCell ref="B73:Q73"/>
    <mergeCell ref="B74:Q74"/>
    <mergeCell ref="B77:Q77"/>
    <mergeCell ref="B76:Q76"/>
    <mergeCell ref="B82:Q82"/>
    <mergeCell ref="B75:Q75"/>
    <mergeCell ref="B72:Q72"/>
    <mergeCell ref="B83:Q83"/>
    <mergeCell ref="B95:Q95"/>
    <mergeCell ref="B94:Q94"/>
    <mergeCell ref="B81:Q81"/>
    <mergeCell ref="B78:Q78"/>
    <mergeCell ref="B80:Q80"/>
    <mergeCell ref="B79:Q79"/>
    <mergeCell ref="B93:Q93"/>
    <mergeCell ref="B84:Q84"/>
    <mergeCell ref="B85:Q85"/>
    <mergeCell ref="B86:Q86"/>
    <mergeCell ref="G45:K45"/>
    <mergeCell ref="L45:P45"/>
    <mergeCell ref="B47:Q47"/>
    <mergeCell ref="B36:Q36"/>
    <mergeCell ref="B63:Q63"/>
    <mergeCell ref="B62:Q62"/>
    <mergeCell ref="B61:Q61"/>
    <mergeCell ref="I57:J57"/>
    <mergeCell ref="B59:Q59"/>
    <mergeCell ref="B97:Q97"/>
    <mergeCell ref="B8:Q8"/>
    <mergeCell ref="B69:Q69"/>
    <mergeCell ref="B101:Q101"/>
    <mergeCell ref="B111:Q112"/>
    <mergeCell ref="B14:Q14"/>
    <mergeCell ref="B15:Q15"/>
    <mergeCell ref="B1:Q1"/>
    <mergeCell ref="B3:F3"/>
    <mergeCell ref="G3:K3"/>
    <mergeCell ref="L3:P3"/>
    <mergeCell ref="B7:Q7"/>
    <mergeCell ref="B6:Q6"/>
    <mergeCell ref="B71:Q71"/>
    <mergeCell ref="B57:F57"/>
    <mergeCell ref="B60:Q60"/>
    <mergeCell ref="B53:Q53"/>
    <mergeCell ref="B4:Q4"/>
    <mergeCell ref="B12:Q12"/>
    <mergeCell ref="B10:Q11"/>
    <mergeCell ref="B21:Q21"/>
    <mergeCell ref="B45:F45"/>
    <mergeCell ref="B18:Q18"/>
    <mergeCell ref="B19:Q19"/>
  </mergeCells>
  <phoneticPr fontId="42"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K42"/>
  <sheetViews>
    <sheetView workbookViewId="0">
      <selection activeCell="E9" sqref="E9"/>
    </sheetView>
  </sheetViews>
  <sheetFormatPr defaultColWidth="9" defaultRowHeight="13" x14ac:dyDescent="0.3"/>
  <cols>
    <col min="2" max="2" width="14.59765625" bestFit="1" customWidth="1"/>
    <col min="3" max="4" width="24" bestFit="1" customWidth="1"/>
    <col min="5" max="5" width="21" bestFit="1" customWidth="1"/>
  </cols>
  <sheetData>
    <row r="2" spans="1:11" s="21" customFormat="1" ht="14.5" x14ac:dyDescent="0.3">
      <c r="A2" s="26"/>
      <c r="B2" s="130" t="s">
        <v>250</v>
      </c>
      <c r="C2" s="128" t="s">
        <v>248</v>
      </c>
      <c r="D2" s="128" t="s">
        <v>252</v>
      </c>
      <c r="E2" s="128" t="s">
        <v>249</v>
      </c>
      <c r="F2" s="66"/>
    </row>
    <row r="3" spans="1:11" s="21" customFormat="1" ht="14.5" x14ac:dyDescent="0.3">
      <c r="A3" s="26"/>
      <c r="B3" s="64" t="s">
        <v>80</v>
      </c>
      <c r="F3" s="66"/>
    </row>
    <row r="4" spans="1:11" s="21" customFormat="1" ht="14.5" x14ac:dyDescent="0.3">
      <c r="A4" s="26"/>
      <c r="B4" s="136" t="s">
        <v>11</v>
      </c>
      <c r="F4" s="66"/>
    </row>
    <row r="5" spans="1:11" s="38" customFormat="1" ht="14.5" x14ac:dyDescent="0.35">
      <c r="A5" s="45"/>
      <c r="B5" s="21"/>
      <c r="C5" s="21"/>
      <c r="D5" s="21"/>
      <c r="E5" s="21"/>
      <c r="F5" s="26"/>
      <c r="H5" s="21"/>
      <c r="K5" s="21"/>
    </row>
    <row r="6" spans="1:11" s="38" customFormat="1" ht="14.5" x14ac:dyDescent="0.35">
      <c r="A6" s="45"/>
      <c r="B6" s="130" t="s">
        <v>251</v>
      </c>
      <c r="C6" s="128" t="s">
        <v>248</v>
      </c>
      <c r="D6" s="128" t="s">
        <v>252</v>
      </c>
      <c r="E6" s="128" t="s">
        <v>249</v>
      </c>
      <c r="F6" s="26"/>
    </row>
    <row r="7" spans="1:11" s="38" customFormat="1" ht="14.5" x14ac:dyDescent="0.35">
      <c r="A7" s="45"/>
      <c r="B7" s="64" t="s">
        <v>80</v>
      </c>
      <c r="C7" s="166" t="s">
        <v>24</v>
      </c>
      <c r="D7" s="166" t="s">
        <v>24</v>
      </c>
      <c r="E7" s="166" t="s">
        <v>24</v>
      </c>
      <c r="F7" s="26"/>
    </row>
    <row r="8" spans="1:11" s="21" customFormat="1" ht="14.5" x14ac:dyDescent="0.3">
      <c r="A8" s="26"/>
      <c r="B8" s="136" t="s">
        <v>11</v>
      </c>
      <c r="C8" s="166" t="str">
        <f>strEmpty</f>
        <v>--</v>
      </c>
      <c r="D8" s="166" t="str">
        <f>strEmpty</f>
        <v>--</v>
      </c>
      <c r="E8" s="166" t="str">
        <f>strEmpty</f>
        <v>--</v>
      </c>
      <c r="F8" s="66"/>
    </row>
    <row r="10" spans="1:11" ht="14.5" x14ac:dyDescent="0.3">
      <c r="B10" s="245" t="s">
        <v>278</v>
      </c>
      <c r="C10" s="246" t="s">
        <v>276</v>
      </c>
    </row>
    <row r="15" spans="1:11" x14ac:dyDescent="0.3">
      <c r="B15" t="s">
        <v>603</v>
      </c>
    </row>
    <row r="16" spans="1:11" ht="14.5" x14ac:dyDescent="0.3">
      <c r="B16" s="356" t="s">
        <v>578</v>
      </c>
      <c r="F16" s="2">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-1</v>
      </c>
    </row>
    <row r="17" spans="1:6" ht="14.5" x14ac:dyDescent="0.3">
      <c r="B17" s="356" t="s">
        <v>578</v>
      </c>
      <c r="F17" s="4">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0</v>
      </c>
    </row>
    <row r="18" spans="1:6" ht="14.5" x14ac:dyDescent="0.3">
      <c r="B18" s="356" t="s">
        <v>577</v>
      </c>
      <c r="F18" s="4" t="e">
        <f>IF(AND(HAOption="Yes",SiteResilienceEnabled="Yes",numDBCopiesSDC&gt;=1,OR(calcNumDBCopyInPDC&lt;3,numActMBXSvrsPerDC&lt;4),ValidationCheck=FALSE,calcNumActiveDBsSF&lt;&gt;"--"),ROUNDUP(ABS((RecNumDBs-(calcNumActiveDBsSF*(numActMBXSvrsPerDC-2)))/calcNumPMBXServersDC2),0),"--")</f>
        <v>#DIV/0!</v>
      </c>
    </row>
    <row r="19" spans="1:6" ht="14.5" x14ac:dyDescent="0.3">
      <c r="B19" s="356" t="s">
        <v>583</v>
      </c>
      <c r="C19" s="365" t="str">
        <f>IF(AND(HAOption="Yes",SiteResilienceEnabled="Yes",numDBCopiesSDC&gt;=1,calcNumDBCopyInPDC&lt;3,ValidationCheck=FALSE,calcNumActiveDBsFF&lt;&gt;"--"),IF(calcNumDBCopyInPDC=1,(RecNumDBs-calcNumActiveDBsFF)/calcNumPMBXServersDC2,"--"),"--")</f>
        <v>--</v>
      </c>
    </row>
    <row r="22" spans="1:6" x14ac:dyDescent="0.3">
      <c r="A22" t="s">
        <v>698</v>
      </c>
    </row>
    <row r="23" spans="1:6" ht="14.5" x14ac:dyDescent="0.3">
      <c r="A23" t="s">
        <v>693</v>
      </c>
      <c r="B23" s="394">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0</v>
      </c>
    </row>
    <row r="24" spans="1:6" ht="14.5" x14ac:dyDescent="0.3">
      <c r="B24" s="395"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#NAME?</v>
      </c>
    </row>
    <row r="25" spans="1:6" x14ac:dyDescent="0.3">
      <c r="A25" t="s">
        <v>694</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3">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3">
      <c r="A27" t="s">
        <v>695</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3">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3">
      <c r="A29" t="s">
        <v>696</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3">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3">
      <c r="A42" t="s">
        <v>697</v>
      </c>
    </row>
  </sheetData>
  <dataConsolidate/>
  <conditionalFormatting sqref="E7">
    <cfRule type="expression" dxfId="20" priority="13">
      <formula>IF(AND(RestoreVol="Yes",ResDiskSizePDC="--",ResDiskSizeSDC="--",ResDiskSize3="--"),TRUE,FALSE)</formula>
    </cfRule>
  </conditionalFormatting>
  <conditionalFormatting sqref="D7">
    <cfRule type="expression" dxfId="19" priority="12">
      <formula>IF(AND(LogDiskSizePDC="--",LogDiskSizeSDC="--",LogDiskSize3="--"),TRUE,FALSE)</formula>
    </cfRule>
  </conditionalFormatting>
  <conditionalFormatting sqref="C7">
    <cfRule type="expression" dxfId="18" priority="11">
      <formula>IF(AND(DBDiskSizePDC="--",DBDiskSizeSDC="--",DBDiskSize3="--"),TRUE,FALSE)</formula>
    </cfRule>
  </conditionalFormatting>
  <conditionalFormatting sqref="C8:E8">
    <cfRule type="expression" dxfId="17" priority="10">
      <formula>IF(DBDiskSizeSDC="--",TRUE,FALSE)</formula>
    </cfRule>
  </conditionalFormatting>
  <conditionalFormatting sqref="D7:E8 C8">
    <cfRule type="expression" dxfId="16" priority="9">
      <formula>IF(DBDiskSize3="--",TRUE,FALSE)</formula>
    </cfRule>
  </conditionalFormatting>
  <conditionalFormatting sqref="D7:D8">
    <cfRule type="expression" dxfId="15" priority="8">
      <formula>IF(VolArchitecture="1 LUN / DB",TRUE,FALSE)</formula>
    </cfRule>
  </conditionalFormatting>
  <conditionalFormatting sqref="C7">
    <cfRule type="expression" dxfId="14" priority="7">
      <formula>IF(RecJBODDiskTypePDC="Insufficient Disk Capacity",TRUE,FALSE)</formula>
    </cfRule>
  </conditionalFormatting>
  <conditionalFormatting sqref="E7">
    <cfRule type="expression" dxfId="13" priority="6">
      <formula>IF(RecJBODRLDiskTypePDC="Insufficient Disk Capacity",TRUE,FALSE)</formula>
    </cfRule>
  </conditionalFormatting>
  <conditionalFormatting sqref="D7:E7">
    <cfRule type="expression" dxfId="12" priority="3">
      <formula>IF(AND(DBDiskSizePDC="--",DBDiskSizeSDC="--",DBDiskSize3="--"),TRUE,FALSE)</formula>
    </cfRule>
  </conditionalFormatting>
  <conditionalFormatting sqref="D7:E7">
    <cfRule type="expression" dxfId="11" priority="2">
      <formula>IF(RecJBODDiskTypePDC="Insufficient Disk Capacity",TRUE,FALSE)</formula>
    </cfRule>
  </conditionalFormatting>
  <conditionalFormatting sqref="B10:C10">
    <cfRule type="expression" dxfId="10" priority="1" stopIfTrue="1">
      <formula>IF(HAOption="No",TRUE,FALSE)</formula>
    </cfRule>
  </conditionalFormatting>
  <dataValidations count="3">
    <dataValidation type="list" allowBlank="1" showInputMessage="1" showErrorMessage="1" sqref="C5" xr:uid="{00000000-0002-0000-0F00-000000000000}">
      <formula1>varDiskType</formula1>
    </dataValidation>
    <dataValidation type="list" allowBlank="1" showInputMessage="1" showErrorMessage="1" sqref="C7:E7" xr:uid="{00000000-0002-0000-0F00-000001000000}">
      <formula1>varDiskSize</formula1>
    </dataValidation>
    <dataValidation type="list" allowBlank="1" showInputMessage="1" showErrorMessage="1" sqref="C10" xr:uid="{00000000-0002-0000-0F00-00000200000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H371"/>
  <sheetViews>
    <sheetView workbookViewId="0"/>
  </sheetViews>
  <sheetFormatPr defaultColWidth="9" defaultRowHeight="13" x14ac:dyDescent="0.3"/>
  <cols>
    <col min="1" max="1" width="15" bestFit="1" customWidth="1"/>
    <col min="2" max="5" width="44.59765625" style="440" customWidth="1"/>
    <col min="6" max="6" width="8.8984375" style="440" customWidth="1"/>
    <col min="10" max="10" width="81" customWidth="1"/>
    <col min="11" max="11" width="81" bestFit="1" customWidth="1"/>
  </cols>
  <sheetData>
    <row r="1" spans="1:8" x14ac:dyDescent="0.3">
      <c r="A1" s="431" t="s">
        <v>723</v>
      </c>
      <c r="B1" s="441" t="s">
        <v>1150</v>
      </c>
      <c r="D1" s="441"/>
      <c r="G1" s="431"/>
    </row>
    <row r="2" spans="1:8" x14ac:dyDescent="0.3">
      <c r="A2" s="431" t="s">
        <v>713</v>
      </c>
      <c r="B2" s="447" t="s">
        <v>716</v>
      </c>
      <c r="C2" s="440" t="s">
        <v>718</v>
      </c>
      <c r="D2" s="440" t="s">
        <v>722</v>
      </c>
      <c r="E2" s="441" t="s">
        <v>828</v>
      </c>
    </row>
    <row r="3" spans="1:8" s="434" customFormat="1" x14ac:dyDescent="0.3">
      <c r="A3" s="435" t="s">
        <v>714</v>
      </c>
      <c r="B3" s="456">
        <v>225</v>
      </c>
      <c r="C3" s="434">
        <v>260</v>
      </c>
      <c r="D3" s="434">
        <v>365</v>
      </c>
      <c r="E3" s="434">
        <v>319</v>
      </c>
      <c r="H3"/>
    </row>
    <row r="4" spans="1:8" s="439" customFormat="1" x14ac:dyDescent="0.3">
      <c r="A4" s="438" t="s">
        <v>139</v>
      </c>
      <c r="B4" s="456">
        <v>2.2999999999999998</v>
      </c>
      <c r="C4" s="447" t="s">
        <v>1947</v>
      </c>
      <c r="D4" s="447" t="s">
        <v>1818</v>
      </c>
      <c r="E4" s="447" t="s">
        <v>1963</v>
      </c>
      <c r="F4" s="448"/>
      <c r="G4" s="438"/>
      <c r="H4"/>
    </row>
    <row r="5" spans="1:8" s="432" customFormat="1" x14ac:dyDescent="0.3">
      <c r="A5" s="433" t="s">
        <v>717</v>
      </c>
      <c r="B5" s="432">
        <v>42272</v>
      </c>
      <c r="C5" s="432">
        <v>42646</v>
      </c>
      <c r="D5" s="432">
        <v>42466</v>
      </c>
      <c r="E5" s="432">
        <v>42646</v>
      </c>
      <c r="G5" s="433"/>
      <c r="H5"/>
    </row>
    <row r="6" spans="1:8" x14ac:dyDescent="0.3">
      <c r="A6" s="431" t="s">
        <v>715</v>
      </c>
      <c r="B6" t="s">
        <v>829</v>
      </c>
      <c r="C6" t="s">
        <v>829</v>
      </c>
      <c r="D6" t="s">
        <v>829</v>
      </c>
      <c r="E6" t="s">
        <v>829</v>
      </c>
      <c r="G6" s="441"/>
    </row>
    <row r="7" spans="1:8" x14ac:dyDescent="0.3">
      <c r="B7" t="s">
        <v>830</v>
      </c>
      <c r="C7" t="s">
        <v>830</v>
      </c>
      <c r="D7" s="434" t="s">
        <v>830</v>
      </c>
      <c r="E7" t="s">
        <v>830</v>
      </c>
    </row>
    <row r="8" spans="1:8" x14ac:dyDescent="0.3">
      <c r="B8" s="434" t="s">
        <v>1585</v>
      </c>
      <c r="C8" s="434" t="s">
        <v>869</v>
      </c>
      <c r="D8" s="439" t="s">
        <v>946</v>
      </c>
      <c r="E8" s="434" t="s">
        <v>1090</v>
      </c>
    </row>
    <row r="9" spans="1:8" x14ac:dyDescent="0.3">
      <c r="B9" s="439"/>
      <c r="C9" s="439"/>
      <c r="D9" s="432" t="s">
        <v>947</v>
      </c>
      <c r="E9" s="439" t="s">
        <v>1091</v>
      </c>
    </row>
    <row r="10" spans="1:8" x14ac:dyDescent="0.3">
      <c r="B10" s="432" t="s">
        <v>831</v>
      </c>
      <c r="C10" s="432" t="s">
        <v>831</v>
      </c>
      <c r="D10" t="s">
        <v>1813</v>
      </c>
      <c r="E10" s="432"/>
    </row>
    <row r="11" spans="1:8" x14ac:dyDescent="0.3">
      <c r="B11" t="s">
        <v>1586</v>
      </c>
      <c r="C11" t="s">
        <v>847</v>
      </c>
      <c r="D11" t="s">
        <v>948</v>
      </c>
      <c r="E11" t="s">
        <v>831</v>
      </c>
    </row>
    <row r="12" spans="1:8" x14ac:dyDescent="0.3">
      <c r="B12" t="s">
        <v>1587</v>
      </c>
      <c r="C12" t="s">
        <v>848</v>
      </c>
      <c r="D12"/>
      <c r="E12" t="s">
        <v>1092</v>
      </c>
    </row>
    <row r="13" spans="1:8" x14ac:dyDescent="0.3">
      <c r="B13" t="s">
        <v>1588</v>
      </c>
      <c r="C13" t="s">
        <v>870</v>
      </c>
      <c r="D13"/>
      <c r="E13" t="s">
        <v>1093</v>
      </c>
    </row>
    <row r="14" spans="1:8" x14ac:dyDescent="0.3">
      <c r="B14" t="s">
        <v>1589</v>
      </c>
      <c r="C14" t="s">
        <v>871</v>
      </c>
      <c r="D14" t="s">
        <v>831</v>
      </c>
      <c r="E14" t="s">
        <v>1094</v>
      </c>
    </row>
    <row r="15" spans="1:8" x14ac:dyDescent="0.3">
      <c r="B15"/>
      <c r="C15" t="s">
        <v>832</v>
      </c>
      <c r="D15" t="s">
        <v>949</v>
      </c>
      <c r="E15"/>
    </row>
    <row r="16" spans="1:8" x14ac:dyDescent="0.3">
      <c r="B16" t="s">
        <v>1590</v>
      </c>
      <c r="C16" t="s">
        <v>872</v>
      </c>
      <c r="D16" t="s">
        <v>1438</v>
      </c>
      <c r="E16" t="s">
        <v>1787</v>
      </c>
    </row>
    <row r="17" spans="2:5" x14ac:dyDescent="0.3">
      <c r="B17" t="s">
        <v>1591</v>
      </c>
      <c r="C17" t="s">
        <v>832</v>
      </c>
      <c r="D17" t="s">
        <v>832</v>
      </c>
      <c r="E17"/>
    </row>
    <row r="18" spans="2:5" x14ac:dyDescent="0.3">
      <c r="B18" t="s">
        <v>1592</v>
      </c>
      <c r="C18" t="s">
        <v>873</v>
      </c>
      <c r="D18" t="s">
        <v>832</v>
      </c>
      <c r="E18" t="s">
        <v>834</v>
      </c>
    </row>
    <row r="19" spans="2:5" x14ac:dyDescent="0.3">
      <c r="B19" t="s">
        <v>1593</v>
      </c>
      <c r="C19" t="s">
        <v>874</v>
      </c>
      <c r="D19" t="s">
        <v>849</v>
      </c>
      <c r="E19" t="s">
        <v>1095</v>
      </c>
    </row>
    <row r="20" spans="2:5" x14ac:dyDescent="0.3">
      <c r="B20" t="s">
        <v>1594</v>
      </c>
      <c r="C20" t="s">
        <v>875</v>
      </c>
      <c r="D20" t="s">
        <v>832</v>
      </c>
      <c r="E20" t="s">
        <v>1096</v>
      </c>
    </row>
    <row r="21" spans="2:5" x14ac:dyDescent="0.3">
      <c r="B21" t="s">
        <v>1595</v>
      </c>
      <c r="C21" t="s">
        <v>876</v>
      </c>
      <c r="D21" t="s">
        <v>950</v>
      </c>
      <c r="E21" t="s">
        <v>1097</v>
      </c>
    </row>
    <row r="22" spans="2:5" x14ac:dyDescent="0.3">
      <c r="B22" t="s">
        <v>1596</v>
      </c>
      <c r="C22"/>
      <c r="D22" t="s">
        <v>951</v>
      </c>
      <c r="E22" t="s">
        <v>1098</v>
      </c>
    </row>
    <row r="23" spans="2:5" x14ac:dyDescent="0.3">
      <c r="B23" t="s">
        <v>1597</v>
      </c>
      <c r="C23" t="s">
        <v>834</v>
      </c>
      <c r="D23"/>
      <c r="E23" t="s">
        <v>1099</v>
      </c>
    </row>
    <row r="24" spans="2:5" x14ac:dyDescent="0.3">
      <c r="B24"/>
      <c r="C24" t="s">
        <v>877</v>
      </c>
      <c r="D24" t="s">
        <v>834</v>
      </c>
      <c r="E24" t="s">
        <v>1100</v>
      </c>
    </row>
    <row r="25" spans="2:5" x14ac:dyDescent="0.3">
      <c r="B25" t="s">
        <v>834</v>
      </c>
      <c r="C25" t="s">
        <v>878</v>
      </c>
      <c r="D25" t="s">
        <v>1814</v>
      </c>
      <c r="E25" t="s">
        <v>1101</v>
      </c>
    </row>
    <row r="26" spans="2:5" x14ac:dyDescent="0.3">
      <c r="B26" t="s">
        <v>1598</v>
      </c>
      <c r="C26" t="s">
        <v>850</v>
      </c>
      <c r="D26" t="s">
        <v>832</v>
      </c>
      <c r="E26" t="s">
        <v>1102</v>
      </c>
    </row>
    <row r="27" spans="2:5" x14ac:dyDescent="0.3">
      <c r="B27" t="s">
        <v>1599</v>
      </c>
      <c r="C27" t="s">
        <v>879</v>
      </c>
      <c r="D27" t="s">
        <v>1439</v>
      </c>
      <c r="E27"/>
    </row>
    <row r="28" spans="2:5" x14ac:dyDescent="0.3">
      <c r="B28"/>
      <c r="C28" t="s">
        <v>851</v>
      </c>
      <c r="D28" t="s">
        <v>1440</v>
      </c>
      <c r="E28" t="s">
        <v>1103</v>
      </c>
    </row>
    <row r="29" spans="2:5" x14ac:dyDescent="0.3">
      <c r="B29" t="s">
        <v>1600</v>
      </c>
      <c r="C29" t="s">
        <v>880</v>
      </c>
      <c r="D29" t="s">
        <v>952</v>
      </c>
      <c r="E29"/>
    </row>
    <row r="30" spans="2:5" x14ac:dyDescent="0.3">
      <c r="B30" t="s">
        <v>1601</v>
      </c>
      <c r="C30" t="s">
        <v>881</v>
      </c>
      <c r="D30" t="s">
        <v>953</v>
      </c>
      <c r="E30" t="s">
        <v>1104</v>
      </c>
    </row>
    <row r="31" spans="2:5" x14ac:dyDescent="0.3">
      <c r="B31" t="s">
        <v>1602</v>
      </c>
      <c r="C31" t="s">
        <v>852</v>
      </c>
      <c r="D31" t="s">
        <v>954</v>
      </c>
      <c r="E31"/>
    </row>
    <row r="32" spans="2:5" x14ac:dyDescent="0.3">
      <c r="B32"/>
      <c r="C32" t="s">
        <v>882</v>
      </c>
      <c r="D32"/>
      <c r="E32" t="s">
        <v>1105</v>
      </c>
    </row>
    <row r="33" spans="2:5" x14ac:dyDescent="0.3">
      <c r="B33" t="s">
        <v>1603</v>
      </c>
      <c r="C33" t="s">
        <v>883</v>
      </c>
      <c r="D33" t="s">
        <v>1441</v>
      </c>
      <c r="E33"/>
    </row>
    <row r="34" spans="2:5" x14ac:dyDescent="0.3">
      <c r="B34" t="s">
        <v>1604</v>
      </c>
      <c r="C34" t="s">
        <v>1711</v>
      </c>
      <c r="D34" t="s">
        <v>955</v>
      </c>
      <c r="E34" t="s">
        <v>1106</v>
      </c>
    </row>
    <row r="35" spans="2:5" x14ac:dyDescent="0.3">
      <c r="B35" t="s">
        <v>1605</v>
      </c>
      <c r="C35" t="s">
        <v>853</v>
      </c>
      <c r="D35" t="s">
        <v>956</v>
      </c>
      <c r="E35" t="s">
        <v>1107</v>
      </c>
    </row>
    <row r="36" spans="2:5" x14ac:dyDescent="0.3">
      <c r="B36" t="s">
        <v>832</v>
      </c>
      <c r="C36" t="s">
        <v>884</v>
      </c>
      <c r="D36" t="s">
        <v>957</v>
      </c>
      <c r="E36" t="s">
        <v>1108</v>
      </c>
    </row>
    <row r="37" spans="2:5" x14ac:dyDescent="0.3">
      <c r="B37" t="s">
        <v>852</v>
      </c>
      <c r="C37" t="s">
        <v>854</v>
      </c>
      <c r="D37" t="s">
        <v>958</v>
      </c>
      <c r="E37"/>
    </row>
    <row r="38" spans="2:5" x14ac:dyDescent="0.3">
      <c r="B38" t="s">
        <v>1606</v>
      </c>
      <c r="C38" t="s">
        <v>885</v>
      </c>
      <c r="D38" t="s">
        <v>959</v>
      </c>
      <c r="E38" t="s">
        <v>1109</v>
      </c>
    </row>
    <row r="39" spans="2:5" x14ac:dyDescent="0.3">
      <c r="B39" t="s">
        <v>1607</v>
      </c>
      <c r="C39" t="s">
        <v>886</v>
      </c>
      <c r="D39" t="s">
        <v>960</v>
      </c>
      <c r="E39" t="s">
        <v>1110</v>
      </c>
    </row>
    <row r="40" spans="2:5" x14ac:dyDescent="0.3">
      <c r="B40" t="s">
        <v>1608</v>
      </c>
      <c r="C40" t="s">
        <v>855</v>
      </c>
      <c r="D40" t="s">
        <v>961</v>
      </c>
      <c r="E40"/>
    </row>
    <row r="41" spans="2:5" x14ac:dyDescent="0.3">
      <c r="B41"/>
      <c r="C41" t="s">
        <v>887</v>
      </c>
      <c r="D41" t="s">
        <v>962</v>
      </c>
      <c r="E41" t="s">
        <v>1788</v>
      </c>
    </row>
    <row r="42" spans="2:5" x14ac:dyDescent="0.3">
      <c r="B42" t="s">
        <v>1609</v>
      </c>
      <c r="C42" t="s">
        <v>888</v>
      </c>
      <c r="D42"/>
      <c r="E42" t="s">
        <v>1789</v>
      </c>
    </row>
    <row r="43" spans="2:5" x14ac:dyDescent="0.3">
      <c r="B43" t="s">
        <v>1610</v>
      </c>
      <c r="C43" t="s">
        <v>1712</v>
      </c>
      <c r="D43" t="s">
        <v>1442</v>
      </c>
      <c r="E43" t="s">
        <v>1790</v>
      </c>
    </row>
    <row r="44" spans="2:5" x14ac:dyDescent="0.3">
      <c r="B44"/>
      <c r="C44" t="s">
        <v>889</v>
      </c>
      <c r="D44" t="s">
        <v>963</v>
      </c>
      <c r="E44"/>
    </row>
    <row r="45" spans="2:5" x14ac:dyDescent="0.3">
      <c r="B45" t="s">
        <v>1611</v>
      </c>
      <c r="C45" t="s">
        <v>890</v>
      </c>
      <c r="D45" t="s">
        <v>964</v>
      </c>
      <c r="E45" t="s">
        <v>1111</v>
      </c>
    </row>
    <row r="46" spans="2:5" x14ac:dyDescent="0.3">
      <c r="B46" t="s">
        <v>1612</v>
      </c>
      <c r="C46" t="s">
        <v>891</v>
      </c>
      <c r="D46" t="s">
        <v>965</v>
      </c>
      <c r="E46"/>
    </row>
    <row r="47" spans="2:5" x14ac:dyDescent="0.3">
      <c r="B47" t="s">
        <v>1613</v>
      </c>
      <c r="C47" t="s">
        <v>833</v>
      </c>
      <c r="D47" t="s">
        <v>966</v>
      </c>
      <c r="E47" t="s">
        <v>1112</v>
      </c>
    </row>
    <row r="48" spans="2:5" x14ac:dyDescent="0.3">
      <c r="B48"/>
      <c r="C48" t="s">
        <v>835</v>
      </c>
      <c r="D48" t="s">
        <v>967</v>
      </c>
      <c r="E48" t="s">
        <v>1791</v>
      </c>
    </row>
    <row r="49" spans="2:5" x14ac:dyDescent="0.3">
      <c r="B49" t="s">
        <v>1614</v>
      </c>
      <c r="C49" t="s">
        <v>892</v>
      </c>
      <c r="D49" t="s">
        <v>832</v>
      </c>
      <c r="E49" t="s">
        <v>1792</v>
      </c>
    </row>
    <row r="50" spans="2:5" x14ac:dyDescent="0.3">
      <c r="B50" t="s">
        <v>1610</v>
      </c>
      <c r="C50" t="s">
        <v>893</v>
      </c>
      <c r="D50" t="s">
        <v>1443</v>
      </c>
      <c r="E50" t="s">
        <v>1113</v>
      </c>
    </row>
    <row r="51" spans="2:5" x14ac:dyDescent="0.3">
      <c r="B51"/>
      <c r="C51" t="s">
        <v>833</v>
      </c>
      <c r="D51" t="s">
        <v>1444</v>
      </c>
      <c r="E51"/>
    </row>
    <row r="52" spans="2:5" x14ac:dyDescent="0.3">
      <c r="B52" t="s">
        <v>835</v>
      </c>
      <c r="C52" t="s">
        <v>894</v>
      </c>
      <c r="D52" t="s">
        <v>1445</v>
      </c>
      <c r="E52" t="s">
        <v>1114</v>
      </c>
    </row>
    <row r="53" spans="2:5" x14ac:dyDescent="0.3">
      <c r="B53" t="s">
        <v>1615</v>
      </c>
      <c r="C53" t="s">
        <v>895</v>
      </c>
      <c r="D53" t="s">
        <v>968</v>
      </c>
      <c r="E53" t="s">
        <v>1115</v>
      </c>
    </row>
    <row r="54" spans="2:5" x14ac:dyDescent="0.3">
      <c r="B54" t="s">
        <v>1616</v>
      </c>
      <c r="C54" t="s">
        <v>896</v>
      </c>
      <c r="D54"/>
      <c r="E54"/>
    </row>
    <row r="55" spans="2:5" x14ac:dyDescent="0.3">
      <c r="B55"/>
      <c r="C55" t="s">
        <v>836</v>
      </c>
      <c r="D55" t="s">
        <v>1446</v>
      </c>
      <c r="E55" t="s">
        <v>1116</v>
      </c>
    </row>
    <row r="56" spans="2:5" x14ac:dyDescent="0.3">
      <c r="B56" t="s">
        <v>1617</v>
      </c>
      <c r="C56" t="s">
        <v>897</v>
      </c>
      <c r="D56" t="s">
        <v>1447</v>
      </c>
      <c r="E56" t="s">
        <v>1117</v>
      </c>
    </row>
    <row r="57" spans="2:5" x14ac:dyDescent="0.3">
      <c r="B57" t="s">
        <v>1618</v>
      </c>
      <c r="C57" t="s">
        <v>898</v>
      </c>
      <c r="D57" t="s">
        <v>1448</v>
      </c>
      <c r="E57" t="s">
        <v>1113</v>
      </c>
    </row>
    <row r="58" spans="2:5" x14ac:dyDescent="0.3">
      <c r="B58" t="s">
        <v>1619</v>
      </c>
      <c r="C58" t="s">
        <v>899</v>
      </c>
      <c r="D58" t="s">
        <v>969</v>
      </c>
      <c r="E58"/>
    </row>
    <row r="59" spans="2:5" x14ac:dyDescent="0.3">
      <c r="B59"/>
      <c r="C59" t="s">
        <v>900</v>
      </c>
      <c r="D59" t="s">
        <v>832</v>
      </c>
      <c r="E59" t="s">
        <v>1118</v>
      </c>
    </row>
    <row r="60" spans="2:5" x14ac:dyDescent="0.3">
      <c r="B60" t="s">
        <v>1620</v>
      </c>
      <c r="C60" t="s">
        <v>901</v>
      </c>
      <c r="D60" t="s">
        <v>970</v>
      </c>
      <c r="E60" t="s">
        <v>1800</v>
      </c>
    </row>
    <row r="61" spans="2:5" x14ac:dyDescent="0.3">
      <c r="B61" t="s">
        <v>1621</v>
      </c>
      <c r="C61" t="s">
        <v>902</v>
      </c>
      <c r="D61" t="s">
        <v>1449</v>
      </c>
      <c r="E61"/>
    </row>
    <row r="62" spans="2:5" x14ac:dyDescent="0.3">
      <c r="B62"/>
      <c r="C62" t="s">
        <v>903</v>
      </c>
      <c r="D62" t="s">
        <v>971</v>
      </c>
      <c r="E62" t="s">
        <v>1119</v>
      </c>
    </row>
    <row r="63" spans="2:5" x14ac:dyDescent="0.3">
      <c r="B63" t="s">
        <v>1622</v>
      </c>
      <c r="C63" t="s">
        <v>904</v>
      </c>
      <c r="D63" t="s">
        <v>972</v>
      </c>
      <c r="E63" t="s">
        <v>1120</v>
      </c>
    </row>
    <row r="64" spans="2:5" x14ac:dyDescent="0.3">
      <c r="B64" t="s">
        <v>1623</v>
      </c>
      <c r="C64" t="s">
        <v>836</v>
      </c>
      <c r="D64"/>
      <c r="E64" t="s">
        <v>1121</v>
      </c>
    </row>
    <row r="65" spans="2:5" x14ac:dyDescent="0.3">
      <c r="B65"/>
      <c r="C65" t="s">
        <v>905</v>
      </c>
      <c r="D65" t="s">
        <v>973</v>
      </c>
      <c r="E65" t="s">
        <v>1752</v>
      </c>
    </row>
    <row r="66" spans="2:5" x14ac:dyDescent="0.3">
      <c r="B66" t="s">
        <v>1624</v>
      </c>
      <c r="C66" t="s">
        <v>906</v>
      </c>
      <c r="D66"/>
      <c r="E66"/>
    </row>
    <row r="67" spans="2:5" x14ac:dyDescent="0.3">
      <c r="B67"/>
      <c r="C67" t="s">
        <v>907</v>
      </c>
      <c r="D67" t="s">
        <v>974</v>
      </c>
      <c r="E67" t="s">
        <v>1122</v>
      </c>
    </row>
    <row r="68" spans="2:5" x14ac:dyDescent="0.3">
      <c r="B68" t="s">
        <v>837</v>
      </c>
      <c r="C68" t="s">
        <v>908</v>
      </c>
      <c r="D68" t="s">
        <v>975</v>
      </c>
      <c r="E68" t="s">
        <v>1123</v>
      </c>
    </row>
    <row r="69" spans="2:5" x14ac:dyDescent="0.3">
      <c r="B69" t="s">
        <v>1625</v>
      </c>
      <c r="C69" t="s">
        <v>909</v>
      </c>
      <c r="D69" t="s">
        <v>836</v>
      </c>
      <c r="E69" t="s">
        <v>1124</v>
      </c>
    </row>
    <row r="70" spans="2:5" x14ac:dyDescent="0.3">
      <c r="B70"/>
      <c r="C70" t="s">
        <v>910</v>
      </c>
      <c r="D70" t="s">
        <v>976</v>
      </c>
      <c r="E70"/>
    </row>
    <row r="71" spans="2:5" x14ac:dyDescent="0.3">
      <c r="B71" t="s">
        <v>856</v>
      </c>
      <c r="C71" t="s">
        <v>911</v>
      </c>
      <c r="D71" t="s">
        <v>977</v>
      </c>
      <c r="E71" t="s">
        <v>1125</v>
      </c>
    </row>
    <row r="72" spans="2:5" x14ac:dyDescent="0.3">
      <c r="B72" t="s">
        <v>1626</v>
      </c>
      <c r="C72" t="s">
        <v>912</v>
      </c>
      <c r="D72" t="s">
        <v>978</v>
      </c>
      <c r="E72" t="s">
        <v>1753</v>
      </c>
    </row>
    <row r="73" spans="2:5" x14ac:dyDescent="0.3">
      <c r="B73" t="s">
        <v>1627</v>
      </c>
      <c r="C73" t="s">
        <v>913</v>
      </c>
      <c r="D73" t="s">
        <v>979</v>
      </c>
      <c r="E73"/>
    </row>
    <row r="74" spans="2:5" x14ac:dyDescent="0.3">
      <c r="B74" t="s">
        <v>1628</v>
      </c>
      <c r="C74" t="s">
        <v>836</v>
      </c>
      <c r="D74" t="s">
        <v>980</v>
      </c>
      <c r="E74" t="s">
        <v>1126</v>
      </c>
    </row>
    <row r="75" spans="2:5" x14ac:dyDescent="0.3">
      <c r="B75"/>
      <c r="C75" t="s">
        <v>914</v>
      </c>
      <c r="D75" t="s">
        <v>833</v>
      </c>
      <c r="E75" t="s">
        <v>1127</v>
      </c>
    </row>
    <row r="76" spans="2:5" x14ac:dyDescent="0.3">
      <c r="B76" t="s">
        <v>1629</v>
      </c>
      <c r="C76" t="s">
        <v>915</v>
      </c>
      <c r="D76" t="s">
        <v>1898</v>
      </c>
      <c r="E76" t="s">
        <v>1128</v>
      </c>
    </row>
    <row r="77" spans="2:5" x14ac:dyDescent="0.3">
      <c r="B77" t="s">
        <v>1630</v>
      </c>
      <c r="C77" t="s">
        <v>916</v>
      </c>
      <c r="D77" t="s">
        <v>981</v>
      </c>
      <c r="E77" t="s">
        <v>1129</v>
      </c>
    </row>
    <row r="78" spans="2:5" x14ac:dyDescent="0.3">
      <c r="B78"/>
      <c r="C78"/>
      <c r="D78" t="s">
        <v>982</v>
      </c>
      <c r="E78" t="s">
        <v>1130</v>
      </c>
    </row>
    <row r="79" spans="2:5" x14ac:dyDescent="0.3">
      <c r="B79" t="s">
        <v>838</v>
      </c>
      <c r="C79" t="s">
        <v>917</v>
      </c>
      <c r="D79" t="s">
        <v>833</v>
      </c>
      <c r="E79"/>
    </row>
    <row r="80" spans="2:5" x14ac:dyDescent="0.3">
      <c r="B80" t="s">
        <v>1631</v>
      </c>
      <c r="C80" t="s">
        <v>918</v>
      </c>
      <c r="D80" t="s">
        <v>983</v>
      </c>
      <c r="E80" t="s">
        <v>1131</v>
      </c>
    </row>
    <row r="81" spans="2:5" x14ac:dyDescent="0.3">
      <c r="B81" t="s">
        <v>1632</v>
      </c>
      <c r="C81" t="s">
        <v>919</v>
      </c>
      <c r="D81" t="s">
        <v>984</v>
      </c>
      <c r="E81" t="s">
        <v>1132</v>
      </c>
    </row>
    <row r="82" spans="2:5" x14ac:dyDescent="0.3">
      <c r="B82" t="s">
        <v>1633</v>
      </c>
      <c r="C82" t="s">
        <v>920</v>
      </c>
      <c r="D82" t="s">
        <v>985</v>
      </c>
      <c r="E82" t="s">
        <v>1133</v>
      </c>
    </row>
    <row r="83" spans="2:5" x14ac:dyDescent="0.3">
      <c r="B83" t="s">
        <v>839</v>
      </c>
      <c r="C83" t="s">
        <v>921</v>
      </c>
      <c r="D83" t="s">
        <v>986</v>
      </c>
      <c r="E83" t="s">
        <v>1793</v>
      </c>
    </row>
    <row r="84" spans="2:5" x14ac:dyDescent="0.3">
      <c r="B84"/>
      <c r="C84" t="s">
        <v>922</v>
      </c>
      <c r="D84" t="s">
        <v>987</v>
      </c>
      <c r="E84" t="s">
        <v>1794</v>
      </c>
    </row>
    <row r="85" spans="2:5" x14ac:dyDescent="0.3">
      <c r="B85" t="s">
        <v>859</v>
      </c>
      <c r="C85" t="s">
        <v>923</v>
      </c>
      <c r="D85" t="s">
        <v>988</v>
      </c>
      <c r="E85" t="s">
        <v>1795</v>
      </c>
    </row>
    <row r="86" spans="2:5" x14ac:dyDescent="0.3">
      <c r="B86" t="s">
        <v>1634</v>
      </c>
      <c r="C86" t="s">
        <v>924</v>
      </c>
      <c r="D86" t="s">
        <v>989</v>
      </c>
      <c r="E86" t="s">
        <v>1801</v>
      </c>
    </row>
    <row r="87" spans="2:5" x14ac:dyDescent="0.3">
      <c r="B87" t="s">
        <v>840</v>
      </c>
      <c r="C87" t="s">
        <v>925</v>
      </c>
      <c r="D87" t="s">
        <v>990</v>
      </c>
      <c r="E87" t="s">
        <v>1802</v>
      </c>
    </row>
    <row r="88" spans="2:5" x14ac:dyDescent="0.3">
      <c r="B88" t="s">
        <v>860</v>
      </c>
      <c r="C88" t="s">
        <v>926</v>
      </c>
      <c r="D88" t="s">
        <v>991</v>
      </c>
      <c r="E88" t="s">
        <v>1796</v>
      </c>
    </row>
    <row r="89" spans="2:5" x14ac:dyDescent="0.3">
      <c r="B89" t="s">
        <v>861</v>
      </c>
      <c r="C89" t="s">
        <v>836</v>
      </c>
      <c r="D89"/>
      <c r="E89"/>
    </row>
    <row r="90" spans="2:5" x14ac:dyDescent="0.3">
      <c r="B90" t="s">
        <v>1819</v>
      </c>
      <c r="C90" t="s">
        <v>927</v>
      </c>
      <c r="D90" t="s">
        <v>992</v>
      </c>
      <c r="E90" t="s">
        <v>1134</v>
      </c>
    </row>
    <row r="91" spans="2:5" x14ac:dyDescent="0.3">
      <c r="B91" t="s">
        <v>1316</v>
      </c>
      <c r="C91" t="s">
        <v>915</v>
      </c>
      <c r="D91" t="s">
        <v>993</v>
      </c>
      <c r="E91" t="s">
        <v>1797</v>
      </c>
    </row>
    <row r="92" spans="2:5" x14ac:dyDescent="0.3">
      <c r="B92" t="s">
        <v>1154</v>
      </c>
      <c r="C92" t="s">
        <v>928</v>
      </c>
      <c r="D92" t="s">
        <v>994</v>
      </c>
      <c r="E92" t="s">
        <v>1135</v>
      </c>
    </row>
    <row r="93" spans="2:5" x14ac:dyDescent="0.3">
      <c r="B93" t="s">
        <v>829</v>
      </c>
      <c r="C93" t="s">
        <v>1151</v>
      </c>
      <c r="D93"/>
      <c r="E93"/>
    </row>
    <row r="94" spans="2:5" x14ac:dyDescent="0.3">
      <c r="B94" t="s">
        <v>841</v>
      </c>
      <c r="C94"/>
      <c r="D94" t="s">
        <v>1898</v>
      </c>
      <c r="E94" t="s">
        <v>1136</v>
      </c>
    </row>
    <row r="95" spans="2:5" x14ac:dyDescent="0.3">
      <c r="B95" t="s">
        <v>716</v>
      </c>
      <c r="C95" t="s">
        <v>929</v>
      </c>
      <c r="D95" t="s">
        <v>995</v>
      </c>
      <c r="E95" t="s">
        <v>1798</v>
      </c>
    </row>
    <row r="96" spans="2:5" x14ac:dyDescent="0.3">
      <c r="B96" t="s">
        <v>1635</v>
      </c>
      <c r="C96" t="s">
        <v>1713</v>
      </c>
      <c r="D96" t="s">
        <v>996</v>
      </c>
      <c r="E96"/>
    </row>
    <row r="97" spans="2:5" x14ac:dyDescent="0.3">
      <c r="B97"/>
      <c r="C97" t="s">
        <v>1714</v>
      </c>
      <c r="D97" t="s">
        <v>997</v>
      </c>
      <c r="E97" t="s">
        <v>1137</v>
      </c>
    </row>
    <row r="98" spans="2:5" x14ac:dyDescent="0.3">
      <c r="B98" t="s">
        <v>1636</v>
      </c>
      <c r="C98" t="s">
        <v>1715</v>
      </c>
      <c r="D98" t="s">
        <v>998</v>
      </c>
      <c r="E98"/>
    </row>
    <row r="99" spans="2:5" x14ac:dyDescent="0.3">
      <c r="B99" t="s">
        <v>1637</v>
      </c>
      <c r="C99"/>
      <c r="D99"/>
      <c r="E99" t="s">
        <v>1138</v>
      </c>
    </row>
    <row r="100" spans="2:5" x14ac:dyDescent="0.3">
      <c r="B100" t="s">
        <v>1638</v>
      </c>
      <c r="C100" t="s">
        <v>930</v>
      </c>
      <c r="D100" t="s">
        <v>1899</v>
      </c>
      <c r="E100" t="s">
        <v>1139</v>
      </c>
    </row>
    <row r="101" spans="2:5" x14ac:dyDescent="0.3">
      <c r="B101" t="s">
        <v>1639</v>
      </c>
      <c r="C101" t="s">
        <v>858</v>
      </c>
      <c r="D101" t="s">
        <v>1900</v>
      </c>
      <c r="E101" t="s">
        <v>1140</v>
      </c>
    </row>
    <row r="102" spans="2:5" x14ac:dyDescent="0.3">
      <c r="B102"/>
      <c r="C102"/>
      <c r="D102" t="s">
        <v>1901</v>
      </c>
      <c r="E102"/>
    </row>
    <row r="103" spans="2:5" x14ac:dyDescent="0.3">
      <c r="B103" t="s">
        <v>841</v>
      </c>
      <c r="C103" t="s">
        <v>856</v>
      </c>
      <c r="D103"/>
      <c r="E103" t="s">
        <v>1141</v>
      </c>
    </row>
    <row r="104" spans="2:5" x14ac:dyDescent="0.3">
      <c r="B104" t="s">
        <v>839</v>
      </c>
      <c r="C104" t="s">
        <v>1716</v>
      </c>
      <c r="D104" t="s">
        <v>1902</v>
      </c>
      <c r="E104" t="s">
        <v>1142</v>
      </c>
    </row>
    <row r="105" spans="2:5" x14ac:dyDescent="0.3">
      <c r="B105"/>
      <c r="C105" t="s">
        <v>1717</v>
      </c>
      <c r="D105" t="s">
        <v>1450</v>
      </c>
      <c r="E105" t="s">
        <v>1143</v>
      </c>
    </row>
    <row r="106" spans="2:5" x14ac:dyDescent="0.3">
      <c r="B106" t="s">
        <v>737</v>
      </c>
      <c r="C106" t="s">
        <v>1718</v>
      </c>
      <c r="D106" t="s">
        <v>832</v>
      </c>
      <c r="E106" t="s">
        <v>1144</v>
      </c>
    </row>
    <row r="107" spans="2:5" x14ac:dyDescent="0.3">
      <c r="B107"/>
      <c r="C107"/>
      <c r="D107" t="s">
        <v>999</v>
      </c>
      <c r="E107"/>
    </row>
    <row r="108" spans="2:5" x14ac:dyDescent="0.3">
      <c r="B108" t="s">
        <v>738</v>
      </c>
      <c r="C108" t="s">
        <v>1719</v>
      </c>
      <c r="D108" t="s">
        <v>1000</v>
      </c>
      <c r="E108" t="s">
        <v>1020</v>
      </c>
    </row>
    <row r="109" spans="2:5" x14ac:dyDescent="0.3">
      <c r="B109" t="s">
        <v>739</v>
      </c>
      <c r="C109" t="s">
        <v>858</v>
      </c>
      <c r="D109" t="s">
        <v>1001</v>
      </c>
      <c r="E109" t="s">
        <v>857</v>
      </c>
    </row>
    <row r="110" spans="2:5" x14ac:dyDescent="0.3">
      <c r="B110" t="s">
        <v>1640</v>
      </c>
      <c r="C110"/>
      <c r="D110" t="s">
        <v>1002</v>
      </c>
      <c r="E110" t="s">
        <v>1322</v>
      </c>
    </row>
    <row r="111" spans="2:5" x14ac:dyDescent="0.3">
      <c r="B111"/>
      <c r="C111" t="s">
        <v>1720</v>
      </c>
      <c r="D111" t="s">
        <v>1003</v>
      </c>
      <c r="E111"/>
    </row>
    <row r="112" spans="2:5" x14ac:dyDescent="0.3">
      <c r="B112" t="s">
        <v>1641</v>
      </c>
      <c r="C112" t="s">
        <v>1721</v>
      </c>
      <c r="D112" t="s">
        <v>1004</v>
      </c>
      <c r="E112" t="s">
        <v>1022</v>
      </c>
    </row>
    <row r="113" spans="2:5" x14ac:dyDescent="0.3">
      <c r="B113" t="s">
        <v>1642</v>
      </c>
      <c r="C113" t="s">
        <v>1722</v>
      </c>
      <c r="D113" t="s">
        <v>833</v>
      </c>
      <c r="E113" t="s">
        <v>858</v>
      </c>
    </row>
    <row r="114" spans="2:5" x14ac:dyDescent="0.3">
      <c r="B114" t="s">
        <v>1643</v>
      </c>
      <c r="C114"/>
      <c r="D114" t="s">
        <v>1005</v>
      </c>
      <c r="E114"/>
    </row>
    <row r="115" spans="2:5" x14ac:dyDescent="0.3">
      <c r="B115" t="s">
        <v>1644</v>
      </c>
      <c r="C115" t="s">
        <v>838</v>
      </c>
      <c r="D115" t="s">
        <v>1006</v>
      </c>
      <c r="E115" t="s">
        <v>1145</v>
      </c>
    </row>
    <row r="116" spans="2:5" x14ac:dyDescent="0.3">
      <c r="B116" t="s">
        <v>1645</v>
      </c>
      <c r="C116" t="s">
        <v>1723</v>
      </c>
      <c r="D116" t="s">
        <v>1007</v>
      </c>
      <c r="E116" t="s">
        <v>1323</v>
      </c>
    </row>
    <row r="117" spans="2:5" x14ac:dyDescent="0.3">
      <c r="B117" t="s">
        <v>1646</v>
      </c>
      <c r="C117" t="s">
        <v>931</v>
      </c>
      <c r="D117" t="s">
        <v>1008</v>
      </c>
      <c r="E117" t="s">
        <v>1324</v>
      </c>
    </row>
    <row r="118" spans="2:5" x14ac:dyDescent="0.3">
      <c r="B118" t="s">
        <v>712</v>
      </c>
      <c r="C118" t="s">
        <v>932</v>
      </c>
      <c r="D118" t="s">
        <v>1009</v>
      </c>
      <c r="E118"/>
    </row>
    <row r="119" spans="2:5" x14ac:dyDescent="0.3">
      <c r="B119" t="s">
        <v>712</v>
      </c>
      <c r="C119"/>
      <c r="D119" t="s">
        <v>1451</v>
      </c>
      <c r="E119" t="s">
        <v>838</v>
      </c>
    </row>
    <row r="120" spans="2:5" x14ac:dyDescent="0.3">
      <c r="B120"/>
      <c r="C120" t="s">
        <v>838</v>
      </c>
      <c r="D120"/>
      <c r="E120" t="s">
        <v>1325</v>
      </c>
    </row>
    <row r="121" spans="2:5" x14ac:dyDescent="0.3">
      <c r="B121" t="s">
        <v>740</v>
      </c>
      <c r="C121" t="s">
        <v>1724</v>
      </c>
      <c r="D121" t="s">
        <v>1010</v>
      </c>
      <c r="E121" t="s">
        <v>1326</v>
      </c>
    </row>
    <row r="122" spans="2:5" x14ac:dyDescent="0.3">
      <c r="B122" t="s">
        <v>1647</v>
      </c>
      <c r="C122" t="s">
        <v>931</v>
      </c>
      <c r="D122" t="s">
        <v>1006</v>
      </c>
      <c r="E122" t="s">
        <v>1327</v>
      </c>
    </row>
    <row r="123" spans="2:5" x14ac:dyDescent="0.3">
      <c r="B123" t="s">
        <v>1648</v>
      </c>
      <c r="C123" t="s">
        <v>1725</v>
      </c>
      <c r="D123" t="s">
        <v>1011</v>
      </c>
      <c r="E123" t="s">
        <v>839</v>
      </c>
    </row>
    <row r="124" spans="2:5" x14ac:dyDescent="0.3">
      <c r="B124" t="s">
        <v>1649</v>
      </c>
      <c r="C124" t="s">
        <v>1726</v>
      </c>
      <c r="D124" t="s">
        <v>1008</v>
      </c>
      <c r="E124"/>
    </row>
    <row r="125" spans="2:5" x14ac:dyDescent="0.3">
      <c r="B125" t="s">
        <v>1650</v>
      </c>
      <c r="C125" t="s">
        <v>839</v>
      </c>
      <c r="D125" t="s">
        <v>1012</v>
      </c>
      <c r="E125" t="s">
        <v>859</v>
      </c>
    </row>
    <row r="126" spans="2:5" x14ac:dyDescent="0.3">
      <c r="B126"/>
      <c r="C126"/>
      <c r="D126" t="s">
        <v>1013</v>
      </c>
      <c r="E126" t="s">
        <v>1328</v>
      </c>
    </row>
    <row r="127" spans="2:5" x14ac:dyDescent="0.3">
      <c r="B127" t="s">
        <v>1651</v>
      </c>
      <c r="C127" t="s">
        <v>859</v>
      </c>
      <c r="D127"/>
      <c r="E127" t="s">
        <v>1329</v>
      </c>
    </row>
    <row r="128" spans="2:5" x14ac:dyDescent="0.3">
      <c r="B128" t="s">
        <v>1652</v>
      </c>
      <c r="C128" t="s">
        <v>1727</v>
      </c>
      <c r="D128" t="s">
        <v>1014</v>
      </c>
      <c r="E128" t="s">
        <v>840</v>
      </c>
    </row>
    <row r="129" spans="2:5" x14ac:dyDescent="0.3">
      <c r="B129" t="s">
        <v>721</v>
      </c>
      <c r="C129" t="s">
        <v>1728</v>
      </c>
      <c r="D129" t="s">
        <v>1015</v>
      </c>
      <c r="E129" t="s">
        <v>1146</v>
      </c>
    </row>
    <row r="130" spans="2:5" x14ac:dyDescent="0.3">
      <c r="B130" t="s">
        <v>1653</v>
      </c>
      <c r="C130" t="s">
        <v>1729</v>
      </c>
      <c r="D130" t="s">
        <v>1016</v>
      </c>
      <c r="E130" t="s">
        <v>1330</v>
      </c>
    </row>
    <row r="131" spans="2:5" x14ac:dyDescent="0.3">
      <c r="B131" t="s">
        <v>712</v>
      </c>
      <c r="C131" t="s">
        <v>840</v>
      </c>
      <c r="D131" t="s">
        <v>1017</v>
      </c>
      <c r="E131" t="s">
        <v>1799</v>
      </c>
    </row>
    <row r="132" spans="2:5" x14ac:dyDescent="0.3">
      <c r="B132" t="s">
        <v>1654</v>
      </c>
      <c r="C132" t="s">
        <v>860</v>
      </c>
      <c r="D132" t="s">
        <v>1018</v>
      </c>
      <c r="E132" t="s">
        <v>720</v>
      </c>
    </row>
    <row r="133" spans="2:5" x14ac:dyDescent="0.3">
      <c r="B133" t="s">
        <v>721</v>
      </c>
      <c r="C133" t="s">
        <v>861</v>
      </c>
      <c r="D133" t="s">
        <v>1019</v>
      </c>
      <c r="E133" t="s">
        <v>1331</v>
      </c>
    </row>
    <row r="134" spans="2:5" x14ac:dyDescent="0.3">
      <c r="B134" t="s">
        <v>1655</v>
      </c>
      <c r="C134" t="s">
        <v>1147</v>
      </c>
      <c r="D134"/>
      <c r="E134" t="s">
        <v>1332</v>
      </c>
    </row>
    <row r="135" spans="2:5" x14ac:dyDescent="0.3">
      <c r="B135" t="s">
        <v>1656</v>
      </c>
      <c r="C135" t="s">
        <v>1948</v>
      </c>
      <c r="D135" t="s">
        <v>1020</v>
      </c>
      <c r="E135" t="s">
        <v>1333</v>
      </c>
    </row>
    <row r="136" spans="2:5" x14ac:dyDescent="0.3">
      <c r="B136"/>
      <c r="C136" t="s">
        <v>1730</v>
      </c>
      <c r="D136" t="s">
        <v>857</v>
      </c>
      <c r="E136" t="s">
        <v>1803</v>
      </c>
    </row>
    <row r="137" spans="2:5" x14ac:dyDescent="0.3">
      <c r="B137" t="s">
        <v>1657</v>
      </c>
      <c r="C137" t="s">
        <v>1949</v>
      </c>
      <c r="D137" t="s">
        <v>1021</v>
      </c>
      <c r="E137" t="s">
        <v>720</v>
      </c>
    </row>
    <row r="138" spans="2:5" x14ac:dyDescent="0.3">
      <c r="B138" t="s">
        <v>1658</v>
      </c>
      <c r="C138" t="s">
        <v>1154</v>
      </c>
      <c r="D138" t="s">
        <v>1022</v>
      </c>
      <c r="E138" t="s">
        <v>1334</v>
      </c>
    </row>
    <row r="139" spans="2:5" x14ac:dyDescent="0.3">
      <c r="B139" t="s">
        <v>1659</v>
      </c>
      <c r="C139"/>
      <c r="D139" t="s">
        <v>858</v>
      </c>
      <c r="E139" t="s">
        <v>720</v>
      </c>
    </row>
    <row r="140" spans="2:5" x14ac:dyDescent="0.3">
      <c r="B140" t="s">
        <v>1660</v>
      </c>
      <c r="C140" t="s">
        <v>719</v>
      </c>
      <c r="D140"/>
      <c r="E140" t="s">
        <v>1146</v>
      </c>
    </row>
    <row r="141" spans="2:5" x14ac:dyDescent="0.3">
      <c r="B141" t="s">
        <v>712</v>
      </c>
      <c r="C141" t="s">
        <v>732</v>
      </c>
      <c r="D141" t="s">
        <v>1457</v>
      </c>
      <c r="E141"/>
    </row>
    <row r="142" spans="2:5" x14ac:dyDescent="0.3">
      <c r="B142" t="s">
        <v>712</v>
      </c>
      <c r="C142" t="s">
        <v>1319</v>
      </c>
      <c r="D142" t="s">
        <v>1460</v>
      </c>
      <c r="E142" t="s">
        <v>860</v>
      </c>
    </row>
    <row r="143" spans="2:5" x14ac:dyDescent="0.3">
      <c r="B143" t="s">
        <v>1661</v>
      </c>
      <c r="C143" t="s">
        <v>720</v>
      </c>
      <c r="D143" t="s">
        <v>1461</v>
      </c>
      <c r="E143" t="s">
        <v>861</v>
      </c>
    </row>
    <row r="144" spans="2:5" x14ac:dyDescent="0.3">
      <c r="B144" t="s">
        <v>1662</v>
      </c>
      <c r="C144" t="s">
        <v>729</v>
      </c>
      <c r="D144"/>
      <c r="E144" t="s">
        <v>1147</v>
      </c>
    </row>
    <row r="145" spans="2:5" x14ac:dyDescent="0.3">
      <c r="B145" t="s">
        <v>712</v>
      </c>
      <c r="C145" t="s">
        <v>730</v>
      </c>
      <c r="D145" t="s">
        <v>1458</v>
      </c>
      <c r="E145" t="s">
        <v>1957</v>
      </c>
    </row>
    <row r="146" spans="2:5" x14ac:dyDescent="0.3">
      <c r="B146" t="s">
        <v>712</v>
      </c>
      <c r="C146" t="s">
        <v>731</v>
      </c>
      <c r="D146" t="s">
        <v>1462</v>
      </c>
      <c r="E146" t="s">
        <v>1958</v>
      </c>
    </row>
    <row r="147" spans="2:5" x14ac:dyDescent="0.3">
      <c r="B147"/>
      <c r="C147" t="s">
        <v>933</v>
      </c>
      <c r="D147" t="s">
        <v>1463</v>
      </c>
      <c r="E147"/>
    </row>
    <row r="148" spans="2:5" x14ac:dyDescent="0.3">
      <c r="B148" t="s">
        <v>741</v>
      </c>
      <c r="C148" t="s">
        <v>720</v>
      </c>
      <c r="D148"/>
      <c r="E148" t="s">
        <v>745</v>
      </c>
    </row>
    <row r="149" spans="2:5" x14ac:dyDescent="0.3">
      <c r="B149" t="s">
        <v>742</v>
      </c>
      <c r="C149" t="s">
        <v>719</v>
      </c>
      <c r="D149" t="s">
        <v>838</v>
      </c>
      <c r="E149" t="s">
        <v>1335</v>
      </c>
    </row>
    <row r="150" spans="2:5" x14ac:dyDescent="0.3">
      <c r="B150" t="s">
        <v>741</v>
      </c>
      <c r="C150"/>
      <c r="D150" t="s">
        <v>1023</v>
      </c>
      <c r="E150" t="s">
        <v>1336</v>
      </c>
    </row>
    <row r="151" spans="2:5" x14ac:dyDescent="0.3">
      <c r="B151" t="s">
        <v>862</v>
      </c>
      <c r="C151" t="s">
        <v>745</v>
      </c>
      <c r="D151" t="s">
        <v>1024</v>
      </c>
      <c r="E151" t="s">
        <v>1337</v>
      </c>
    </row>
    <row r="152" spans="2:5" x14ac:dyDescent="0.3">
      <c r="B152" t="s">
        <v>743</v>
      </c>
      <c r="C152" t="s">
        <v>739</v>
      </c>
      <c r="D152" t="s">
        <v>1464</v>
      </c>
      <c r="E152" t="s">
        <v>1338</v>
      </c>
    </row>
    <row r="153" spans="2:5" x14ac:dyDescent="0.3">
      <c r="B153" t="s">
        <v>863</v>
      </c>
      <c r="C153" t="s">
        <v>1640</v>
      </c>
      <c r="D153" t="s">
        <v>1465</v>
      </c>
      <c r="E153"/>
    </row>
    <row r="154" spans="2:5" x14ac:dyDescent="0.3">
      <c r="B154" t="s">
        <v>1320</v>
      </c>
      <c r="C154" t="s">
        <v>1641</v>
      </c>
      <c r="D154"/>
      <c r="E154" t="s">
        <v>1339</v>
      </c>
    </row>
    <row r="155" spans="2:5" x14ac:dyDescent="0.3">
      <c r="B155" t="s">
        <v>1663</v>
      </c>
      <c r="C155" t="s">
        <v>1642</v>
      </c>
      <c r="D155" t="s">
        <v>838</v>
      </c>
      <c r="E155"/>
    </row>
    <row r="156" spans="2:5" x14ac:dyDescent="0.3">
      <c r="B156" t="s">
        <v>1664</v>
      </c>
      <c r="C156" t="s">
        <v>1731</v>
      </c>
      <c r="D156" t="s">
        <v>1466</v>
      </c>
      <c r="E156" t="s">
        <v>1340</v>
      </c>
    </row>
    <row r="157" spans="2:5" x14ac:dyDescent="0.3">
      <c r="B157" t="s">
        <v>1665</v>
      </c>
      <c r="C157" t="s">
        <v>1644</v>
      </c>
      <c r="D157" t="s">
        <v>1024</v>
      </c>
      <c r="E157" t="s">
        <v>1341</v>
      </c>
    </row>
    <row r="158" spans="2:5" x14ac:dyDescent="0.3">
      <c r="B158" t="s">
        <v>1666</v>
      </c>
      <c r="C158" t="s">
        <v>1645</v>
      </c>
      <c r="D158" t="s">
        <v>1467</v>
      </c>
      <c r="E158" t="s">
        <v>1342</v>
      </c>
    </row>
    <row r="159" spans="2:5" x14ac:dyDescent="0.3">
      <c r="B159" t="s">
        <v>1667</v>
      </c>
      <c r="C159" t="s">
        <v>1646</v>
      </c>
      <c r="D159" t="s">
        <v>1468</v>
      </c>
      <c r="E159" t="s">
        <v>1343</v>
      </c>
    </row>
    <row r="160" spans="2:5" x14ac:dyDescent="0.3">
      <c r="B160" t="s">
        <v>1668</v>
      </c>
      <c r="C160" t="s">
        <v>712</v>
      </c>
      <c r="D160" t="s">
        <v>832</v>
      </c>
      <c r="E160" t="s">
        <v>1344</v>
      </c>
    </row>
    <row r="161" spans="2:5" x14ac:dyDescent="0.3">
      <c r="B161" t="s">
        <v>1669</v>
      </c>
      <c r="C161" t="s">
        <v>712</v>
      </c>
      <c r="D161" t="s">
        <v>838</v>
      </c>
      <c r="E161" t="s">
        <v>1345</v>
      </c>
    </row>
    <row r="162" spans="2:5" x14ac:dyDescent="0.3">
      <c r="B162" t="s">
        <v>1670</v>
      </c>
      <c r="C162"/>
      <c r="D162" t="s">
        <v>1469</v>
      </c>
      <c r="E162" t="s">
        <v>1346</v>
      </c>
    </row>
    <row r="163" spans="2:5" x14ac:dyDescent="0.3">
      <c r="B163" t="s">
        <v>1671</v>
      </c>
      <c r="C163" t="s">
        <v>741</v>
      </c>
      <c r="D163" t="s">
        <v>1470</v>
      </c>
      <c r="E163" t="s">
        <v>1347</v>
      </c>
    </row>
    <row r="164" spans="2:5" x14ac:dyDescent="0.3">
      <c r="B164" t="s">
        <v>1672</v>
      </c>
      <c r="C164" t="s">
        <v>742</v>
      </c>
      <c r="D164" t="s">
        <v>1471</v>
      </c>
      <c r="E164" t="s">
        <v>842</v>
      </c>
    </row>
    <row r="165" spans="2:5" x14ac:dyDescent="0.3">
      <c r="B165" t="s">
        <v>1749</v>
      </c>
      <c r="C165" t="s">
        <v>741</v>
      </c>
      <c r="D165" t="s">
        <v>1472</v>
      </c>
      <c r="E165" t="s">
        <v>712</v>
      </c>
    </row>
    <row r="166" spans="2:5" x14ac:dyDescent="0.3">
      <c r="B166" t="s">
        <v>1673</v>
      </c>
      <c r="C166" t="s">
        <v>1320</v>
      </c>
      <c r="D166" t="s">
        <v>1465</v>
      </c>
      <c r="E166"/>
    </row>
    <row r="167" spans="2:5" x14ac:dyDescent="0.3">
      <c r="B167" t="s">
        <v>1674</v>
      </c>
      <c r="C167" t="s">
        <v>743</v>
      </c>
      <c r="D167" t="s">
        <v>839</v>
      </c>
      <c r="E167" t="s">
        <v>741</v>
      </c>
    </row>
    <row r="168" spans="2:5" x14ac:dyDescent="0.3">
      <c r="B168" t="s">
        <v>1675</v>
      </c>
      <c r="C168" t="s">
        <v>1732</v>
      </c>
      <c r="D168"/>
      <c r="E168" t="s">
        <v>1348</v>
      </c>
    </row>
    <row r="169" spans="2:5" x14ac:dyDescent="0.3">
      <c r="B169" t="s">
        <v>1648</v>
      </c>
      <c r="C169" t="s">
        <v>934</v>
      </c>
      <c r="D169" t="s">
        <v>1456</v>
      </c>
      <c r="E169" t="s">
        <v>741</v>
      </c>
    </row>
    <row r="170" spans="2:5" x14ac:dyDescent="0.3">
      <c r="B170" t="s">
        <v>1676</v>
      </c>
      <c r="C170" t="s">
        <v>1891</v>
      </c>
      <c r="D170" t="s">
        <v>859</v>
      </c>
      <c r="E170"/>
    </row>
    <row r="171" spans="2:5" x14ac:dyDescent="0.3">
      <c r="B171" t="s">
        <v>1677</v>
      </c>
      <c r="C171" t="s">
        <v>1892</v>
      </c>
      <c r="D171" t="s">
        <v>1524</v>
      </c>
      <c r="E171" t="s">
        <v>1148</v>
      </c>
    </row>
    <row r="172" spans="2:5" x14ac:dyDescent="0.3">
      <c r="B172" t="s">
        <v>1678</v>
      </c>
      <c r="C172" t="s">
        <v>935</v>
      </c>
      <c r="D172" t="s">
        <v>1535</v>
      </c>
      <c r="E172" t="s">
        <v>1320</v>
      </c>
    </row>
    <row r="173" spans="2:5" x14ac:dyDescent="0.3">
      <c r="B173" t="s">
        <v>1679</v>
      </c>
      <c r="C173" t="s">
        <v>1733</v>
      </c>
      <c r="D173" t="s">
        <v>840</v>
      </c>
      <c r="E173" t="s">
        <v>1149</v>
      </c>
    </row>
    <row r="174" spans="2:5" x14ac:dyDescent="0.3">
      <c r="B174" t="s">
        <v>1680</v>
      </c>
      <c r="C174" t="s">
        <v>936</v>
      </c>
      <c r="D174"/>
      <c r="E174" t="s">
        <v>1349</v>
      </c>
    </row>
    <row r="175" spans="2:5" x14ac:dyDescent="0.3">
      <c r="B175" t="s">
        <v>1681</v>
      </c>
      <c r="C175" t="s">
        <v>832</v>
      </c>
      <c r="D175" t="s">
        <v>1025</v>
      </c>
      <c r="E175" t="s">
        <v>1826</v>
      </c>
    </row>
    <row r="176" spans="2:5" x14ac:dyDescent="0.3">
      <c r="B176" t="s">
        <v>1682</v>
      </c>
      <c r="C176" t="s">
        <v>1734</v>
      </c>
      <c r="D176" t="s">
        <v>1026</v>
      </c>
      <c r="E176" t="s">
        <v>1350</v>
      </c>
    </row>
    <row r="177" spans="2:5" x14ac:dyDescent="0.3">
      <c r="B177" t="s">
        <v>1683</v>
      </c>
      <c r="C177" t="s">
        <v>937</v>
      </c>
      <c r="D177" t="s">
        <v>1903</v>
      </c>
      <c r="E177" t="s">
        <v>1351</v>
      </c>
    </row>
    <row r="178" spans="2:5" x14ac:dyDescent="0.3">
      <c r="B178" t="s">
        <v>1684</v>
      </c>
      <c r="C178" t="s">
        <v>938</v>
      </c>
      <c r="D178"/>
      <c r="E178" t="s">
        <v>1352</v>
      </c>
    </row>
    <row r="179" spans="2:5" x14ac:dyDescent="0.3">
      <c r="B179" t="s">
        <v>1685</v>
      </c>
      <c r="C179" t="s">
        <v>939</v>
      </c>
      <c r="D179" t="s">
        <v>1027</v>
      </c>
      <c r="E179" t="s">
        <v>842</v>
      </c>
    </row>
    <row r="180" spans="2:5" x14ac:dyDescent="0.3">
      <c r="B180" t="s">
        <v>1823</v>
      </c>
      <c r="C180" t="s">
        <v>940</v>
      </c>
      <c r="D180" t="s">
        <v>1028</v>
      </c>
      <c r="E180" t="s">
        <v>1353</v>
      </c>
    </row>
    <row r="181" spans="2:5" x14ac:dyDescent="0.3">
      <c r="B181" t="s">
        <v>1687</v>
      </c>
      <c r="C181" t="s">
        <v>941</v>
      </c>
      <c r="D181" t="s">
        <v>1029</v>
      </c>
      <c r="E181" t="s">
        <v>1354</v>
      </c>
    </row>
    <row r="182" spans="2:5" x14ac:dyDescent="0.3">
      <c r="B182" t="s">
        <v>1688</v>
      </c>
      <c r="C182" t="s">
        <v>942</v>
      </c>
      <c r="D182" t="s">
        <v>1815</v>
      </c>
      <c r="E182" t="s">
        <v>1355</v>
      </c>
    </row>
    <row r="183" spans="2:5" x14ac:dyDescent="0.3">
      <c r="B183" t="s">
        <v>1689</v>
      </c>
      <c r="C183" t="s">
        <v>943</v>
      </c>
      <c r="D183"/>
      <c r="E183" t="s">
        <v>1356</v>
      </c>
    </row>
    <row r="184" spans="2:5" x14ac:dyDescent="0.3">
      <c r="B184" t="s">
        <v>1690</v>
      </c>
      <c r="C184" t="s">
        <v>944</v>
      </c>
      <c r="D184" t="s">
        <v>841</v>
      </c>
      <c r="E184" t="s">
        <v>1357</v>
      </c>
    </row>
    <row r="185" spans="2:5" x14ac:dyDescent="0.3">
      <c r="B185" t="s">
        <v>1691</v>
      </c>
      <c r="C185" t="s">
        <v>945</v>
      </c>
      <c r="D185" t="s">
        <v>839</v>
      </c>
      <c r="E185" t="s">
        <v>1358</v>
      </c>
    </row>
    <row r="186" spans="2:5" x14ac:dyDescent="0.3">
      <c r="B186" t="s">
        <v>1692</v>
      </c>
      <c r="C186" t="s">
        <v>1950</v>
      </c>
      <c r="D186"/>
      <c r="E186" t="s">
        <v>1359</v>
      </c>
    </row>
    <row r="187" spans="2:5" x14ac:dyDescent="0.3">
      <c r="B187" t="s">
        <v>1693</v>
      </c>
      <c r="C187" t="s">
        <v>1951</v>
      </c>
      <c r="D187" t="s">
        <v>860</v>
      </c>
      <c r="E187" t="s">
        <v>1360</v>
      </c>
    </row>
    <row r="188" spans="2:5" x14ac:dyDescent="0.3">
      <c r="B188"/>
      <c r="C188"/>
      <c r="D188" t="s">
        <v>861</v>
      </c>
      <c r="E188" t="s">
        <v>1361</v>
      </c>
    </row>
    <row r="189" spans="2:5" x14ac:dyDescent="0.3">
      <c r="B189" t="s">
        <v>1694</v>
      </c>
      <c r="C189" t="s">
        <v>1152</v>
      </c>
      <c r="D189" t="s">
        <v>1816</v>
      </c>
      <c r="E189" t="s">
        <v>1762</v>
      </c>
    </row>
    <row r="190" spans="2:5" x14ac:dyDescent="0.3">
      <c r="B190"/>
      <c r="C190" t="s">
        <v>1735</v>
      </c>
      <c r="D190" t="s">
        <v>1817</v>
      </c>
      <c r="E190" t="s">
        <v>1543</v>
      </c>
    </row>
    <row r="191" spans="2:5" x14ac:dyDescent="0.3">
      <c r="B191" t="s">
        <v>1695</v>
      </c>
      <c r="C191" t="s">
        <v>1736</v>
      </c>
      <c r="D191"/>
      <c r="E191" t="s">
        <v>1544</v>
      </c>
    </row>
    <row r="192" spans="2:5" x14ac:dyDescent="0.3">
      <c r="B192" t="s">
        <v>1696</v>
      </c>
      <c r="C192" t="s">
        <v>1737</v>
      </c>
      <c r="D192" t="s">
        <v>1459</v>
      </c>
      <c r="E192" t="s">
        <v>1545</v>
      </c>
    </row>
    <row r="193" spans="2:5" x14ac:dyDescent="0.3">
      <c r="B193" t="s">
        <v>1697</v>
      </c>
      <c r="C193" t="s">
        <v>1810</v>
      </c>
      <c r="D193"/>
      <c r="E193" t="s">
        <v>1546</v>
      </c>
    </row>
    <row r="194" spans="2:5" x14ac:dyDescent="0.3">
      <c r="B194" t="s">
        <v>1698</v>
      </c>
      <c r="C194" t="s">
        <v>1952</v>
      </c>
      <c r="D194" t="s">
        <v>1030</v>
      </c>
      <c r="E194" t="s">
        <v>1547</v>
      </c>
    </row>
    <row r="195" spans="2:5" x14ac:dyDescent="0.3">
      <c r="B195"/>
      <c r="C195" t="s">
        <v>712</v>
      </c>
      <c r="D195" t="s">
        <v>721</v>
      </c>
      <c r="E195" t="s">
        <v>1548</v>
      </c>
    </row>
    <row r="196" spans="2:5" x14ac:dyDescent="0.3">
      <c r="B196" t="s">
        <v>1699</v>
      </c>
      <c r="C196" t="s">
        <v>866</v>
      </c>
      <c r="D196" t="s">
        <v>1452</v>
      </c>
      <c r="E196" t="s">
        <v>1549</v>
      </c>
    </row>
    <row r="197" spans="2:5" x14ac:dyDescent="0.3">
      <c r="B197" t="s">
        <v>1890</v>
      </c>
      <c r="C197" t="s">
        <v>1953</v>
      </c>
      <c r="D197" t="s">
        <v>1453</v>
      </c>
      <c r="E197" t="s">
        <v>1763</v>
      </c>
    </row>
    <row r="198" spans="2:5" x14ac:dyDescent="0.3">
      <c r="B198" t="s">
        <v>1825</v>
      </c>
      <c r="C198" t="s">
        <v>712</v>
      </c>
      <c r="D198" t="s">
        <v>1454</v>
      </c>
      <c r="E198" t="s">
        <v>1062</v>
      </c>
    </row>
    <row r="199" spans="2:5" x14ac:dyDescent="0.3">
      <c r="B199" t="s">
        <v>1824</v>
      </c>
      <c r="C199" t="s">
        <v>712</v>
      </c>
      <c r="D199" t="s">
        <v>721</v>
      </c>
      <c r="E199" t="s">
        <v>1076</v>
      </c>
    </row>
    <row r="200" spans="2:5" x14ac:dyDescent="0.3">
      <c r="B200"/>
      <c r="C200" t="s">
        <v>866</v>
      </c>
      <c r="D200" t="s">
        <v>1473</v>
      </c>
      <c r="E200" t="s">
        <v>1362</v>
      </c>
    </row>
    <row r="201" spans="2:5" x14ac:dyDescent="0.3">
      <c r="B201" t="s">
        <v>1700</v>
      </c>
      <c r="C201" t="s">
        <v>1738</v>
      </c>
      <c r="D201" t="s">
        <v>1474</v>
      </c>
      <c r="E201" t="s">
        <v>1363</v>
      </c>
    </row>
    <row r="202" spans="2:5" x14ac:dyDescent="0.3">
      <c r="B202" t="s">
        <v>712</v>
      </c>
      <c r="C202" t="s">
        <v>1810</v>
      </c>
      <c r="D202" t="s">
        <v>712</v>
      </c>
      <c r="E202" t="s">
        <v>1364</v>
      </c>
    </row>
    <row r="203" spans="2:5" x14ac:dyDescent="0.3">
      <c r="B203" s="431" t="s">
        <v>1701</v>
      </c>
      <c r="C203" t="s">
        <v>1954</v>
      </c>
      <c r="D203" t="s">
        <v>1536</v>
      </c>
      <c r="E203" t="s">
        <v>1365</v>
      </c>
    </row>
    <row r="204" spans="2:5" x14ac:dyDescent="0.3">
      <c r="B204" t="s">
        <v>712</v>
      </c>
      <c r="C204" t="s">
        <v>712</v>
      </c>
      <c r="D204" t="s">
        <v>1475</v>
      </c>
      <c r="E204" t="s">
        <v>1754</v>
      </c>
    </row>
    <row r="205" spans="2:5" x14ac:dyDescent="0.3">
      <c r="B205" t="s">
        <v>1702</v>
      </c>
      <c r="C205" t="s">
        <v>866</v>
      </c>
      <c r="D205" t="s">
        <v>842</v>
      </c>
      <c r="E205" t="s">
        <v>1366</v>
      </c>
    </row>
    <row r="206" spans="2:5" x14ac:dyDescent="0.3">
      <c r="B206" t="s">
        <v>1669</v>
      </c>
      <c r="C206" t="s">
        <v>1955</v>
      </c>
      <c r="D206" t="s">
        <v>1534</v>
      </c>
      <c r="E206" t="s">
        <v>1367</v>
      </c>
    </row>
    <row r="207" spans="2:5" x14ac:dyDescent="0.3">
      <c r="B207" t="s">
        <v>1703</v>
      </c>
      <c r="C207" t="s">
        <v>712</v>
      </c>
      <c r="D207" t="s">
        <v>1031</v>
      </c>
      <c r="E207" t="s">
        <v>1368</v>
      </c>
    </row>
    <row r="208" spans="2:5" x14ac:dyDescent="0.3">
      <c r="B208" t="s">
        <v>721</v>
      </c>
      <c r="C208" t="s">
        <v>712</v>
      </c>
      <c r="D208" t="s">
        <v>1476</v>
      </c>
      <c r="E208" t="s">
        <v>1369</v>
      </c>
    </row>
    <row r="209" spans="2:5" x14ac:dyDescent="0.3">
      <c r="B209" t="s">
        <v>1671</v>
      </c>
      <c r="C209" t="s">
        <v>1153</v>
      </c>
      <c r="D209" t="s">
        <v>1477</v>
      </c>
      <c r="E209" t="s">
        <v>1755</v>
      </c>
    </row>
    <row r="210" spans="2:5" x14ac:dyDescent="0.3">
      <c r="B210" t="s">
        <v>1648</v>
      </c>
      <c r="C210" t="s">
        <v>843</v>
      </c>
      <c r="D210" t="s">
        <v>842</v>
      </c>
      <c r="E210" t="s">
        <v>1370</v>
      </c>
    </row>
    <row r="211" spans="2:5" x14ac:dyDescent="0.3">
      <c r="B211" t="s">
        <v>1704</v>
      </c>
      <c r="C211" t="s">
        <v>844</v>
      </c>
      <c r="D211" t="s">
        <v>1904</v>
      </c>
      <c r="E211" t="s">
        <v>1756</v>
      </c>
    </row>
    <row r="212" spans="2:5" x14ac:dyDescent="0.3">
      <c r="B212" t="s">
        <v>1695</v>
      </c>
      <c r="C212" t="s">
        <v>842</v>
      </c>
      <c r="D212" t="s">
        <v>712</v>
      </c>
      <c r="E212" t="s">
        <v>1761</v>
      </c>
    </row>
    <row r="213" spans="2:5" x14ac:dyDescent="0.3">
      <c r="B213" t="s">
        <v>1705</v>
      </c>
      <c r="C213" t="s">
        <v>864</v>
      </c>
      <c r="D213"/>
      <c r="E213" t="s">
        <v>1371</v>
      </c>
    </row>
    <row r="214" spans="2:5" x14ac:dyDescent="0.3">
      <c r="B214" t="s">
        <v>712</v>
      </c>
      <c r="C214" t="s">
        <v>1956</v>
      </c>
      <c r="D214" t="s">
        <v>1032</v>
      </c>
      <c r="E214" t="s">
        <v>1372</v>
      </c>
    </row>
    <row r="215" spans="2:5" x14ac:dyDescent="0.3">
      <c r="B215" t="s">
        <v>1701</v>
      </c>
      <c r="C215" t="s">
        <v>845</v>
      </c>
      <c r="D215" t="s">
        <v>721</v>
      </c>
      <c r="E215" t="s">
        <v>1373</v>
      </c>
    </row>
    <row r="216" spans="2:5" x14ac:dyDescent="0.3">
      <c r="B216" t="s">
        <v>712</v>
      </c>
      <c r="C216" t="s">
        <v>865</v>
      </c>
      <c r="D216" t="s">
        <v>1525</v>
      </c>
      <c r="E216" t="s">
        <v>1374</v>
      </c>
    </row>
    <row r="217" spans="2:5" x14ac:dyDescent="0.3">
      <c r="B217" t="s">
        <v>712</v>
      </c>
      <c r="C217" t="s">
        <v>842</v>
      </c>
      <c r="D217" t="s">
        <v>1539</v>
      </c>
      <c r="E217" t="s">
        <v>1375</v>
      </c>
    </row>
    <row r="218" spans="2:5" x14ac:dyDescent="0.3">
      <c r="B218" t="s">
        <v>866</v>
      </c>
      <c r="C218" t="s">
        <v>1666</v>
      </c>
      <c r="D218" t="s">
        <v>1478</v>
      </c>
      <c r="E218" t="s">
        <v>1376</v>
      </c>
    </row>
    <row r="219" spans="2:5" x14ac:dyDescent="0.3">
      <c r="B219" t="s">
        <v>1706</v>
      </c>
      <c r="C219" t="s">
        <v>1667</v>
      </c>
      <c r="D219" t="s">
        <v>1479</v>
      </c>
      <c r="E219" t="s">
        <v>1377</v>
      </c>
    </row>
    <row r="220" spans="2:5" x14ac:dyDescent="0.3">
      <c r="B220" t="s">
        <v>744</v>
      </c>
      <c r="C220" t="s">
        <v>1739</v>
      </c>
      <c r="D220" t="s">
        <v>1480</v>
      </c>
      <c r="E220" t="s">
        <v>1378</v>
      </c>
    </row>
    <row r="221" spans="2:5" x14ac:dyDescent="0.3">
      <c r="B221" t="s">
        <v>1707</v>
      </c>
      <c r="C221" t="s">
        <v>1669</v>
      </c>
      <c r="D221" t="s">
        <v>1481</v>
      </c>
      <c r="E221" t="s">
        <v>1379</v>
      </c>
    </row>
    <row r="222" spans="2:5" x14ac:dyDescent="0.3">
      <c r="B222" t="s">
        <v>712</v>
      </c>
      <c r="C222" t="s">
        <v>1670</v>
      </c>
      <c r="D222" t="s">
        <v>1482</v>
      </c>
      <c r="E222" t="s">
        <v>1764</v>
      </c>
    </row>
    <row r="223" spans="2:5" x14ac:dyDescent="0.3">
      <c r="B223" t="s">
        <v>744</v>
      </c>
      <c r="C223" t="s">
        <v>1671</v>
      </c>
      <c r="D223" t="s">
        <v>1033</v>
      </c>
      <c r="E223" t="s">
        <v>1804</v>
      </c>
    </row>
    <row r="224" spans="2:5" x14ac:dyDescent="0.3">
      <c r="B224" t="s">
        <v>712</v>
      </c>
      <c r="C224" t="s">
        <v>1648</v>
      </c>
      <c r="D224" t="s">
        <v>1455</v>
      </c>
      <c r="E224" t="s">
        <v>1805</v>
      </c>
    </row>
    <row r="225" spans="2:5" x14ac:dyDescent="0.3">
      <c r="B225" t="s">
        <v>866</v>
      </c>
      <c r="C225" t="s">
        <v>1584</v>
      </c>
      <c r="D225" t="s">
        <v>1885</v>
      </c>
      <c r="E225" t="s">
        <v>1959</v>
      </c>
    </row>
    <row r="226" spans="2:5" x14ac:dyDescent="0.3">
      <c r="B226" t="s">
        <v>1708</v>
      </c>
      <c r="C226" t="s">
        <v>1686</v>
      </c>
      <c r="D226" t="s">
        <v>844</v>
      </c>
      <c r="E226" t="s">
        <v>1380</v>
      </c>
    </row>
    <row r="227" spans="2:5" x14ac:dyDescent="0.3">
      <c r="B227" t="s">
        <v>1709</v>
      </c>
      <c r="C227" t="s">
        <v>1820</v>
      </c>
      <c r="D227" t="s">
        <v>1905</v>
      </c>
      <c r="E227" t="s">
        <v>1381</v>
      </c>
    </row>
    <row r="228" spans="2:5" x14ac:dyDescent="0.3">
      <c r="B228" t="s">
        <v>1710</v>
      </c>
      <c r="C228" t="s">
        <v>1821</v>
      </c>
      <c r="D228" t="s">
        <v>1906</v>
      </c>
      <c r="E228" t="s">
        <v>1382</v>
      </c>
    </row>
    <row r="229" spans="2:5" x14ac:dyDescent="0.3">
      <c r="B229" t="s">
        <v>712</v>
      </c>
      <c r="C229"/>
      <c r="D229" t="s">
        <v>1907</v>
      </c>
      <c r="E229" t="s">
        <v>1383</v>
      </c>
    </row>
    <row r="230" spans="2:5" x14ac:dyDescent="0.3">
      <c r="C230" t="s">
        <v>1822</v>
      </c>
      <c r="D230" t="s">
        <v>1908</v>
      </c>
      <c r="E230" t="s">
        <v>1076</v>
      </c>
    </row>
    <row r="231" spans="2:5" x14ac:dyDescent="0.3">
      <c r="C231" t="s">
        <v>712</v>
      </c>
      <c r="D231" t="s">
        <v>844</v>
      </c>
      <c r="E231" t="s">
        <v>1384</v>
      </c>
    </row>
    <row r="232" spans="2:5" x14ac:dyDescent="0.3">
      <c r="C232" t="s">
        <v>1701</v>
      </c>
      <c r="D232" t="s">
        <v>1079</v>
      </c>
      <c r="E232" t="s">
        <v>1960</v>
      </c>
    </row>
    <row r="233" spans="2:5" x14ac:dyDescent="0.3">
      <c r="C233" t="s">
        <v>712</v>
      </c>
      <c r="D233" t="s">
        <v>1909</v>
      </c>
      <c r="E233" t="s">
        <v>1961</v>
      </c>
    </row>
    <row r="234" spans="2:5" x14ac:dyDescent="0.3">
      <c r="C234" t="s">
        <v>712</v>
      </c>
      <c r="D234" t="s">
        <v>1915</v>
      </c>
      <c r="E234" t="s">
        <v>1962</v>
      </c>
    </row>
    <row r="235" spans="2:5" x14ac:dyDescent="0.3">
      <c r="C235" t="s">
        <v>866</v>
      </c>
      <c r="D235" t="s">
        <v>1916</v>
      </c>
      <c r="E235" t="s">
        <v>1964</v>
      </c>
    </row>
    <row r="236" spans="2:5" x14ac:dyDescent="0.3">
      <c r="C236" t="s">
        <v>1740</v>
      </c>
      <c r="D236" t="s">
        <v>1910</v>
      </c>
      <c r="E236" t="s">
        <v>712</v>
      </c>
    </row>
    <row r="237" spans="2:5" x14ac:dyDescent="0.3">
      <c r="C237" t="s">
        <v>744</v>
      </c>
      <c r="D237" t="s">
        <v>1917</v>
      </c>
      <c r="E237" t="s">
        <v>1776</v>
      </c>
    </row>
    <row r="238" spans="2:5" x14ac:dyDescent="0.3">
      <c r="C238" t="s">
        <v>1707</v>
      </c>
      <c r="D238" t="s">
        <v>844</v>
      </c>
      <c r="E238" t="s">
        <v>1385</v>
      </c>
    </row>
    <row r="239" spans="2:5" x14ac:dyDescent="0.3">
      <c r="C239" t="s">
        <v>712</v>
      </c>
      <c r="D239" t="s">
        <v>842</v>
      </c>
      <c r="E239" t="s">
        <v>1757</v>
      </c>
    </row>
    <row r="240" spans="2:5" x14ac:dyDescent="0.3">
      <c r="C240" t="s">
        <v>1741</v>
      </c>
      <c r="D240" t="s">
        <v>712</v>
      </c>
      <c r="E240" t="s">
        <v>1386</v>
      </c>
    </row>
    <row r="241" spans="3:5" x14ac:dyDescent="0.3">
      <c r="C241" t="s">
        <v>1742</v>
      </c>
      <c r="D241"/>
      <c r="E241" t="s">
        <v>1387</v>
      </c>
    </row>
    <row r="242" spans="3:5" x14ac:dyDescent="0.3">
      <c r="C242" t="s">
        <v>842</v>
      </c>
      <c r="D242" t="s">
        <v>1034</v>
      </c>
      <c r="E242" t="s">
        <v>1388</v>
      </c>
    </row>
    <row r="243" spans="3:5" x14ac:dyDescent="0.3">
      <c r="C243" t="s">
        <v>712</v>
      </c>
      <c r="D243" t="s">
        <v>721</v>
      </c>
      <c r="E243" t="s">
        <v>1389</v>
      </c>
    </row>
    <row r="244" spans="3:5" x14ac:dyDescent="0.3">
      <c r="C244" t="s">
        <v>866</v>
      </c>
      <c r="D244" t="s">
        <v>1526</v>
      </c>
      <c r="E244" t="s">
        <v>1390</v>
      </c>
    </row>
    <row r="245" spans="3:5" x14ac:dyDescent="0.3">
      <c r="C245" t="s">
        <v>1743</v>
      </c>
      <c r="D245" t="s">
        <v>1035</v>
      </c>
      <c r="E245" t="s">
        <v>1391</v>
      </c>
    </row>
    <row r="246" spans="3:5" x14ac:dyDescent="0.3">
      <c r="C246" t="s">
        <v>1744</v>
      </c>
      <c r="D246" t="s">
        <v>1036</v>
      </c>
      <c r="E246" t="s">
        <v>1392</v>
      </c>
    </row>
    <row r="247" spans="3:5" x14ac:dyDescent="0.3">
      <c r="C247" t="s">
        <v>1745</v>
      </c>
      <c r="D247" t="s">
        <v>1037</v>
      </c>
      <c r="E247" t="s">
        <v>1771</v>
      </c>
    </row>
    <row r="248" spans="3:5" x14ac:dyDescent="0.3">
      <c r="C248" t="s">
        <v>1746</v>
      </c>
      <c r="D248" t="s">
        <v>1038</v>
      </c>
      <c r="E248" t="s">
        <v>1827</v>
      </c>
    </row>
    <row r="249" spans="3:5" x14ac:dyDescent="0.3">
      <c r="C249" t="s">
        <v>712</v>
      </c>
      <c r="D249" t="s">
        <v>1886</v>
      </c>
      <c r="E249" t="s">
        <v>1772</v>
      </c>
    </row>
    <row r="250" spans="3:5" x14ac:dyDescent="0.3">
      <c r="C250" t="s">
        <v>1747</v>
      </c>
      <c r="D250" t="s">
        <v>844</v>
      </c>
      <c r="E250" t="s">
        <v>712</v>
      </c>
    </row>
    <row r="251" spans="3:5" x14ac:dyDescent="0.3">
      <c r="C251" t="s">
        <v>1748</v>
      </c>
      <c r="D251" t="s">
        <v>1039</v>
      </c>
      <c r="E251" t="s">
        <v>1393</v>
      </c>
    </row>
    <row r="252" spans="3:5" x14ac:dyDescent="0.3">
      <c r="C252" t="s">
        <v>1745</v>
      </c>
      <c r="D252" t="s">
        <v>1040</v>
      </c>
      <c r="E252" t="s">
        <v>1060</v>
      </c>
    </row>
    <row r="253" spans="3:5" x14ac:dyDescent="0.3">
      <c r="C253" t="s">
        <v>1746</v>
      </c>
      <c r="D253" t="s">
        <v>1041</v>
      </c>
      <c r="E253" t="s">
        <v>1394</v>
      </c>
    </row>
    <row r="254" spans="3:5" x14ac:dyDescent="0.3">
      <c r="C254" t="s">
        <v>712</v>
      </c>
      <c r="D254" t="s">
        <v>1042</v>
      </c>
      <c r="E254" t="s">
        <v>1395</v>
      </c>
    </row>
    <row r="255" spans="3:5" x14ac:dyDescent="0.3">
      <c r="C255" t="s">
        <v>712</v>
      </c>
      <c r="D255" t="s">
        <v>844</v>
      </c>
      <c r="E255" t="s">
        <v>1773</v>
      </c>
    </row>
    <row r="256" spans="3:5" x14ac:dyDescent="0.3">
      <c r="C256" t="s">
        <v>744</v>
      </c>
      <c r="D256" t="s">
        <v>1551</v>
      </c>
      <c r="E256" t="s">
        <v>1828</v>
      </c>
    </row>
    <row r="257" spans="3:5" x14ac:dyDescent="0.3">
      <c r="C257"/>
      <c r="D257" t="s">
        <v>1552</v>
      </c>
      <c r="E257" t="s">
        <v>1774</v>
      </c>
    </row>
    <row r="258" spans="3:5" x14ac:dyDescent="0.3">
      <c r="D258" t="s">
        <v>1043</v>
      </c>
      <c r="E258" t="s">
        <v>712</v>
      </c>
    </row>
    <row r="259" spans="3:5" x14ac:dyDescent="0.3">
      <c r="D259" t="s">
        <v>1037</v>
      </c>
      <c r="E259" t="s">
        <v>1393</v>
      </c>
    </row>
    <row r="260" spans="3:5" x14ac:dyDescent="0.3">
      <c r="D260" t="s">
        <v>1887</v>
      </c>
      <c r="E260" t="s">
        <v>1060</v>
      </c>
    </row>
    <row r="261" spans="3:5" x14ac:dyDescent="0.3">
      <c r="D261" t="s">
        <v>1888</v>
      </c>
      <c r="E261" t="s">
        <v>1396</v>
      </c>
    </row>
    <row r="262" spans="3:5" x14ac:dyDescent="0.3">
      <c r="D262" t="s">
        <v>1044</v>
      </c>
      <c r="E262" t="s">
        <v>1758</v>
      </c>
    </row>
    <row r="263" spans="3:5" x14ac:dyDescent="0.3">
      <c r="D263" t="s">
        <v>1045</v>
      </c>
      <c r="E263" t="s">
        <v>1062</v>
      </c>
    </row>
    <row r="264" spans="3:5" x14ac:dyDescent="0.3">
      <c r="D264" t="s">
        <v>1040</v>
      </c>
      <c r="E264" t="s">
        <v>1397</v>
      </c>
    </row>
    <row r="265" spans="3:5" x14ac:dyDescent="0.3">
      <c r="D265" t="s">
        <v>1553</v>
      </c>
      <c r="E265" t="s">
        <v>1398</v>
      </c>
    </row>
    <row r="266" spans="3:5" x14ac:dyDescent="0.3">
      <c r="D266" t="s">
        <v>1554</v>
      </c>
      <c r="E266" t="s">
        <v>1392</v>
      </c>
    </row>
    <row r="267" spans="3:5" x14ac:dyDescent="0.3">
      <c r="D267" t="s">
        <v>1042</v>
      </c>
      <c r="E267" t="s">
        <v>1775</v>
      </c>
    </row>
    <row r="268" spans="3:5" x14ac:dyDescent="0.3">
      <c r="D268" t="s">
        <v>844</v>
      </c>
      <c r="E268" t="s">
        <v>1827</v>
      </c>
    </row>
    <row r="269" spans="3:5" x14ac:dyDescent="0.3">
      <c r="D269" t="s">
        <v>842</v>
      </c>
      <c r="E269" t="s">
        <v>1772</v>
      </c>
    </row>
    <row r="270" spans="3:5" x14ac:dyDescent="0.3">
      <c r="D270" t="s">
        <v>1527</v>
      </c>
      <c r="E270" t="s">
        <v>712</v>
      </c>
    </row>
    <row r="271" spans="3:5" x14ac:dyDescent="0.3">
      <c r="D271" t="s">
        <v>1483</v>
      </c>
      <c r="E271" t="s">
        <v>1393</v>
      </c>
    </row>
    <row r="272" spans="3:5" x14ac:dyDescent="0.3">
      <c r="D272" t="s">
        <v>1484</v>
      </c>
      <c r="E272" t="s">
        <v>1060</v>
      </c>
    </row>
    <row r="273" spans="4:5" x14ac:dyDescent="0.3">
      <c r="D273" t="s">
        <v>1040</v>
      </c>
      <c r="E273" t="s">
        <v>1399</v>
      </c>
    </row>
    <row r="274" spans="4:5" x14ac:dyDescent="0.3">
      <c r="D274" t="s">
        <v>1555</v>
      </c>
      <c r="E274" t="s">
        <v>1400</v>
      </c>
    </row>
    <row r="275" spans="4:5" x14ac:dyDescent="0.3">
      <c r="D275" t="s">
        <v>1554</v>
      </c>
      <c r="E275" t="s">
        <v>1759</v>
      </c>
    </row>
    <row r="276" spans="4:5" x14ac:dyDescent="0.3">
      <c r="D276" t="s">
        <v>843</v>
      </c>
      <c r="E276" t="s">
        <v>1776</v>
      </c>
    </row>
    <row r="277" spans="4:5" x14ac:dyDescent="0.3">
      <c r="D277" t="s">
        <v>1537</v>
      </c>
      <c r="E277" s="431" t="s">
        <v>2152</v>
      </c>
    </row>
    <row r="278" spans="4:5" x14ac:dyDescent="0.3">
      <c r="D278" t="s">
        <v>1485</v>
      </c>
      <c r="E278" t="s">
        <v>1777</v>
      </c>
    </row>
    <row r="279" spans="4:5" x14ac:dyDescent="0.3">
      <c r="D279" t="s">
        <v>843</v>
      </c>
      <c r="E279" t="s">
        <v>1778</v>
      </c>
    </row>
    <row r="280" spans="4:5" x14ac:dyDescent="0.3">
      <c r="D280" t="s">
        <v>1079</v>
      </c>
      <c r="E280" t="s">
        <v>712</v>
      </c>
    </row>
    <row r="281" spans="4:5" x14ac:dyDescent="0.3">
      <c r="D281" t="s">
        <v>1486</v>
      </c>
      <c r="E281" t="s">
        <v>1829</v>
      </c>
    </row>
    <row r="282" spans="4:5" x14ac:dyDescent="0.3">
      <c r="D282" t="s">
        <v>843</v>
      </c>
      <c r="E282" t="s">
        <v>1806</v>
      </c>
    </row>
    <row r="283" spans="4:5" x14ac:dyDescent="0.3">
      <c r="D283" t="s">
        <v>844</v>
      </c>
      <c r="E283" t="s">
        <v>1062</v>
      </c>
    </row>
    <row r="284" spans="4:5" x14ac:dyDescent="0.3">
      <c r="D284" t="s">
        <v>864</v>
      </c>
      <c r="E284" t="s">
        <v>1061</v>
      </c>
    </row>
    <row r="285" spans="4:5" x14ac:dyDescent="0.3">
      <c r="D285" t="s">
        <v>1487</v>
      </c>
      <c r="E285" t="s">
        <v>1807</v>
      </c>
    </row>
    <row r="286" spans="4:5" x14ac:dyDescent="0.3">
      <c r="D286" t="s">
        <v>1483</v>
      </c>
      <c r="E286" t="s">
        <v>1779</v>
      </c>
    </row>
    <row r="287" spans="4:5" x14ac:dyDescent="0.3">
      <c r="D287" t="s">
        <v>1488</v>
      </c>
      <c r="E287" t="s">
        <v>1062</v>
      </c>
    </row>
    <row r="288" spans="4:5" x14ac:dyDescent="0.3">
      <c r="D288" t="s">
        <v>1556</v>
      </c>
      <c r="E288" t="s">
        <v>1401</v>
      </c>
    </row>
    <row r="289" spans="4:5" x14ac:dyDescent="0.3">
      <c r="D289" t="s">
        <v>1557</v>
      </c>
      <c r="E289" t="s">
        <v>1402</v>
      </c>
    </row>
    <row r="290" spans="4:5" x14ac:dyDescent="0.3">
      <c r="D290" t="s">
        <v>1558</v>
      </c>
      <c r="E290" t="s">
        <v>1403</v>
      </c>
    </row>
    <row r="291" spans="4:5" x14ac:dyDescent="0.3">
      <c r="D291" t="s">
        <v>844</v>
      </c>
      <c r="E291" t="s">
        <v>1808</v>
      </c>
    </row>
    <row r="292" spans="4:5" x14ac:dyDescent="0.3">
      <c r="D292" t="s">
        <v>842</v>
      </c>
      <c r="E292" t="s">
        <v>1404</v>
      </c>
    </row>
    <row r="293" spans="4:5" x14ac:dyDescent="0.3">
      <c r="D293" t="s">
        <v>712</v>
      </c>
      <c r="E293" t="s">
        <v>1809</v>
      </c>
    </row>
    <row r="294" spans="4:5" x14ac:dyDescent="0.3">
      <c r="D294"/>
      <c r="E294" t="s">
        <v>1810</v>
      </c>
    </row>
    <row r="295" spans="4:5" x14ac:dyDescent="0.3">
      <c r="D295" t="s">
        <v>1046</v>
      </c>
      <c r="E295" t="s">
        <v>1811</v>
      </c>
    </row>
    <row r="296" spans="4:5" x14ac:dyDescent="0.3">
      <c r="D296" t="s">
        <v>1523</v>
      </c>
      <c r="E296" t="s">
        <v>1812</v>
      </c>
    </row>
    <row r="297" spans="4:5" x14ac:dyDescent="0.3">
      <c r="D297" t="s">
        <v>1047</v>
      </c>
      <c r="E297" t="s">
        <v>712</v>
      </c>
    </row>
    <row r="298" spans="4:5" x14ac:dyDescent="0.3">
      <c r="D298" t="s">
        <v>1489</v>
      </c>
      <c r="E298" t="s">
        <v>1076</v>
      </c>
    </row>
    <row r="299" spans="4:5" x14ac:dyDescent="0.3">
      <c r="D299" t="s">
        <v>1528</v>
      </c>
      <c r="E299" t="s">
        <v>843</v>
      </c>
    </row>
    <row r="300" spans="4:5" x14ac:dyDescent="0.3">
      <c r="D300" t="s">
        <v>1048</v>
      </c>
      <c r="E300" t="s">
        <v>844</v>
      </c>
    </row>
    <row r="301" spans="4:5" x14ac:dyDescent="0.3">
      <c r="D301" t="s">
        <v>1049</v>
      </c>
      <c r="E301" t="s">
        <v>1765</v>
      </c>
    </row>
    <row r="302" spans="4:5" x14ac:dyDescent="0.3">
      <c r="D302" t="s">
        <v>1050</v>
      </c>
      <c r="E302" t="s">
        <v>1405</v>
      </c>
    </row>
    <row r="303" spans="4:5" x14ac:dyDescent="0.3">
      <c r="D303" t="s">
        <v>1051</v>
      </c>
      <c r="E303" t="s">
        <v>1406</v>
      </c>
    </row>
    <row r="304" spans="4:5" x14ac:dyDescent="0.3">
      <c r="D304" t="s">
        <v>1052</v>
      </c>
      <c r="E304" t="s">
        <v>844</v>
      </c>
    </row>
    <row r="305" spans="4:5" x14ac:dyDescent="0.3">
      <c r="D305" t="s">
        <v>1053</v>
      </c>
      <c r="E305" t="s">
        <v>1079</v>
      </c>
    </row>
    <row r="306" spans="4:5" x14ac:dyDescent="0.3">
      <c r="D306" t="s">
        <v>1054</v>
      </c>
      <c r="E306" t="s">
        <v>1407</v>
      </c>
    </row>
    <row r="307" spans="4:5" x14ac:dyDescent="0.3">
      <c r="D307" t="s">
        <v>1911</v>
      </c>
      <c r="E307" t="s">
        <v>1408</v>
      </c>
    </row>
    <row r="308" spans="4:5" x14ac:dyDescent="0.3">
      <c r="D308" t="s">
        <v>1912</v>
      </c>
      <c r="E308" t="s">
        <v>1081</v>
      </c>
    </row>
    <row r="309" spans="4:5" x14ac:dyDescent="0.3">
      <c r="D309" t="s">
        <v>1055</v>
      </c>
      <c r="E309" t="s">
        <v>1409</v>
      </c>
    </row>
    <row r="310" spans="4:5" x14ac:dyDescent="0.3">
      <c r="D310" t="s">
        <v>1056</v>
      </c>
      <c r="E310" t="s">
        <v>844</v>
      </c>
    </row>
    <row r="311" spans="4:5" x14ac:dyDescent="0.3">
      <c r="D311" t="s">
        <v>1057</v>
      </c>
      <c r="E311" t="s">
        <v>842</v>
      </c>
    </row>
    <row r="312" spans="4:5" x14ac:dyDescent="0.3">
      <c r="D312" t="s">
        <v>1058</v>
      </c>
      <c r="E312" t="s">
        <v>864</v>
      </c>
    </row>
    <row r="313" spans="4:5" x14ac:dyDescent="0.3">
      <c r="D313" t="s">
        <v>1059</v>
      </c>
      <c r="E313" t="s">
        <v>1760</v>
      </c>
    </row>
    <row r="314" spans="4:5" x14ac:dyDescent="0.3">
      <c r="D314" t="s">
        <v>1490</v>
      </c>
      <c r="E314" t="s">
        <v>845</v>
      </c>
    </row>
    <row r="315" spans="4:5" x14ac:dyDescent="0.3">
      <c r="D315" t="s">
        <v>1062</v>
      </c>
      <c r="E315" t="s">
        <v>865</v>
      </c>
    </row>
    <row r="316" spans="4:5" x14ac:dyDescent="0.3">
      <c r="D316" t="s">
        <v>1061</v>
      </c>
      <c r="E316" t="s">
        <v>842</v>
      </c>
    </row>
    <row r="317" spans="4:5" x14ac:dyDescent="0.3">
      <c r="D317" t="s">
        <v>1491</v>
      </c>
      <c r="E317" t="s">
        <v>712</v>
      </c>
    </row>
    <row r="318" spans="4:5" x14ac:dyDescent="0.3">
      <c r="D318" t="s">
        <v>1062</v>
      </c>
      <c r="E318" t="s">
        <v>866</v>
      </c>
    </row>
    <row r="319" spans="4:5" x14ac:dyDescent="0.3">
      <c r="D319" t="s">
        <v>1918</v>
      </c>
      <c r="E319" t="s">
        <v>1410</v>
      </c>
    </row>
    <row r="320" spans="4:5" x14ac:dyDescent="0.3">
      <c r="D320" t="s">
        <v>1919</v>
      </c>
      <c r="E320" t="s">
        <v>867</v>
      </c>
    </row>
    <row r="321" spans="4:5" x14ac:dyDescent="0.3">
      <c r="D321" t="s">
        <v>1063</v>
      </c>
      <c r="E321" t="s">
        <v>846</v>
      </c>
    </row>
    <row r="322" spans="4:5" x14ac:dyDescent="0.3">
      <c r="D322" t="s">
        <v>1064</v>
      </c>
      <c r="E322" t="s">
        <v>868</v>
      </c>
    </row>
    <row r="323" spans="4:5" x14ac:dyDescent="0.3">
      <c r="D323" t="s">
        <v>1065</v>
      </c>
      <c r="E323" t="s">
        <v>712</v>
      </c>
    </row>
    <row r="324" spans="4:5" x14ac:dyDescent="0.3">
      <c r="D324" t="s">
        <v>1066</v>
      </c>
      <c r="E324" t="s">
        <v>744</v>
      </c>
    </row>
    <row r="325" spans="4:5" x14ac:dyDescent="0.3">
      <c r="D325" t="s">
        <v>1529</v>
      </c>
    </row>
    <row r="326" spans="4:5" x14ac:dyDescent="0.3">
      <c r="D326" t="s">
        <v>1067</v>
      </c>
    </row>
    <row r="327" spans="4:5" x14ac:dyDescent="0.3">
      <c r="D327" t="s">
        <v>1540</v>
      </c>
    </row>
    <row r="328" spans="4:5" x14ac:dyDescent="0.3">
      <c r="D328" t="s">
        <v>1062</v>
      </c>
    </row>
    <row r="329" spans="4:5" x14ac:dyDescent="0.3">
      <c r="D329" t="s">
        <v>1061</v>
      </c>
    </row>
    <row r="330" spans="4:5" x14ac:dyDescent="0.3">
      <c r="D330" t="s">
        <v>1068</v>
      </c>
    </row>
    <row r="331" spans="4:5" x14ac:dyDescent="0.3">
      <c r="D331" t="s">
        <v>1541</v>
      </c>
    </row>
    <row r="332" spans="4:5" x14ac:dyDescent="0.3">
      <c r="D332" t="s">
        <v>1060</v>
      </c>
    </row>
    <row r="333" spans="4:5" x14ac:dyDescent="0.3">
      <c r="D333" t="s">
        <v>1069</v>
      </c>
    </row>
    <row r="334" spans="4:5" x14ac:dyDescent="0.3">
      <c r="D334" t="s">
        <v>1070</v>
      </c>
    </row>
    <row r="335" spans="4:5" x14ac:dyDescent="0.3">
      <c r="D335" t="s">
        <v>1060</v>
      </c>
    </row>
    <row r="336" spans="4:5" x14ac:dyDescent="0.3">
      <c r="D336" t="s">
        <v>1062</v>
      </c>
    </row>
    <row r="337" spans="4:4" x14ac:dyDescent="0.3">
      <c r="D337" t="s">
        <v>1071</v>
      </c>
    </row>
    <row r="338" spans="4:4" x14ac:dyDescent="0.3">
      <c r="D338" t="s">
        <v>1072</v>
      </c>
    </row>
    <row r="339" spans="4:4" x14ac:dyDescent="0.3">
      <c r="D339" t="s">
        <v>1073</v>
      </c>
    </row>
    <row r="340" spans="4:4" x14ac:dyDescent="0.3">
      <c r="D340" t="s">
        <v>1538</v>
      </c>
    </row>
    <row r="341" spans="4:4" x14ac:dyDescent="0.3">
      <c r="D341" t="s">
        <v>1074</v>
      </c>
    </row>
    <row r="342" spans="4:4" x14ac:dyDescent="0.3">
      <c r="D342" t="s">
        <v>1075</v>
      </c>
    </row>
    <row r="343" spans="4:4" x14ac:dyDescent="0.3">
      <c r="D343" t="s">
        <v>1076</v>
      </c>
    </row>
    <row r="344" spans="4:4" x14ac:dyDescent="0.3">
      <c r="D344" t="s">
        <v>843</v>
      </c>
    </row>
    <row r="345" spans="4:4" x14ac:dyDescent="0.3">
      <c r="D345" t="s">
        <v>1913</v>
      </c>
    </row>
    <row r="346" spans="4:4" x14ac:dyDescent="0.3">
      <c r="D346" t="s">
        <v>1914</v>
      </c>
    </row>
    <row r="347" spans="4:4" x14ac:dyDescent="0.3">
      <c r="D347" t="s">
        <v>1077</v>
      </c>
    </row>
    <row r="348" spans="4:4" x14ac:dyDescent="0.3">
      <c r="D348" t="s">
        <v>1078</v>
      </c>
    </row>
    <row r="349" spans="4:4" x14ac:dyDescent="0.3">
      <c r="D349" t="s">
        <v>843</v>
      </c>
    </row>
    <row r="350" spans="4:4" x14ac:dyDescent="0.3">
      <c r="D350" t="s">
        <v>844</v>
      </c>
    </row>
    <row r="351" spans="4:4" x14ac:dyDescent="0.3">
      <c r="D351" t="s">
        <v>1079</v>
      </c>
    </row>
    <row r="352" spans="4:4" x14ac:dyDescent="0.3">
      <c r="D352" t="s">
        <v>1080</v>
      </c>
    </row>
    <row r="353" spans="4:4" x14ac:dyDescent="0.3">
      <c r="D353" t="s">
        <v>1081</v>
      </c>
    </row>
    <row r="354" spans="4:4" x14ac:dyDescent="0.3">
      <c r="D354" t="s">
        <v>1082</v>
      </c>
    </row>
    <row r="355" spans="4:4" x14ac:dyDescent="0.3">
      <c r="D355" t="s">
        <v>844</v>
      </c>
    </row>
    <row r="356" spans="4:4" x14ac:dyDescent="0.3">
      <c r="D356" t="s">
        <v>842</v>
      </c>
    </row>
    <row r="357" spans="4:4" x14ac:dyDescent="0.3">
      <c r="D357" t="s">
        <v>864</v>
      </c>
    </row>
    <row r="358" spans="4:4" x14ac:dyDescent="0.3">
      <c r="D358" t="s">
        <v>1083</v>
      </c>
    </row>
    <row r="359" spans="4:4" x14ac:dyDescent="0.3">
      <c r="D359" t="s">
        <v>1084</v>
      </c>
    </row>
    <row r="360" spans="4:4" x14ac:dyDescent="0.3">
      <c r="D360" t="s">
        <v>845</v>
      </c>
    </row>
    <row r="361" spans="4:4" x14ac:dyDescent="0.3">
      <c r="D361" t="s">
        <v>1085</v>
      </c>
    </row>
    <row r="362" spans="4:4" x14ac:dyDescent="0.3">
      <c r="D362" t="s">
        <v>842</v>
      </c>
    </row>
    <row r="363" spans="4:4" x14ac:dyDescent="0.3">
      <c r="D363" t="s">
        <v>846</v>
      </c>
    </row>
    <row r="364" spans="4:4" x14ac:dyDescent="0.3">
      <c r="D364" t="s">
        <v>712</v>
      </c>
    </row>
    <row r="365" spans="4:4" x14ac:dyDescent="0.3">
      <c r="D365" t="s">
        <v>1086</v>
      </c>
    </row>
    <row r="366" spans="4:4" x14ac:dyDescent="0.3">
      <c r="D366" t="s">
        <v>1087</v>
      </c>
    </row>
    <row r="367" spans="4:4" x14ac:dyDescent="0.3">
      <c r="D367" t="s">
        <v>1088</v>
      </c>
    </row>
    <row r="368" spans="4:4" x14ac:dyDescent="0.3">
      <c r="D368" t="s">
        <v>846</v>
      </c>
    </row>
    <row r="369" spans="4:4" x14ac:dyDescent="0.3">
      <c r="D369" t="s">
        <v>1089</v>
      </c>
    </row>
    <row r="370" spans="4:4" x14ac:dyDescent="0.3">
      <c r="D370" t="s">
        <v>712</v>
      </c>
    </row>
    <row r="371" spans="4:4" x14ac:dyDescent="0.3">
      <c r="D371" s="441"/>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B74287E1-BC6F-4C0F-8FA6-B47A88EE3AF2}">
  <ds:schemaRefs>
    <ds:schemaRef ds:uri="http://schemas.microsoft.com/office/2006/documentManagement/types"/>
    <ds:schemaRef ds:uri="http://purl.org/dc/elements/1.1/"/>
    <ds:schemaRef ds:uri="http://schemas.microsoft.com/office/2006/metadata/properties"/>
    <ds:schemaRef ds:uri="http://purl.org/dc/dcmitype/"/>
    <ds:schemaRef ds:uri="http://schemas.openxmlformats.org/package/2006/metadata/core-properties"/>
    <ds:schemaRef ds:uri="255c950a-1442-47b1-ab30-b86c4982616c"/>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1113</vt:i4>
      </vt:variant>
    </vt:vector>
  </HeadingPairs>
  <TitlesOfParts>
    <vt:vector size="1130"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Activation_Preference_Defaults</vt:lpstr>
      <vt:lpstr>ActiveCacheTargetDC1</vt:lpstr>
      <vt:lpstr>AdditionalIO</vt:lpstr>
      <vt:lpstr>aggRWRatio</vt:lpstr>
      <vt:lpstr>AutomaticDAGCalc</vt:lpstr>
      <vt:lpstr>AutoReseedVols</vt:lpstr>
      <vt:lpstr>AutoReseedVolumes</vt:lpstr>
      <vt:lpstr>AvailNetCapacity</vt:lpstr>
      <vt:lpstr>BackupFailureTol</vt:lpstr>
      <vt:lpstr>BackupFreq</vt:lpstr>
      <vt:lpstr>BackupMethod</vt:lpstr>
      <vt:lpstr>BackupMethod_ExchangeNative</vt:lpstr>
      <vt:lpstr>BaseTotIOPS</vt:lpstr>
      <vt:lpstr>CachePages</vt:lpstr>
      <vt:lpstr>CachePagesDC2</vt:lpstr>
      <vt:lpstr>calcActDBPDCDouble</vt:lpstr>
      <vt:lpstr>calcActDBPDCNormal</vt:lpstr>
      <vt:lpstr>calcActDBPDCSingle</vt:lpstr>
      <vt:lpstr>calcActDBPDCSite</vt:lpstr>
      <vt:lpstr>calcActDBPDCWorst</vt:lpstr>
      <vt:lpstr>calcActDBSDCDouble</vt:lpstr>
      <vt:lpstr>calcActDBSDCNormal</vt:lpstr>
      <vt:lpstr>calcActDBSDCSingle</vt:lpstr>
      <vt:lpstr>calcActDBSDCSite</vt:lpstr>
      <vt:lpstr>calcActDBSDCWorst</vt:lpstr>
      <vt:lpstr>calcActMBXFFAP</vt:lpstr>
      <vt:lpstr>calcActMBXNRAP</vt:lpstr>
      <vt:lpstr>calcActMBXSFAP</vt:lpstr>
      <vt:lpstr>calcAggregateCapacity</vt:lpstr>
      <vt:lpstr>calcAggregateIO</vt:lpstr>
      <vt:lpstr>calcAvDBCache</vt:lpstr>
      <vt:lpstr>calcAvSvrMCycles</vt:lpstr>
      <vt:lpstr>calcAvSvrMCyclesLCS</vt:lpstr>
      <vt:lpstr>calcAvSvrMCyclesSDC</vt:lpstr>
      <vt:lpstr>calcCASCPUPDC</vt:lpstr>
      <vt:lpstr>calcCASCPUPDCDoub</vt:lpstr>
      <vt:lpstr>calcCASCPUPDCNorm</vt:lpstr>
      <vt:lpstr>calcCASCPUPDCSing</vt:lpstr>
      <vt:lpstr>calcCASCPUPDCSite</vt:lpstr>
      <vt:lpstr>calcCASCPUSDC</vt:lpstr>
      <vt:lpstr>calcCASCPUSDCDouble</vt:lpstr>
      <vt:lpstr>calcCASCPUSDCNormal</vt:lpstr>
      <vt:lpstr>calcCASCPUSDCSingle</vt:lpstr>
      <vt:lpstr>calcCASCPUSDCSite</vt:lpstr>
      <vt:lpstr>calcCASMemReq</vt:lpstr>
      <vt:lpstr>calcCASMemReqSDC</vt:lpstr>
      <vt:lpstr>calcCIMemReq</vt:lpstr>
      <vt:lpstr>calcCIMemReqSDC</vt:lpstr>
      <vt:lpstr>calcCIStreamsBtwnDCs</vt:lpstr>
      <vt:lpstr>calcCPUUtilLCS</vt:lpstr>
      <vt:lpstr>calcCPUUtilPDC</vt:lpstr>
      <vt:lpstr>calcCPUUtilPDCDouble</vt:lpstr>
      <vt:lpstr>calcCPUUtilPDCNormal</vt:lpstr>
      <vt:lpstr>calcCPUUtilPDCSingle</vt:lpstr>
      <vt:lpstr>calcCPUUtilPDCSite</vt:lpstr>
      <vt:lpstr>calcCPUUtilSDC</vt:lpstr>
      <vt:lpstr>calcCPUUtilSDCDouble</vt:lpstr>
      <vt:lpstr>calcCPUUtilSDCNormal</vt:lpstr>
      <vt:lpstr>calcCPUUtilSDCSingle</vt:lpstr>
      <vt:lpstr>calcCPUUtilSDCSite</vt:lpstr>
      <vt:lpstr>calcCustomDiskCountCheck</vt:lpstr>
      <vt:lpstr>calcCustomDiskCountCheckName</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calcHAOption</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calcMaxDBSizeCheckName</vt:lpstr>
      <vt:lpstr>calcMaxNumDBDAG</vt:lpstr>
      <vt:lpstr>calcMaxNumDBs</vt:lpstr>
      <vt:lpstr>calcMBXPerDB</vt:lpstr>
      <vt:lpstr>calcMBXSDCRAM</vt:lpstr>
      <vt:lpstr>calcMBXServerACPU</vt:lpstr>
      <vt:lpstr>calcMBXServerACPUDoub</vt:lpstr>
      <vt:lpstr>calcMBXServerACPUNorm</vt:lpstr>
      <vt:lpstr>calcMBXServerACPUSDC</vt:lpstr>
      <vt:lpstr>calcMBXServerACPUSDCDouble</vt:lpstr>
      <vt:lpstr>calcMBXServerACPUSDCNormal</vt:lpstr>
      <vt:lpstr>calcMBXServerACPUSDCSingle</vt:lpstr>
      <vt:lpstr>calcMBXServerACPUSDCSite</vt:lpstr>
      <vt:lpstr>calcMBXServerACPUSing</vt:lpstr>
      <vt:lpstr>calcMBXServerACPUSite</vt:lpstr>
      <vt:lpstr>calcMBXServerPCPU</vt:lpstr>
      <vt:lpstr>calcMBXServerPCPUDoub</vt:lpstr>
      <vt:lpstr>calcMBXServerPCPUNorm</vt:lpstr>
      <vt:lpstr>calcMBXServerPCPUSDC</vt:lpstr>
      <vt:lpstr>calcMBXServerPCPUSDCDouble</vt:lpstr>
      <vt:lpstr>calcMBXServerPCPUSDCNormal</vt:lpstr>
      <vt:lpstr>calcMBXServerPCPUSDCSingle</vt:lpstr>
      <vt:lpstr>calcMBXServerPCPUSDCSite</vt:lpstr>
      <vt:lpstr>calcMBXServerPCPUSing</vt:lpstr>
      <vt:lpstr>calcMBXServerPCPUSite</vt:lpstr>
      <vt:lpstr>calcMCDBEnabled</vt:lpstr>
      <vt:lpstr>calcMessagesPerDay</vt:lpstr>
      <vt:lpstr>calcMinCASCountPDC</vt:lpstr>
      <vt:lpstr>calcMinCASCountSDC</vt:lpstr>
      <vt:lpstr>calcMultipleDBVolume</vt:lpstr>
      <vt:lpstr>calcMultiRoleEnabled</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calcNumDBCopyInPDCActual</vt:lpstr>
      <vt:lpstr>calcNumDBCopyInSDC</vt:lpstr>
      <vt:lpstr>calcNumDBCopyInSDCActual</vt:lpstr>
      <vt:lpstr>calcNumDBMemSizing</vt:lpstr>
      <vt:lpstr>calcNumDBMemSizingSDC</vt:lpstr>
      <vt:lpstr>calcNumDBs</vt:lpstr>
      <vt:lpstr>calcNumDBUserTLogs</vt:lpstr>
      <vt:lpstr>calcNumLagCopyInPDC</vt:lpstr>
      <vt:lpstr>calcNumLagCopyInPDCActual</vt:lpstr>
      <vt:lpstr>calcNumLagCopyInSDC</vt:lpstr>
      <vt:lpstr>calcNumLagCopyInSDCActual</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calcRecMaxDBSize</vt:lpstr>
      <vt:lpstr>calcRemainingServers</vt:lpstr>
      <vt:lpstr>calcReplayLagManagerEnabled</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calcSiteResilienceEnabled</vt:lpstr>
      <vt:lpstr>calcSRAASDDRServers</vt:lpstr>
      <vt:lpstr>calcTier1CapacityRatio</vt:lpstr>
      <vt:lpstr>calcTier1CapacityRequirement</vt:lpstr>
      <vt:lpstr>calcTier1DBReads</vt:lpstr>
      <vt:lpstr>calcTier1DBWrites</vt:lpstr>
      <vt:lpstr>calcTier1DesktopSearchIO</vt:lpstr>
      <vt:lpstr>calcTier1InitialMBXSize</vt:lpstr>
      <vt:lpstr>calcTier1IOFactor</vt:lpstr>
      <vt:lpstr>calcTier1IORatio</vt:lpstr>
      <vt:lpstr>calcTier1IORequirement</vt:lpstr>
      <vt:lpstr>calcTier1MBX</vt:lpstr>
      <vt:lpstr>calcTier1MBXDBCapacity</vt:lpstr>
      <vt:lpstr>calcTier1MBXDBIO</vt:lpstr>
      <vt:lpstr>calcTier1MCFactor</vt:lpstr>
      <vt:lpstr>calcTier1MonthlyData</vt:lpstr>
      <vt:lpstr>calcTier1PredictCapMonths</vt:lpstr>
      <vt:lpstr>calcTier1PredictCapYears</vt:lpstr>
      <vt:lpstr>calcTier1RWRatio</vt:lpstr>
      <vt:lpstr>calcTier1WeeklyData</vt:lpstr>
      <vt:lpstr>calcTier1YearlyData</vt:lpstr>
      <vt:lpstr>calcTier2CapacityRatio</vt:lpstr>
      <vt:lpstr>calcTier2CapacityRequirement</vt:lpstr>
      <vt:lpstr>calcTier2DBReads</vt:lpstr>
      <vt:lpstr>calcTier2DBWrites</vt:lpstr>
      <vt:lpstr>calcTier2DesktopSearchIO</vt:lpstr>
      <vt:lpstr>calcTier2InitialMBXSize</vt:lpstr>
      <vt:lpstr>calcTier2IOFactor</vt:lpstr>
      <vt:lpstr>calcTier2IORatio</vt:lpstr>
      <vt:lpstr>calcTier2IORequirement</vt:lpstr>
      <vt:lpstr>calcTier2MBX</vt:lpstr>
      <vt:lpstr>calcTier2MBXDBCapacity</vt:lpstr>
      <vt:lpstr>calcTier2MBXDBIO</vt:lpstr>
      <vt:lpstr>calcTier2MCFactor</vt:lpstr>
      <vt:lpstr>calcTier2MonthlyData</vt:lpstr>
      <vt:lpstr>calcTier2PredictCapMonths</vt:lpstr>
      <vt:lpstr>calcTier2PredictCapYears</vt:lpstr>
      <vt:lpstr>calcTier2RWRatio</vt:lpstr>
      <vt:lpstr>calcTier2WeeklyData</vt:lpstr>
      <vt:lpstr>calcTier2YearlyData</vt:lpstr>
      <vt:lpstr>calcTier3CapacityRatio</vt:lpstr>
      <vt:lpstr>calcTier3CapacityRequirement</vt:lpstr>
      <vt:lpstr>calcTier3DBReads</vt:lpstr>
      <vt:lpstr>calcTier3DBWrites</vt:lpstr>
      <vt:lpstr>calcTier3DesktopSearchIO</vt:lpstr>
      <vt:lpstr>calcTier3InitialMBXSize</vt:lpstr>
      <vt:lpstr>calcTier3IOFactor</vt:lpstr>
      <vt:lpstr>calcTier3IORatio</vt:lpstr>
      <vt:lpstr>calcTier3IORequirement</vt:lpstr>
      <vt:lpstr>calcTier3MBX</vt:lpstr>
      <vt:lpstr>calcTier3MBXDBCapacity</vt:lpstr>
      <vt:lpstr>calcTier3MBXDBIO</vt:lpstr>
      <vt:lpstr>calcTier3MCFactor</vt:lpstr>
      <vt:lpstr>calcTier3MonthlyData</vt:lpstr>
      <vt:lpstr>calcTier3PredictCapMonths</vt:lpstr>
      <vt:lpstr>calcTier3PredictCapYears</vt:lpstr>
      <vt:lpstr>calcTier3RWRatio</vt:lpstr>
      <vt:lpstr>calcTier3WeeklyData</vt:lpstr>
      <vt:lpstr>calcTier3YearlyData</vt:lpstr>
      <vt:lpstr>calcTier4CapacityRatio</vt:lpstr>
      <vt:lpstr>calcTier4CapacityRequirement</vt:lpstr>
      <vt:lpstr>calcTier4DBReads</vt:lpstr>
      <vt:lpstr>calcTier4DBWrites</vt:lpstr>
      <vt:lpstr>calcTier4DesktopSearchIO</vt:lpstr>
      <vt:lpstr>calcTier4InitialMBXSize</vt:lpstr>
      <vt:lpstr>calcTier4IOFactor</vt:lpstr>
      <vt:lpstr>calcTier4IORatio</vt:lpstr>
      <vt:lpstr>calcTier4IORequirement</vt:lpstr>
      <vt:lpstr>calcTier4MBX</vt:lpstr>
      <vt:lpstr>calcTier4MBXDBCapacity</vt:lpstr>
      <vt:lpstr>calcTier4MBXDBIO</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calcTotNumHAPassCopiesDC1inDC2</vt:lpstr>
      <vt:lpstr>calcTotNumHAPassCopiesDC2inDC1</vt:lpstr>
      <vt:lpstr>calcTotNumLagCopies</vt:lpstr>
      <vt:lpstr>calcTotNumLagCopiesDC1</vt:lpstr>
      <vt:lpstr>calcTotNumLagCopiesDC2</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calcVirtualizationEnabled</vt:lpstr>
      <vt:lpstr>CIIOPsFactor</vt:lpstr>
      <vt:lpstr>CISizeFactor</vt:lpstr>
      <vt:lpstr>ColorFirst</vt:lpstr>
      <vt:lpstr>ColorLast</vt:lpstr>
      <vt:lpstr>ComputedDiskTypes</vt:lpstr>
      <vt:lpstr>ConfigPDCTotDisks</vt:lpstr>
      <vt:lpstr>ConfigSDCTotDisks</vt:lpstr>
      <vt:lpstr>ContentIndexing</vt:lpstr>
      <vt:lpstr>CpuUtilizationDC1</vt:lpstr>
      <vt:lpstr>CpuUtilizationDC2</vt:lpstr>
      <vt:lpstr>Scripts!CreateDAG</vt:lpstr>
      <vt:lpstr>Scripts!CreateDAG_5</vt:lpstr>
      <vt:lpstr>Scripts!CreateMBDatabaseCopies_1</vt:lpstr>
      <vt:lpstr>CustomMaxDBSize</vt:lpstr>
      <vt:lpstr>CustomNumDBs</vt:lpstr>
      <vt:lpstr>DAG1BaseName</vt:lpstr>
      <vt:lpstr>DAG1Name</vt:lpstr>
      <vt:lpstr>DAG2BaseName</vt:lpstr>
      <vt:lpstr>DAGLogBandwidth</vt:lpstr>
      <vt:lpstr>DAGMemberValCheck</vt:lpstr>
      <vt:lpstr>DAGMemberValCheckName</vt:lpstr>
      <vt:lpstr>DAGQuroumStatus</vt:lpstr>
      <vt:lpstr>DAGs_Defaults</vt:lpstr>
      <vt:lpstr>DataGrowth</vt:lpstr>
      <vt:lpstr>DB_Build_Defaults</vt:lpstr>
      <vt:lpstr>DBCopyValCheck</vt:lpstr>
      <vt:lpstr>DBCopyValCheckName</vt:lpstr>
      <vt:lpstr>DBCountValCheck</vt:lpstr>
      <vt:lpstr>DBCountValCheckName</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DBIOReadTransfers</vt:lpstr>
      <vt:lpstr>DBIOWriteTransfers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DBVolCheck</vt:lpstr>
      <vt:lpstr>DBVolDiskSpaceReplicaSS</vt:lpstr>
      <vt:lpstr>DBVolSize</vt:lpstr>
      <vt:lpstr>DedLaggedCopyServer</vt:lpstr>
      <vt:lpstr>DesiredStorageArch</vt:lpstr>
      <vt:lpstr>DesResVolRAID</vt:lpstr>
      <vt:lpstr>DiskLimitOverride</vt:lpstr>
      <vt:lpstr>Scripts!Diskpart</vt:lpstr>
      <vt:lpstr>EnvPeakIOPS</vt:lpstr>
      <vt:lpstr>ExVersion</vt:lpstr>
      <vt:lpstr>FailureDomainCheck</vt:lpstr>
      <vt:lpstr>FailureDomainCheckName</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InvalidActiveActive</vt:lpstr>
      <vt:lpstr>InvalidActivePassive</vt:lpstr>
      <vt:lpstr>InvalidDBPerVolume</vt:lpstr>
      <vt:lpstr>IOGrowth</vt:lpstr>
      <vt:lpstr>IOPSBound</vt:lpstr>
      <vt:lpstr>JBODCapAchDisk1</vt:lpstr>
      <vt:lpstr>JBODCapAchDisk2</vt:lpstr>
      <vt:lpstr>JBODCapAchDisk3</vt:lpstr>
      <vt:lpstr>JBODCheckPDC</vt:lpstr>
      <vt:lpstr>JBODCheckSDC</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JBODValidationCheck</vt:lpstr>
      <vt:lpstr>LagCopyCountCheck</vt:lpstr>
      <vt:lpstr>LaggedCopySvrPrefStorageArch</vt:lpstr>
      <vt:lpstr>LagSvrRAM</vt:lpstr>
      <vt:lpstr>LimitServerMemory</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LogIOPsFactor</vt:lpstr>
      <vt:lpstr>LogIOPSReplicaSS</vt:lpstr>
      <vt:lpstr>LogIOReadTransfers</vt:lpstr>
      <vt:lpstr>LogIOWriteTransfers</vt:lpstr>
      <vt:lpstr>LogOverheadperDB</vt:lpstr>
      <vt:lpstr>LogR10IOPS</vt:lpstr>
      <vt:lpstr>LogRawDiskCap1</vt:lpstr>
      <vt:lpstr>LogRawDiskCap2</vt:lpstr>
      <vt:lpstr>LogRawDiskCap3</vt:lpstr>
      <vt:lpstr>LogSizeOverhead</vt:lpstr>
      <vt:lpstr>LogVolDiskSpaceReplicaSS</vt:lpstr>
      <vt:lpstr>LogVolSize</vt:lpstr>
      <vt:lpstr>MailboxCountCheck</vt:lpstr>
      <vt:lpstr>MailboxSizeCheck</vt:lpstr>
      <vt:lpstr>MailboxSizeCheckName</vt:lpstr>
      <vt:lpstr>MaxActiveDBsPDC</vt:lpstr>
      <vt:lpstr>MaxActiveDBsSDC</vt:lpstr>
      <vt:lpstr>MaxPreferredActiveDBsPDC</vt:lpstr>
      <vt:lpstr>MaxPreferredActiveDBsSDC</vt:lpstr>
      <vt:lpstr>MaxRecMemory</vt:lpstr>
      <vt:lpstr>MBXMoveRate</vt:lpstr>
      <vt:lpstr>MBXPerDB</vt:lpstr>
      <vt:lpstr>MBXSDCRAM</vt:lpstr>
      <vt:lpstr>MCDBEnabled</vt:lpstr>
      <vt:lpstr>minDBCacheMemMBX</vt:lpstr>
      <vt:lpstr>minDBCacheMemMBXSDC</vt:lpstr>
      <vt:lpstr>minReqMemory</vt:lpstr>
      <vt:lpstr>Mount_Points_Defaults</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numLagCopies</vt:lpstr>
      <vt:lpstr>numLagCopiesSDC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NumLogVol</vt:lpstr>
      <vt:lpstr>numMBXServers</vt:lpstr>
      <vt:lpstr>numMCyclesPerCoreLCS</vt:lpstr>
      <vt:lpstr>numMCyclesPerCorePDC</vt:lpstr>
      <vt:lpstr>numMCyclesPerCoreSDC</vt:lpstr>
      <vt:lpstr>NumMoveMBXTLogPerWk</vt:lpstr>
      <vt:lpstr>NumMoveMBXTLogPerWkPerDB</vt:lpstr>
      <vt:lpstr>NumMoveMBXTLogs</vt:lpstr>
      <vt:lpstr>numPDCStorageUtil</vt:lpstr>
      <vt:lpstr>numPhysicalCoresLCS</vt:lpstr>
      <vt:lpstr>numPhysicalCoresPDC</vt:lpstr>
      <vt:lpstr>numPhysicalCoresSDC</vt:lpstr>
      <vt:lpstr>numProcCoresLCS</vt:lpstr>
      <vt:lpstr>numProcCoresPDC</vt:lpstr>
      <vt:lpstr>numProcCoresSDC</vt:lpstr>
      <vt:lpstr>NumRamPerServer</vt:lpstr>
      <vt:lpstr>numSDCStorageUtil</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OptimizeChoice</vt:lpstr>
      <vt:lpstr>OptimizeforAP</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PeakIOPSperServer</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RecCoresLag</vt:lpstr>
      <vt:lpstr>RecCoresMBXPDC</vt:lpstr>
      <vt:lpstr>RecCoresMBXSDC</vt:lpstr>
      <vt:lpstr>RecDatabaseVols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RecRAMLag</vt:lpstr>
      <vt:lpstr>RecRAMMBXPDC</vt:lpstr>
      <vt:lpstr>RecRAMMBXSDC</vt:lpstr>
      <vt:lpstr>RecRLDisksPDC</vt:lpstr>
      <vt:lpstr>RecRLDisksSDC</vt:lpstr>
      <vt:lpstr>RecRLRAIDPDC</vt:lpstr>
      <vt:lpstr>RecRLRAIDSDC</vt:lpstr>
      <vt:lpstr>ReplayLagHours</vt:lpstr>
      <vt:lpstr>ReplayLagManagerEnabled</vt:lpstr>
      <vt:lpstr>ReplayLagMaxDelayHours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RestoreFactor</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ServerVersion</vt:lpstr>
      <vt:lpstr>SiteResilienceEnabled</vt:lpstr>
      <vt:lpstr>SRAASDDRServers</vt:lpstr>
      <vt:lpstr>SRActivationBlocked</vt:lpstr>
      <vt:lpstr>SRDiskMismatch</vt:lpstr>
      <vt:lpstr>SRDiskSizeMatch</vt:lpstr>
      <vt:lpstr>SRDiskTypeMatch</vt:lpstr>
      <vt:lpstr>SRModel</vt:lpstr>
      <vt:lpstr>StorageArchChoice</vt:lpstr>
      <vt:lpstr>strEmpty</vt:lpstr>
      <vt:lpstr>StringConversionArea</vt:lpstr>
      <vt:lpstr>strTable</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Tbl1OptimizeServers</vt:lpstr>
      <vt:lpstr>Tbl2OptimizeServers</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tblOLSearchIOPOffset</vt:lpstr>
      <vt:lpstr>TblOptimizeChoice</vt:lpstr>
      <vt:lpstr>TblOptimizeMemory</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tblServerMax</vt:lpstr>
      <vt:lpstr>tblTCPWindowSize</vt:lpstr>
      <vt:lpstr>tblVirtCpuDiv</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Tier1OLVersion</vt:lpstr>
      <vt:lpstr>Tier1OnlineOL</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Tier2OLVersion</vt:lpstr>
      <vt:lpstr>Tier2OnlineOL</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Tier3OLVersion</vt:lpstr>
      <vt:lpstr>Tier3OnlineOL</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Tier4OLVersion</vt:lpstr>
      <vt:lpstr>Tier4OnlineOL</vt:lpstr>
      <vt:lpstr>Tier4PassiveMegacycles</vt:lpstr>
      <vt:lpstr>Tier4PredictIOPS</vt:lpstr>
      <vt:lpstr>Tier4ReadTransfers</vt:lpstr>
      <vt:lpstr>Tier4RWRatio</vt:lpstr>
      <vt:lpstr>Tier4SendReceive</vt:lpstr>
      <vt:lpstr>Tier4SIREnabled</vt:lpstr>
      <vt:lpstr>Tier4UserMFPercentage</vt:lpstr>
      <vt:lpstr>Tier4WriteTransfers</vt:lpstr>
      <vt:lpstr>TotalLogSpaceOverhead</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TotNumMBXServerinEnvironment</vt:lpstr>
      <vt:lpstr>TotNumMBXServersinDAG</vt:lpstr>
      <vt:lpstr>TotPeakLogCIBandwidth</vt:lpstr>
      <vt:lpstr>TotRestoreVols</vt:lpstr>
      <vt:lpstr>TotRPOLogCIBandwidth</vt:lpstr>
      <vt:lpstr>TotTier1IOPS</vt:lpstr>
      <vt:lpstr>TotTier2IOPS</vt:lpstr>
      <vt:lpstr>TotTier3IOPS</vt:lpstr>
      <vt:lpstr>TotTier4IOPS</vt:lpstr>
      <vt:lpstr>TotTLogsGenerated</vt:lpstr>
      <vt:lpstr>TransportDBCheck</vt:lpstr>
      <vt:lpstr>TruncationLagHours</vt:lpstr>
      <vt:lpstr>TruncationLagTime</vt:lpstr>
      <vt:lpstr>ValidationCheck</vt:lpstr>
      <vt:lpstr>ValidationCheckName</vt:lpstr>
      <vt:lpstr>varActiveMCMF</vt:lpstr>
      <vt:lpstr>varAllPhysicalCoresReqd</vt:lpstr>
      <vt:lpstr>varBackupFreq</vt:lpstr>
      <vt:lpstr>varBackupMethod</vt:lpstr>
      <vt:lpstr>varCalcStorageReq</vt:lpstr>
      <vt:lpstr>varCalculationOverride</vt:lpstr>
      <vt:lpstr>varCalRetentionFactor</vt:lpstr>
      <vt:lpstr>varCASRatio</vt:lpstr>
      <vt:lpstr>varClientVersion</vt:lpstr>
      <vt:lpstr>varCoreCountExceeded</vt:lpstr>
      <vt:lpstr>varDatabaseSizeMessage</vt:lpstr>
      <vt:lpstr>varDBOverideLimit</vt:lpstr>
      <vt:lpstr>varDBperVolList1</vt:lpstr>
      <vt:lpstr>varDebugLevel</vt:lpstr>
      <vt:lpstr>varDefault</vt:lpstr>
      <vt:lpstr>varDiskGroup</vt:lpstr>
      <vt:lpstr>varDiskSize</vt:lpstr>
      <vt:lpstr>varDiskType</vt:lpstr>
      <vt:lpstr>varEnabledQuestion</vt:lpstr>
      <vt:lpstr>varEnableTrace</vt:lpstr>
      <vt:lpstr>varExVersion</vt:lpstr>
      <vt:lpstr>varGuestMachine</vt:lpstr>
      <vt:lpstr>varHours</vt:lpstr>
      <vt:lpstr>varIOPSMF</vt:lpstr>
      <vt:lpstr>varJBODInvDiskCap</vt:lpstr>
      <vt:lpstr>varJBODInvDiskIO</vt:lpstr>
      <vt:lpstr>varLogCompressionFactor</vt:lpstr>
      <vt:lpstr>varLogReplResponse</vt:lpstr>
      <vt:lpstr>varLogShippingOptions</vt:lpstr>
      <vt:lpstr>varMailboxServer</vt:lpstr>
      <vt:lpstr>varMax2CopyDBSize</vt:lpstr>
      <vt:lpstr>VarMaxDags</vt:lpstr>
      <vt:lpstr>varMaxDBperVolume</vt:lpstr>
      <vt:lpstr>varMaxDisksPerServer</vt:lpstr>
      <vt:lpstr>varMaxMailboxSize</vt:lpstr>
      <vt:lpstr>varMaxNumDBs</vt:lpstr>
      <vt:lpstr>varMaxNumDBVolBS</vt:lpstr>
      <vt:lpstr>varMaxRecCoresExceeded</vt:lpstr>
      <vt:lpstr>varMaxRecCpuUtil</vt:lpstr>
      <vt:lpstr>varMaxRecMemory2013</vt:lpstr>
      <vt:lpstr>varMaxRecMemory2016</vt:lpstr>
      <vt:lpstr>varMaxRecMemory2019</vt:lpstr>
      <vt:lpstr>varMaxSADBSize</vt:lpstr>
      <vt:lpstr>varMaxServerCount</vt:lpstr>
      <vt:lpstr>varMaxTransportDBSize</vt:lpstr>
      <vt:lpstr>varMCDBDeviceRatio</vt:lpstr>
      <vt:lpstr>varMCDBIOPsReduction</vt:lpstr>
      <vt:lpstr>varMCDBSizeRatio</vt:lpstr>
      <vt:lpstr>varMemPerCore</vt:lpstr>
      <vt:lpstr>varMessageQueueRate</vt:lpstr>
      <vt:lpstr>varMinENPCopyCount</vt:lpstr>
      <vt:lpstr>varMinHACopyCount</vt:lpstr>
      <vt:lpstr>varMinJBODCopyCount</vt:lpstr>
      <vt:lpstr>varMinOSVolume</vt:lpstr>
      <vt:lpstr>varMixedRAIDJBOD</vt:lpstr>
      <vt:lpstr>varNetLinkType</vt:lpstr>
      <vt:lpstr>varNoCoresSpecified</vt:lpstr>
      <vt:lpstr>varNumCores</vt:lpstr>
      <vt:lpstr>varNumDBCopies2</vt:lpstr>
      <vt:lpstr>varNumDBCopyIn</vt:lpstr>
      <vt:lpstr>varNumDBCopyInSDC</vt:lpstr>
      <vt:lpstr>varNumLagDBCopy</vt:lpstr>
      <vt:lpstr>varNumLaggedDBCopyIn</vt:lpstr>
      <vt:lpstr>varOnlineIOMultiplier</vt:lpstr>
      <vt:lpstr>varOutlookMode</vt:lpstr>
      <vt:lpstr>varPassiveMCMF</vt:lpstr>
      <vt:lpstr>varPhysicalDiskOnly</vt:lpstr>
      <vt:lpstr>varPrimaryDatacenter</vt:lpstr>
      <vt:lpstr>varRAID10Types</vt:lpstr>
      <vt:lpstr>varRAID5Types</vt:lpstr>
      <vt:lpstr>varRAID6Types</vt:lpstr>
      <vt:lpstr>varRAIDCacheReqd</vt:lpstr>
      <vt:lpstr>varRAIDOptions</vt:lpstr>
      <vt:lpstr>varRequired</vt:lpstr>
      <vt:lpstr>varRWRatio</vt:lpstr>
      <vt:lpstr>varSCCNodes</vt:lpstr>
      <vt:lpstr>varServerArch</vt:lpstr>
      <vt:lpstr>varServerOffset</vt:lpstr>
      <vt:lpstr>varServerVersion</vt:lpstr>
      <vt:lpstr>varSIRVersionsFactor</vt:lpstr>
      <vt:lpstr>varSRModel</vt:lpstr>
      <vt:lpstr>varStatusOK_FD</vt:lpstr>
      <vt:lpstr>varStorageArchitecture</vt:lpstr>
      <vt:lpstr>varSupportAutoReseed</vt:lpstr>
      <vt:lpstr>varTraceFile</vt:lpstr>
      <vt:lpstr>varUserProfile</vt:lpstr>
      <vt:lpstr>varVirtualDiskOnly</vt:lpstr>
      <vt:lpstr>varVolDesign</vt:lpstr>
      <vt:lpstr>varVolSizeResponse</vt:lpstr>
      <vt:lpstr>varVolumeArchitecture</vt:lpstr>
      <vt:lpstr>varWizardConfiguration</vt:lpstr>
      <vt:lpstr>varWizardTamperLock</vt:lpstr>
      <vt:lpstr>varWorkWeek</vt:lpstr>
      <vt:lpstr>varYNQuestion</vt:lpstr>
      <vt:lpstr>VirtCores</vt:lpstr>
      <vt:lpstr>VirtCPUFactor</vt:lpstr>
      <vt:lpstr>VirtCPURatio</vt:lpstr>
      <vt:lpstr>VirtDiskCheck</vt:lpstr>
      <vt:lpstr>VirtDiskCheckPDC</vt:lpstr>
      <vt:lpstr>VirtDiskCheckSDC</vt:lpstr>
      <vt:lpstr>VirtualizationEnabled</vt:lpstr>
      <vt:lpstr>VolArchitecture</vt:lpstr>
      <vt:lpstr>VolDesign</vt:lpstr>
      <vt:lpstr>VolGrowth</vt:lpstr>
      <vt:lpstr>WizardStatus</vt:lpstr>
      <vt:lpstr>WorkWeekDays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Server Role Requirements Calculator</dc:title>
  <dc:creator>Ross Smith IV</dc:creator>
  <dc:description>Exchange 2010 Mailbox Server Role Requirements Calculator</dc:description>
  <cp:lastModifiedBy>Brent Alinger</cp:lastModifiedBy>
  <cp:lastPrinted>2019-01-16T04:12:56Z</cp:lastPrinted>
  <dcterms:created xsi:type="dcterms:W3CDTF">2005-02-07T21:55:23Z</dcterms:created>
  <dcterms:modified xsi:type="dcterms:W3CDTF">2020-06-09T14:29:08Z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y fmtid="{D5CDD505-2E9C-101B-9397-08002B2CF9AE}" pid="4" name="MSIP_Label_f42aa342-8706-4288-bd11-ebb85995028c_Enabled">
    <vt:lpwstr>True</vt:lpwstr>
  </property>
  <property fmtid="{D5CDD505-2E9C-101B-9397-08002B2CF9AE}" pid="5" name="MSIP_Label_f42aa342-8706-4288-bd11-ebb85995028c_SiteId">
    <vt:lpwstr>72f988bf-86f1-41af-91ab-2d7cd011db47</vt:lpwstr>
  </property>
  <property fmtid="{D5CDD505-2E9C-101B-9397-08002B2CF9AE}" pid="6" name="MSIP_Label_f42aa342-8706-4288-bd11-ebb85995028c_Ref">
    <vt:lpwstr>https://api.informationprotection.azure.com/api/72f988bf-86f1-41af-91ab-2d7cd011db47</vt:lpwstr>
  </property>
  <property fmtid="{D5CDD505-2E9C-101B-9397-08002B2CF9AE}" pid="7" name="MSIP_Label_f42aa342-8706-4288-bd11-ebb85995028c_Owner">
    <vt:lpwstr>dmosier@microsoft.com</vt:lpwstr>
  </property>
  <property fmtid="{D5CDD505-2E9C-101B-9397-08002B2CF9AE}" pid="8" name="MSIP_Label_f42aa342-8706-4288-bd11-ebb85995028c_SetDate">
    <vt:lpwstr>2017-09-28T13:23:17.0486040-04:00</vt:lpwstr>
  </property>
  <property fmtid="{D5CDD505-2E9C-101B-9397-08002B2CF9AE}" pid="9" name="MSIP_Label_f42aa342-8706-4288-bd11-ebb85995028c_Name">
    <vt:lpwstr>General</vt:lpwstr>
  </property>
  <property fmtid="{D5CDD505-2E9C-101B-9397-08002B2CF9AE}" pid="10" name="MSIP_Label_f42aa342-8706-4288-bd11-ebb85995028c_Application">
    <vt:lpwstr>Microsoft Azure Information Protection</vt:lpwstr>
  </property>
  <property fmtid="{D5CDD505-2E9C-101B-9397-08002B2CF9AE}" pid="11" name="MSIP_Label_f42aa342-8706-4288-bd11-ebb85995028c_Extended_MSFT_Method">
    <vt:lpwstr>Automatic</vt:lpwstr>
  </property>
  <property fmtid="{D5CDD505-2E9C-101B-9397-08002B2CF9AE}" pid="12" name="Sensitivity">
    <vt:lpwstr>General</vt:lpwstr>
  </property>
</Properties>
</file>